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alculations\2020-2021\ECS\"/>
    </mc:Choice>
  </mc:AlternateContent>
  <bookViews>
    <workbookView xWindow="360" yWindow="107" windowWidth="16607" windowHeight="9433" tabRatio="715"/>
  </bookViews>
  <sheets>
    <sheet name="FY 2020-21" sheetId="16" r:id="rId1"/>
  </sheets>
  <calcPr calcId="162913"/>
</workbook>
</file>

<file path=xl/calcChain.xml><?xml version="1.0" encoding="utf-8"?>
<calcChain xmlns="http://schemas.openxmlformats.org/spreadsheetml/2006/main">
  <c r="AL17" i="16" l="1"/>
  <c r="AD195" i="16" l="1"/>
  <c r="AD194" i="16"/>
  <c r="AD193" i="16"/>
  <c r="AD192" i="16"/>
  <c r="AD191" i="16"/>
  <c r="AD190" i="16"/>
  <c r="AD189" i="16"/>
  <c r="AD188" i="16"/>
  <c r="AD187" i="16"/>
  <c r="AD186" i="16"/>
  <c r="AD185" i="16"/>
  <c r="AD184" i="16"/>
  <c r="AD183" i="16"/>
  <c r="AD182" i="16"/>
  <c r="AD181" i="16"/>
  <c r="AD180" i="16"/>
  <c r="AD179" i="16"/>
  <c r="AD178" i="16"/>
  <c r="AD177" i="16"/>
  <c r="AD176" i="16"/>
  <c r="AD175" i="16"/>
  <c r="AD174" i="16"/>
  <c r="AD173" i="16"/>
  <c r="AD172" i="16"/>
  <c r="AD171" i="16"/>
  <c r="AD170" i="16"/>
  <c r="AD169" i="16"/>
  <c r="AD168" i="16"/>
  <c r="AD167" i="16"/>
  <c r="AD166" i="16"/>
  <c r="AD165" i="16"/>
  <c r="AD164" i="16"/>
  <c r="AD163" i="16"/>
  <c r="AD162" i="16"/>
  <c r="AD161" i="16"/>
  <c r="AD160" i="16"/>
  <c r="AD159" i="16"/>
  <c r="AD158" i="16"/>
  <c r="AD157" i="16"/>
  <c r="AD156" i="16"/>
  <c r="AD155" i="16"/>
  <c r="AD154" i="16"/>
  <c r="AD153" i="16"/>
  <c r="AD152" i="16"/>
  <c r="AD151" i="16"/>
  <c r="AD150" i="16"/>
  <c r="AD149" i="16"/>
  <c r="AD148" i="16"/>
  <c r="AD147" i="16"/>
  <c r="AD146" i="16"/>
  <c r="AD145" i="16"/>
  <c r="AD144" i="16"/>
  <c r="AD143" i="16"/>
  <c r="AD142" i="16"/>
  <c r="AD141" i="16"/>
  <c r="AD140" i="16"/>
  <c r="AD139" i="16"/>
  <c r="AD138" i="16"/>
  <c r="AD137" i="16"/>
  <c r="AD136" i="16"/>
  <c r="AD135" i="16"/>
  <c r="AD134" i="16"/>
  <c r="AD133" i="16"/>
  <c r="AD132" i="16"/>
  <c r="AD131" i="16"/>
  <c r="AD130" i="16"/>
  <c r="AD129" i="16"/>
  <c r="AD128" i="16"/>
  <c r="AD127" i="16"/>
  <c r="AD126" i="16"/>
  <c r="AD125" i="16"/>
  <c r="AD124" i="16"/>
  <c r="AD123" i="16"/>
  <c r="AD122" i="16"/>
  <c r="AD121" i="16"/>
  <c r="AD120" i="16"/>
  <c r="AD119" i="16"/>
  <c r="AD118" i="16"/>
  <c r="AD117" i="16"/>
  <c r="AD116" i="16"/>
  <c r="AD115" i="16"/>
  <c r="AD114" i="16"/>
  <c r="AD113" i="16"/>
  <c r="AD112" i="16"/>
  <c r="AD111" i="16"/>
  <c r="AD110" i="16"/>
  <c r="AD109" i="16"/>
  <c r="AD108" i="16"/>
  <c r="AD107" i="16"/>
  <c r="AD106" i="16"/>
  <c r="AD105" i="16"/>
  <c r="AD104" i="16"/>
  <c r="AD103" i="16"/>
  <c r="AD102" i="16"/>
  <c r="AD101" i="16"/>
  <c r="AD100" i="16"/>
  <c r="AD99" i="16"/>
  <c r="AD98" i="16"/>
  <c r="AD97" i="16"/>
  <c r="AD96" i="16"/>
  <c r="AD95" i="16"/>
  <c r="AD94" i="16"/>
  <c r="AD93" i="16"/>
  <c r="AD92" i="16"/>
  <c r="AD91" i="16"/>
  <c r="AD90" i="16"/>
  <c r="AD89" i="16"/>
  <c r="AD88" i="16"/>
  <c r="AD87" i="16"/>
  <c r="AD86" i="16"/>
  <c r="AD85" i="16"/>
  <c r="AD84" i="16"/>
  <c r="AD83" i="16"/>
  <c r="AD82" i="16"/>
  <c r="AD81" i="16"/>
  <c r="AD80" i="16"/>
  <c r="AD79" i="16"/>
  <c r="AD78" i="16"/>
  <c r="AD77" i="16"/>
  <c r="AD76" i="16"/>
  <c r="AD75" i="16"/>
  <c r="AD74" i="16"/>
  <c r="AD73" i="16"/>
  <c r="AD72" i="16"/>
  <c r="AD71" i="16"/>
  <c r="AD70" i="16"/>
  <c r="AD69" i="16"/>
  <c r="AD68" i="16"/>
  <c r="AD67" i="16"/>
  <c r="AD66" i="16"/>
  <c r="AD65" i="16"/>
  <c r="AD64" i="16"/>
  <c r="AD63" i="16"/>
  <c r="AD62" i="16"/>
  <c r="AD61" i="16"/>
  <c r="AD60" i="16"/>
  <c r="AD59" i="16"/>
  <c r="AD58" i="16"/>
  <c r="AD57" i="16"/>
  <c r="AD56" i="16"/>
  <c r="AD55" i="16"/>
  <c r="AD54" i="16"/>
  <c r="AD53" i="16"/>
  <c r="AD52" i="16"/>
  <c r="AD51" i="16"/>
  <c r="AD50" i="16"/>
  <c r="AD49" i="16"/>
  <c r="AD48" i="16"/>
  <c r="AD47" i="16"/>
  <c r="AD46" i="16"/>
  <c r="AD45" i="16"/>
  <c r="AD44" i="16"/>
  <c r="AD43" i="16"/>
  <c r="AD42" i="16"/>
  <c r="AD41" i="16"/>
  <c r="AD40" i="16"/>
  <c r="AD39" i="16"/>
  <c r="AD38" i="16"/>
  <c r="AD37" i="16"/>
  <c r="AD36" i="16"/>
  <c r="AD35" i="16"/>
  <c r="AD34" i="16"/>
  <c r="AD33" i="16"/>
  <c r="AD32" i="16"/>
  <c r="AD31" i="16"/>
  <c r="AD30" i="16"/>
  <c r="AD29" i="16"/>
  <c r="AD28" i="16"/>
  <c r="AD27" i="16"/>
  <c r="AH195" i="16" l="1"/>
  <c r="AI195" i="16" s="1"/>
  <c r="X195" i="16"/>
  <c r="T195" i="16"/>
  <c r="O195" i="16"/>
  <c r="P195" i="16" s="1"/>
  <c r="Q195" i="16" s="1"/>
  <c r="AH194" i="16"/>
  <c r="AI194" i="16" s="1"/>
  <c r="X194" i="16"/>
  <c r="T194" i="16"/>
  <c r="O194" i="16"/>
  <c r="P194" i="16" s="1"/>
  <c r="Q194" i="16" s="1"/>
  <c r="R194" i="16" s="1"/>
  <c r="AH193" i="16"/>
  <c r="AI193" i="16" s="1"/>
  <c r="X193" i="16"/>
  <c r="T193" i="16"/>
  <c r="O193" i="16"/>
  <c r="P193" i="16" s="1"/>
  <c r="Q193" i="16" s="1"/>
  <c r="R193" i="16" s="1"/>
  <c r="AH192" i="16"/>
  <c r="AI192" i="16" s="1"/>
  <c r="X192" i="16"/>
  <c r="T192" i="16"/>
  <c r="O192" i="16"/>
  <c r="P192" i="16" s="1"/>
  <c r="Q192" i="16" s="1"/>
  <c r="AH191" i="16"/>
  <c r="AI191" i="16" s="1"/>
  <c r="X191" i="16"/>
  <c r="T191" i="16"/>
  <c r="O191" i="16"/>
  <c r="P191" i="16" s="1"/>
  <c r="Q191" i="16" s="1"/>
  <c r="AH190" i="16"/>
  <c r="AI190" i="16" s="1"/>
  <c r="X190" i="16"/>
  <c r="T190" i="16"/>
  <c r="O190" i="16"/>
  <c r="P190" i="16" s="1"/>
  <c r="Q190" i="16" s="1"/>
  <c r="R190" i="16" s="1"/>
  <c r="AH189" i="16"/>
  <c r="AI189" i="16" s="1"/>
  <c r="X189" i="16"/>
  <c r="T189" i="16"/>
  <c r="O189" i="16"/>
  <c r="P189" i="16" s="1"/>
  <c r="Q189" i="16" s="1"/>
  <c r="R189" i="16" s="1"/>
  <c r="AH188" i="16"/>
  <c r="AI188" i="16" s="1"/>
  <c r="X188" i="16"/>
  <c r="T188" i="16"/>
  <c r="O188" i="16"/>
  <c r="P188" i="16" s="1"/>
  <c r="Q188" i="16" s="1"/>
  <c r="AH187" i="16"/>
  <c r="AI187" i="16" s="1"/>
  <c r="X187" i="16"/>
  <c r="T187" i="16"/>
  <c r="O187" i="16"/>
  <c r="P187" i="16" s="1"/>
  <c r="Q187" i="16" s="1"/>
  <c r="AH186" i="16"/>
  <c r="AI186" i="16" s="1"/>
  <c r="X186" i="16"/>
  <c r="T186" i="16"/>
  <c r="O186" i="16"/>
  <c r="P186" i="16" s="1"/>
  <c r="Q186" i="16" s="1"/>
  <c r="R186" i="16" s="1"/>
  <c r="AH185" i="16"/>
  <c r="AI185" i="16" s="1"/>
  <c r="X185" i="16"/>
  <c r="T185" i="16"/>
  <c r="O185" i="16"/>
  <c r="P185" i="16" s="1"/>
  <c r="Q185" i="16" s="1"/>
  <c r="R185" i="16" s="1"/>
  <c r="AH184" i="16"/>
  <c r="AI184" i="16" s="1"/>
  <c r="X184" i="16"/>
  <c r="T184" i="16"/>
  <c r="O184" i="16"/>
  <c r="P184" i="16" s="1"/>
  <c r="Q184" i="16" s="1"/>
  <c r="R184" i="16" s="1"/>
  <c r="AH183" i="16"/>
  <c r="AI183" i="16" s="1"/>
  <c r="X183" i="16"/>
  <c r="T183" i="16"/>
  <c r="O183" i="16"/>
  <c r="P183" i="16" s="1"/>
  <c r="Q183" i="16" s="1"/>
  <c r="AH182" i="16"/>
  <c r="AI182" i="16" s="1"/>
  <c r="X182" i="16"/>
  <c r="T182" i="16"/>
  <c r="O182" i="16"/>
  <c r="P182" i="16" s="1"/>
  <c r="Q182" i="16" s="1"/>
  <c r="R182" i="16" s="1"/>
  <c r="AH181" i="16"/>
  <c r="AI181" i="16" s="1"/>
  <c r="X181" i="16"/>
  <c r="T181" i="16"/>
  <c r="O181" i="16"/>
  <c r="P181" i="16" s="1"/>
  <c r="Q181" i="16" s="1"/>
  <c r="AH180" i="16"/>
  <c r="AI180" i="16" s="1"/>
  <c r="X180" i="16"/>
  <c r="T180" i="16"/>
  <c r="O180" i="16"/>
  <c r="P180" i="16" s="1"/>
  <c r="Q180" i="16" s="1"/>
  <c r="R180" i="16" s="1"/>
  <c r="AH179" i="16"/>
  <c r="AI179" i="16" s="1"/>
  <c r="X179" i="16"/>
  <c r="T179" i="16"/>
  <c r="O179" i="16"/>
  <c r="P179" i="16" s="1"/>
  <c r="Q179" i="16" s="1"/>
  <c r="R179" i="16" s="1"/>
  <c r="AH178" i="16"/>
  <c r="AI178" i="16" s="1"/>
  <c r="X178" i="16"/>
  <c r="T178" i="16"/>
  <c r="O178" i="16"/>
  <c r="P178" i="16" s="1"/>
  <c r="Q178" i="16" s="1"/>
  <c r="R178" i="16" s="1"/>
  <c r="AH177" i="16"/>
  <c r="AI177" i="16" s="1"/>
  <c r="X177" i="16"/>
  <c r="T177" i="16"/>
  <c r="O177" i="16"/>
  <c r="P177" i="16" s="1"/>
  <c r="Q177" i="16" s="1"/>
  <c r="R177" i="16" s="1"/>
  <c r="AH176" i="16"/>
  <c r="AI176" i="16" s="1"/>
  <c r="X176" i="16"/>
  <c r="T176" i="16"/>
  <c r="O176" i="16"/>
  <c r="P176" i="16" s="1"/>
  <c r="Q176" i="16" s="1"/>
  <c r="AH175" i="16"/>
  <c r="AI175" i="16" s="1"/>
  <c r="X175" i="16"/>
  <c r="T175" i="16"/>
  <c r="O175" i="16"/>
  <c r="P175" i="16" s="1"/>
  <c r="Q175" i="16" s="1"/>
  <c r="AH174" i="16"/>
  <c r="AI174" i="16" s="1"/>
  <c r="X174" i="16"/>
  <c r="T174" i="16"/>
  <c r="O174" i="16"/>
  <c r="P174" i="16" s="1"/>
  <c r="Q174" i="16" s="1"/>
  <c r="AH173" i="16"/>
  <c r="AI173" i="16" s="1"/>
  <c r="X173" i="16"/>
  <c r="T173" i="16"/>
  <c r="O173" i="16"/>
  <c r="P173" i="16" s="1"/>
  <c r="Q173" i="16" s="1"/>
  <c r="R173" i="16" s="1"/>
  <c r="AH172" i="16"/>
  <c r="AI172" i="16" s="1"/>
  <c r="X172" i="16"/>
  <c r="T172" i="16"/>
  <c r="O172" i="16"/>
  <c r="P172" i="16" s="1"/>
  <c r="Q172" i="16" s="1"/>
  <c r="R172" i="16" s="1"/>
  <c r="AH171" i="16"/>
  <c r="AI171" i="16" s="1"/>
  <c r="X171" i="16"/>
  <c r="T171" i="16"/>
  <c r="O171" i="16"/>
  <c r="P171" i="16" s="1"/>
  <c r="Q171" i="16" s="1"/>
  <c r="R171" i="16" s="1"/>
  <c r="AH170" i="16"/>
  <c r="AI170" i="16" s="1"/>
  <c r="X170" i="16"/>
  <c r="T170" i="16"/>
  <c r="O170" i="16"/>
  <c r="P170" i="16" s="1"/>
  <c r="Q170" i="16" s="1"/>
  <c r="AH169" i="16"/>
  <c r="AI169" i="16" s="1"/>
  <c r="X169" i="16"/>
  <c r="T169" i="16"/>
  <c r="O169" i="16"/>
  <c r="P169" i="16" s="1"/>
  <c r="Q169" i="16" s="1"/>
  <c r="AH168" i="16"/>
  <c r="AI168" i="16" s="1"/>
  <c r="X168" i="16"/>
  <c r="T168" i="16"/>
  <c r="O168" i="16"/>
  <c r="P168" i="16" s="1"/>
  <c r="Q168" i="16" s="1"/>
  <c r="R168" i="16" s="1"/>
  <c r="AH167" i="16"/>
  <c r="AI167" i="16" s="1"/>
  <c r="X167" i="16"/>
  <c r="T167" i="16"/>
  <c r="O167" i="16"/>
  <c r="P167" i="16" s="1"/>
  <c r="Q167" i="16" s="1"/>
  <c r="R167" i="16" s="1"/>
  <c r="AH166" i="16"/>
  <c r="AI166" i="16" s="1"/>
  <c r="X166" i="16"/>
  <c r="T166" i="16"/>
  <c r="O166" i="16"/>
  <c r="P166" i="16" s="1"/>
  <c r="Q166" i="16" s="1"/>
  <c r="R166" i="16" s="1"/>
  <c r="AH165" i="16"/>
  <c r="AI165" i="16" s="1"/>
  <c r="X165" i="16"/>
  <c r="T165" i="16"/>
  <c r="O165" i="16"/>
  <c r="P165" i="16" s="1"/>
  <c r="Q165" i="16" s="1"/>
  <c r="AH164" i="16"/>
  <c r="AI164" i="16" s="1"/>
  <c r="X164" i="16"/>
  <c r="T164" i="16"/>
  <c r="O164" i="16"/>
  <c r="P164" i="16" s="1"/>
  <c r="Q164" i="16" s="1"/>
  <c r="R164" i="16" s="1"/>
  <c r="AH163" i="16"/>
  <c r="AI163" i="16" s="1"/>
  <c r="X163" i="16"/>
  <c r="T163" i="16"/>
  <c r="O163" i="16"/>
  <c r="P163" i="16" s="1"/>
  <c r="Q163" i="16" s="1"/>
  <c r="AH162" i="16"/>
  <c r="AI162" i="16" s="1"/>
  <c r="X162" i="16"/>
  <c r="T162" i="16"/>
  <c r="O162" i="16"/>
  <c r="P162" i="16" s="1"/>
  <c r="Q162" i="16" s="1"/>
  <c r="AH161" i="16"/>
  <c r="AI161" i="16" s="1"/>
  <c r="X161" i="16"/>
  <c r="T161" i="16"/>
  <c r="O161" i="16"/>
  <c r="P161" i="16" s="1"/>
  <c r="Q161" i="16" s="1"/>
  <c r="R161" i="16" s="1"/>
  <c r="AH160" i="16"/>
  <c r="AI160" i="16" s="1"/>
  <c r="X160" i="16"/>
  <c r="T160" i="16"/>
  <c r="O160" i="16"/>
  <c r="P160" i="16" s="1"/>
  <c r="Q160" i="16" s="1"/>
  <c r="R160" i="16" s="1"/>
  <c r="AH159" i="16"/>
  <c r="AI159" i="16" s="1"/>
  <c r="X159" i="16"/>
  <c r="T159" i="16"/>
  <c r="O159" i="16"/>
  <c r="P159" i="16" s="1"/>
  <c r="Q159" i="16" s="1"/>
  <c r="R159" i="16" s="1"/>
  <c r="AH158" i="16"/>
  <c r="AI158" i="16" s="1"/>
  <c r="X158" i="16"/>
  <c r="T158" i="16"/>
  <c r="O158" i="16"/>
  <c r="P158" i="16" s="1"/>
  <c r="Q158" i="16" s="1"/>
  <c r="R158" i="16" s="1"/>
  <c r="AH157" i="16"/>
  <c r="AI157" i="16" s="1"/>
  <c r="X157" i="16"/>
  <c r="T157" i="16"/>
  <c r="O157" i="16"/>
  <c r="P157" i="16" s="1"/>
  <c r="Q157" i="16" s="1"/>
  <c r="AH156" i="16"/>
  <c r="AI156" i="16" s="1"/>
  <c r="X156" i="16"/>
  <c r="T156" i="16"/>
  <c r="O156" i="16"/>
  <c r="P156" i="16" s="1"/>
  <c r="Q156" i="16" s="1"/>
  <c r="R156" i="16" s="1"/>
  <c r="AH155" i="16"/>
  <c r="AI155" i="16" s="1"/>
  <c r="X155" i="16"/>
  <c r="T155" i="16"/>
  <c r="O155" i="16"/>
  <c r="P155" i="16" s="1"/>
  <c r="Q155" i="16" s="1"/>
  <c r="AH154" i="16"/>
  <c r="AI154" i="16" s="1"/>
  <c r="X154" i="16"/>
  <c r="T154" i="16"/>
  <c r="O154" i="16"/>
  <c r="P154" i="16" s="1"/>
  <c r="Q154" i="16" s="1"/>
  <c r="R154" i="16" s="1"/>
  <c r="AH153" i="16"/>
  <c r="AI153" i="16" s="1"/>
  <c r="X153" i="16"/>
  <c r="T153" i="16"/>
  <c r="O153" i="16"/>
  <c r="P153" i="16" s="1"/>
  <c r="Q153" i="16" s="1"/>
  <c r="R153" i="16" s="1"/>
  <c r="AH152" i="16"/>
  <c r="AI152" i="16" s="1"/>
  <c r="X152" i="16"/>
  <c r="T152" i="16"/>
  <c r="O152" i="16"/>
  <c r="P152" i="16" s="1"/>
  <c r="Q152" i="16" s="1"/>
  <c r="R152" i="16" s="1"/>
  <c r="AH151" i="16"/>
  <c r="AI151" i="16" s="1"/>
  <c r="X151" i="16"/>
  <c r="T151" i="16"/>
  <c r="O151" i="16"/>
  <c r="P151" i="16" s="1"/>
  <c r="Q151" i="16" s="1"/>
  <c r="R151" i="16" s="1"/>
  <c r="AH150" i="16"/>
  <c r="AI150" i="16" s="1"/>
  <c r="X150" i="16"/>
  <c r="T150" i="16"/>
  <c r="O150" i="16"/>
  <c r="P150" i="16" s="1"/>
  <c r="Q150" i="16" s="1"/>
  <c r="R150" i="16" s="1"/>
  <c r="AH149" i="16"/>
  <c r="AI149" i="16" s="1"/>
  <c r="X149" i="16"/>
  <c r="T149" i="16"/>
  <c r="O149" i="16"/>
  <c r="P149" i="16" s="1"/>
  <c r="Q149" i="16" s="1"/>
  <c r="R149" i="16" s="1"/>
  <c r="AH148" i="16"/>
  <c r="AI148" i="16" s="1"/>
  <c r="X148" i="16"/>
  <c r="T148" i="16"/>
  <c r="O148" i="16"/>
  <c r="P148" i="16" s="1"/>
  <c r="Q148" i="16" s="1"/>
  <c r="R148" i="16" s="1"/>
  <c r="AH147" i="16"/>
  <c r="AI147" i="16" s="1"/>
  <c r="X147" i="16"/>
  <c r="T147" i="16"/>
  <c r="O147" i="16"/>
  <c r="P147" i="16" s="1"/>
  <c r="Q147" i="16" s="1"/>
  <c r="AH146" i="16"/>
  <c r="AI146" i="16" s="1"/>
  <c r="X146" i="16"/>
  <c r="T146" i="16"/>
  <c r="O146" i="16"/>
  <c r="P146" i="16" s="1"/>
  <c r="Q146" i="16" s="1"/>
  <c r="R146" i="16" s="1"/>
  <c r="AH145" i="16"/>
  <c r="AI145" i="16" s="1"/>
  <c r="X145" i="16"/>
  <c r="T145" i="16"/>
  <c r="O145" i="16"/>
  <c r="P145" i="16" s="1"/>
  <c r="Q145" i="16" s="1"/>
  <c r="R145" i="16" s="1"/>
  <c r="AH144" i="16"/>
  <c r="AI144" i="16" s="1"/>
  <c r="X144" i="16"/>
  <c r="T144" i="16"/>
  <c r="O144" i="16"/>
  <c r="P144" i="16" s="1"/>
  <c r="Q144" i="16" s="1"/>
  <c r="R144" i="16" s="1"/>
  <c r="AH143" i="16"/>
  <c r="AI143" i="16" s="1"/>
  <c r="X143" i="16"/>
  <c r="T143" i="16"/>
  <c r="O143" i="16"/>
  <c r="P143" i="16" s="1"/>
  <c r="Q143" i="16" s="1"/>
  <c r="R143" i="16" s="1"/>
  <c r="AH142" i="16"/>
  <c r="AI142" i="16" s="1"/>
  <c r="X142" i="16"/>
  <c r="T142" i="16"/>
  <c r="O142" i="16"/>
  <c r="P142" i="16" s="1"/>
  <c r="Q142" i="16" s="1"/>
  <c r="R142" i="16" s="1"/>
  <c r="AH141" i="16"/>
  <c r="AI141" i="16" s="1"/>
  <c r="X141" i="16"/>
  <c r="T141" i="16"/>
  <c r="O141" i="16"/>
  <c r="P141" i="16" s="1"/>
  <c r="Q141" i="16" s="1"/>
  <c r="R141" i="16" s="1"/>
  <c r="AH140" i="16"/>
  <c r="AI140" i="16" s="1"/>
  <c r="X140" i="16"/>
  <c r="T140" i="16"/>
  <c r="O140" i="16"/>
  <c r="P140" i="16" s="1"/>
  <c r="Q140" i="16" s="1"/>
  <c r="R140" i="16" s="1"/>
  <c r="AH139" i="16"/>
  <c r="AI139" i="16" s="1"/>
  <c r="X139" i="16"/>
  <c r="T139" i="16"/>
  <c r="O139" i="16"/>
  <c r="P139" i="16" s="1"/>
  <c r="Q139" i="16" s="1"/>
  <c r="AH138" i="16"/>
  <c r="AI138" i="16" s="1"/>
  <c r="X138" i="16"/>
  <c r="T138" i="16"/>
  <c r="O138" i="16"/>
  <c r="P138" i="16" s="1"/>
  <c r="Q138" i="16" s="1"/>
  <c r="AH137" i="16"/>
  <c r="AI137" i="16" s="1"/>
  <c r="X137" i="16"/>
  <c r="T137" i="16"/>
  <c r="O137" i="16"/>
  <c r="P137" i="16" s="1"/>
  <c r="Q137" i="16" s="1"/>
  <c r="AH136" i="16"/>
  <c r="AI136" i="16" s="1"/>
  <c r="X136" i="16"/>
  <c r="T136" i="16"/>
  <c r="O136" i="16"/>
  <c r="P136" i="16" s="1"/>
  <c r="Q136" i="16" s="1"/>
  <c r="R136" i="16" s="1"/>
  <c r="AH135" i="16"/>
  <c r="AI135" i="16" s="1"/>
  <c r="X135" i="16"/>
  <c r="T135" i="16"/>
  <c r="O135" i="16"/>
  <c r="P135" i="16" s="1"/>
  <c r="Q135" i="16" s="1"/>
  <c r="R135" i="16" s="1"/>
  <c r="AH134" i="16"/>
  <c r="AI134" i="16" s="1"/>
  <c r="X134" i="16"/>
  <c r="T134" i="16"/>
  <c r="O134" i="16"/>
  <c r="P134" i="16" s="1"/>
  <c r="Q134" i="16" s="1"/>
  <c r="R134" i="16" s="1"/>
  <c r="AH133" i="16"/>
  <c r="AI133" i="16" s="1"/>
  <c r="X133" i="16"/>
  <c r="T133" i="16"/>
  <c r="O133" i="16"/>
  <c r="P133" i="16" s="1"/>
  <c r="Q133" i="16" s="1"/>
  <c r="R133" i="16" s="1"/>
  <c r="AH132" i="16"/>
  <c r="AI132" i="16" s="1"/>
  <c r="X132" i="16"/>
  <c r="T132" i="16"/>
  <c r="O132" i="16"/>
  <c r="P132" i="16" s="1"/>
  <c r="Q132" i="16" s="1"/>
  <c r="R132" i="16" s="1"/>
  <c r="AH131" i="16"/>
  <c r="AI131" i="16" s="1"/>
  <c r="X131" i="16"/>
  <c r="T131" i="16"/>
  <c r="O131" i="16"/>
  <c r="P131" i="16" s="1"/>
  <c r="Q131" i="16" s="1"/>
  <c r="AH130" i="16"/>
  <c r="AI130" i="16" s="1"/>
  <c r="X130" i="16"/>
  <c r="T130" i="16"/>
  <c r="O130" i="16"/>
  <c r="P130" i="16" s="1"/>
  <c r="Q130" i="16" s="1"/>
  <c r="AH129" i="16"/>
  <c r="AI129" i="16" s="1"/>
  <c r="X129" i="16"/>
  <c r="T129" i="16"/>
  <c r="O129" i="16"/>
  <c r="P129" i="16" s="1"/>
  <c r="Q129" i="16" s="1"/>
  <c r="AH128" i="16"/>
  <c r="AI128" i="16" s="1"/>
  <c r="X128" i="16"/>
  <c r="T128" i="16"/>
  <c r="O128" i="16"/>
  <c r="P128" i="16" s="1"/>
  <c r="Q128" i="16" s="1"/>
  <c r="AH127" i="16"/>
  <c r="AI127" i="16" s="1"/>
  <c r="X127" i="16"/>
  <c r="T127" i="16"/>
  <c r="O127" i="16"/>
  <c r="P127" i="16" s="1"/>
  <c r="Q127" i="16" s="1"/>
  <c r="R127" i="16" s="1"/>
  <c r="AH126" i="16"/>
  <c r="AI126" i="16" s="1"/>
  <c r="X126" i="16"/>
  <c r="T126" i="16"/>
  <c r="O126" i="16"/>
  <c r="P126" i="16" s="1"/>
  <c r="Q126" i="16" s="1"/>
  <c r="R126" i="16" s="1"/>
  <c r="AH125" i="16"/>
  <c r="AI125" i="16" s="1"/>
  <c r="X125" i="16"/>
  <c r="T125" i="16"/>
  <c r="O125" i="16"/>
  <c r="P125" i="16" s="1"/>
  <c r="Q125" i="16" s="1"/>
  <c r="R125" i="16" s="1"/>
  <c r="AH124" i="16"/>
  <c r="AI124" i="16" s="1"/>
  <c r="X124" i="16"/>
  <c r="T124" i="16"/>
  <c r="O124" i="16"/>
  <c r="P124" i="16" s="1"/>
  <c r="Q124" i="16" s="1"/>
  <c r="AH123" i="16"/>
  <c r="AI123" i="16" s="1"/>
  <c r="X123" i="16"/>
  <c r="T123" i="16"/>
  <c r="O123" i="16"/>
  <c r="P123" i="16" s="1"/>
  <c r="Q123" i="16" s="1"/>
  <c r="R123" i="16" s="1"/>
  <c r="AH122" i="16"/>
  <c r="AI122" i="16" s="1"/>
  <c r="X122" i="16"/>
  <c r="T122" i="16"/>
  <c r="O122" i="16"/>
  <c r="P122" i="16" s="1"/>
  <c r="Q122" i="16" s="1"/>
  <c r="AH121" i="16"/>
  <c r="AI121" i="16" s="1"/>
  <c r="X121" i="16"/>
  <c r="T121" i="16"/>
  <c r="O121" i="16"/>
  <c r="P121" i="16" s="1"/>
  <c r="Q121" i="16" s="1"/>
  <c r="AH120" i="16"/>
  <c r="AI120" i="16" s="1"/>
  <c r="X120" i="16"/>
  <c r="T120" i="16"/>
  <c r="O120" i="16"/>
  <c r="P120" i="16" s="1"/>
  <c r="Q120" i="16" s="1"/>
  <c r="AH119" i="16"/>
  <c r="AI119" i="16" s="1"/>
  <c r="X119" i="16"/>
  <c r="T119" i="16"/>
  <c r="O119" i="16"/>
  <c r="P119" i="16" s="1"/>
  <c r="Q119" i="16" s="1"/>
  <c r="R119" i="16" s="1"/>
  <c r="AH118" i="16"/>
  <c r="AI118" i="16" s="1"/>
  <c r="X118" i="16"/>
  <c r="T118" i="16"/>
  <c r="O118" i="16"/>
  <c r="P118" i="16" s="1"/>
  <c r="Q118" i="16" s="1"/>
  <c r="R118" i="16" s="1"/>
  <c r="AH117" i="16"/>
  <c r="AI117" i="16" s="1"/>
  <c r="X117" i="16"/>
  <c r="T117" i="16"/>
  <c r="O117" i="16"/>
  <c r="P117" i="16" s="1"/>
  <c r="Q117" i="16" s="1"/>
  <c r="AH116" i="16"/>
  <c r="AI116" i="16" s="1"/>
  <c r="X116" i="16"/>
  <c r="T116" i="16"/>
  <c r="O116" i="16"/>
  <c r="P116" i="16" s="1"/>
  <c r="Q116" i="16" s="1"/>
  <c r="AH115" i="16"/>
  <c r="AI115" i="16" s="1"/>
  <c r="X115" i="16"/>
  <c r="T115" i="16"/>
  <c r="O115" i="16"/>
  <c r="P115" i="16" s="1"/>
  <c r="Q115" i="16" s="1"/>
  <c r="R115" i="16" s="1"/>
  <c r="AH114" i="16"/>
  <c r="AI114" i="16" s="1"/>
  <c r="X114" i="16"/>
  <c r="T114" i="16"/>
  <c r="O114" i="16"/>
  <c r="P114" i="16" s="1"/>
  <c r="Q114" i="16" s="1"/>
  <c r="AH113" i="16"/>
  <c r="AI113" i="16" s="1"/>
  <c r="X113" i="16"/>
  <c r="T113" i="16"/>
  <c r="O113" i="16"/>
  <c r="P113" i="16" s="1"/>
  <c r="Q113" i="16" s="1"/>
  <c r="AH112" i="16"/>
  <c r="AI112" i="16" s="1"/>
  <c r="X112" i="16"/>
  <c r="T112" i="16"/>
  <c r="O112" i="16"/>
  <c r="P112" i="16" s="1"/>
  <c r="Q112" i="16" s="1"/>
  <c r="AH111" i="16"/>
  <c r="AI111" i="16" s="1"/>
  <c r="X111" i="16"/>
  <c r="T111" i="16"/>
  <c r="O111" i="16"/>
  <c r="P111" i="16" s="1"/>
  <c r="Q111" i="16" s="1"/>
  <c r="R111" i="16" s="1"/>
  <c r="AH110" i="16"/>
  <c r="AI110" i="16" s="1"/>
  <c r="X110" i="16"/>
  <c r="T110" i="16"/>
  <c r="O110" i="16"/>
  <c r="P110" i="16" s="1"/>
  <c r="Q110" i="16" s="1"/>
  <c r="R110" i="16" s="1"/>
  <c r="AH109" i="16"/>
  <c r="AI109" i="16" s="1"/>
  <c r="X109" i="16"/>
  <c r="T109" i="16"/>
  <c r="O109" i="16"/>
  <c r="P109" i="16" s="1"/>
  <c r="Q109" i="16" s="1"/>
  <c r="R109" i="16" s="1"/>
  <c r="AH108" i="16"/>
  <c r="AI108" i="16" s="1"/>
  <c r="X108" i="16"/>
  <c r="T108" i="16"/>
  <c r="O108" i="16"/>
  <c r="P108" i="16" s="1"/>
  <c r="Q108" i="16" s="1"/>
  <c r="AH107" i="16"/>
  <c r="AI107" i="16" s="1"/>
  <c r="X107" i="16"/>
  <c r="T107" i="16"/>
  <c r="O107" i="16"/>
  <c r="P107" i="16" s="1"/>
  <c r="Q107" i="16" s="1"/>
  <c r="R107" i="16" s="1"/>
  <c r="AH106" i="16"/>
  <c r="AI106" i="16" s="1"/>
  <c r="X106" i="16"/>
  <c r="T106" i="16"/>
  <c r="O106" i="16"/>
  <c r="P106" i="16" s="1"/>
  <c r="Q106" i="16" s="1"/>
  <c r="AH105" i="16"/>
  <c r="AI105" i="16" s="1"/>
  <c r="X105" i="16"/>
  <c r="T105" i="16"/>
  <c r="O105" i="16"/>
  <c r="P105" i="16" s="1"/>
  <c r="Q105" i="16" s="1"/>
  <c r="AH104" i="16"/>
  <c r="AI104" i="16" s="1"/>
  <c r="X104" i="16"/>
  <c r="T104" i="16"/>
  <c r="O104" i="16"/>
  <c r="P104" i="16" s="1"/>
  <c r="Q104" i="16" s="1"/>
  <c r="AH103" i="16"/>
  <c r="AI103" i="16" s="1"/>
  <c r="X103" i="16"/>
  <c r="T103" i="16"/>
  <c r="O103" i="16"/>
  <c r="P103" i="16" s="1"/>
  <c r="Q103" i="16" s="1"/>
  <c r="R103" i="16" s="1"/>
  <c r="AH102" i="16"/>
  <c r="AI102" i="16" s="1"/>
  <c r="X102" i="16"/>
  <c r="T102" i="16"/>
  <c r="O102" i="16"/>
  <c r="P102" i="16" s="1"/>
  <c r="Q102" i="16" s="1"/>
  <c r="AH101" i="16"/>
  <c r="AI101" i="16" s="1"/>
  <c r="X101" i="16"/>
  <c r="T101" i="16"/>
  <c r="O101" i="16"/>
  <c r="P101" i="16" s="1"/>
  <c r="Q101" i="16" s="1"/>
  <c r="AH100" i="16"/>
  <c r="AI100" i="16" s="1"/>
  <c r="X100" i="16"/>
  <c r="T100" i="16"/>
  <c r="O100" i="16"/>
  <c r="P100" i="16" s="1"/>
  <c r="Q100" i="16" s="1"/>
  <c r="AH99" i="16"/>
  <c r="AI99" i="16" s="1"/>
  <c r="X99" i="16"/>
  <c r="T99" i="16"/>
  <c r="O99" i="16"/>
  <c r="P99" i="16" s="1"/>
  <c r="Q99" i="16" s="1"/>
  <c r="R99" i="16" s="1"/>
  <c r="AH98" i="16"/>
  <c r="AI98" i="16" s="1"/>
  <c r="X98" i="16"/>
  <c r="T98" i="16"/>
  <c r="O98" i="16"/>
  <c r="P98" i="16" s="1"/>
  <c r="Q98" i="16" s="1"/>
  <c r="AH97" i="16"/>
  <c r="AI97" i="16" s="1"/>
  <c r="X97" i="16"/>
  <c r="T97" i="16"/>
  <c r="O97" i="16"/>
  <c r="P97" i="16" s="1"/>
  <c r="Q97" i="16" s="1"/>
  <c r="AH96" i="16"/>
  <c r="AI96" i="16" s="1"/>
  <c r="X96" i="16"/>
  <c r="T96" i="16"/>
  <c r="O96" i="16"/>
  <c r="P96" i="16" s="1"/>
  <c r="Q96" i="16" s="1"/>
  <c r="AH95" i="16"/>
  <c r="AI95" i="16" s="1"/>
  <c r="X95" i="16"/>
  <c r="T95" i="16"/>
  <c r="O95" i="16"/>
  <c r="P95" i="16" s="1"/>
  <c r="Q95" i="16" s="1"/>
  <c r="AH94" i="16"/>
  <c r="AI94" i="16" s="1"/>
  <c r="X94" i="16"/>
  <c r="T94" i="16"/>
  <c r="O94" i="16"/>
  <c r="P94" i="16" s="1"/>
  <c r="Q94" i="16" s="1"/>
  <c r="R94" i="16" s="1"/>
  <c r="AH93" i="16"/>
  <c r="AI93" i="16" s="1"/>
  <c r="X93" i="16"/>
  <c r="T93" i="16"/>
  <c r="O93" i="16"/>
  <c r="P93" i="16" s="1"/>
  <c r="Q93" i="16" s="1"/>
  <c r="R93" i="16" s="1"/>
  <c r="AH92" i="16"/>
  <c r="AI92" i="16" s="1"/>
  <c r="X92" i="16"/>
  <c r="T92" i="16"/>
  <c r="O92" i="16"/>
  <c r="P92" i="16" s="1"/>
  <c r="Q92" i="16" s="1"/>
  <c r="R92" i="16" s="1"/>
  <c r="AH91" i="16"/>
  <c r="AI91" i="16" s="1"/>
  <c r="X91" i="16"/>
  <c r="T91" i="16"/>
  <c r="O91" i="16"/>
  <c r="P91" i="16" s="1"/>
  <c r="Q91" i="16" s="1"/>
  <c r="R91" i="16" s="1"/>
  <c r="AH90" i="16"/>
  <c r="AI90" i="16" s="1"/>
  <c r="X90" i="16"/>
  <c r="T90" i="16"/>
  <c r="O90" i="16"/>
  <c r="P90" i="16" s="1"/>
  <c r="Q90" i="16" s="1"/>
  <c r="R90" i="16" s="1"/>
  <c r="AH89" i="16"/>
  <c r="AI89" i="16" s="1"/>
  <c r="X89" i="16"/>
  <c r="T89" i="16"/>
  <c r="O89" i="16"/>
  <c r="P89" i="16" s="1"/>
  <c r="Q89" i="16" s="1"/>
  <c r="AH88" i="16"/>
  <c r="AI88" i="16" s="1"/>
  <c r="X88" i="16"/>
  <c r="T88" i="16"/>
  <c r="O88" i="16"/>
  <c r="P88" i="16" s="1"/>
  <c r="Q88" i="16" s="1"/>
  <c r="AH87" i="16"/>
  <c r="AI87" i="16" s="1"/>
  <c r="X87" i="16"/>
  <c r="T87" i="16"/>
  <c r="O87" i="16"/>
  <c r="P87" i="16" s="1"/>
  <c r="Q87" i="16" s="1"/>
  <c r="AH86" i="16"/>
  <c r="AI86" i="16" s="1"/>
  <c r="X86" i="16"/>
  <c r="T86" i="16"/>
  <c r="O86" i="16"/>
  <c r="P86" i="16" s="1"/>
  <c r="Q86" i="16" s="1"/>
  <c r="R86" i="16" s="1"/>
  <c r="AH85" i="16"/>
  <c r="AI85" i="16" s="1"/>
  <c r="X85" i="16"/>
  <c r="T85" i="16"/>
  <c r="O85" i="16"/>
  <c r="P85" i="16" s="1"/>
  <c r="Q85" i="16" s="1"/>
  <c r="R85" i="16" s="1"/>
  <c r="AH84" i="16"/>
  <c r="AI84" i="16" s="1"/>
  <c r="X84" i="16"/>
  <c r="T84" i="16"/>
  <c r="O84" i="16"/>
  <c r="P84" i="16" s="1"/>
  <c r="Q84" i="16" s="1"/>
  <c r="R84" i="16" s="1"/>
  <c r="AH83" i="16"/>
  <c r="AI83" i="16" s="1"/>
  <c r="X83" i="16"/>
  <c r="T83" i="16"/>
  <c r="O83" i="16"/>
  <c r="P83" i="16" s="1"/>
  <c r="Q83" i="16" s="1"/>
  <c r="AH82" i="16"/>
  <c r="AI82" i="16" s="1"/>
  <c r="X82" i="16"/>
  <c r="T82" i="16"/>
  <c r="O82" i="16"/>
  <c r="P82" i="16" s="1"/>
  <c r="Q82" i="16" s="1"/>
  <c r="R82" i="16" s="1"/>
  <c r="AH81" i="16"/>
  <c r="AI81" i="16" s="1"/>
  <c r="X81" i="16"/>
  <c r="T81" i="16"/>
  <c r="O81" i="16"/>
  <c r="P81" i="16" s="1"/>
  <c r="Q81" i="16" s="1"/>
  <c r="AH80" i="16"/>
  <c r="AI80" i="16" s="1"/>
  <c r="X80" i="16"/>
  <c r="T80" i="16"/>
  <c r="O80" i="16"/>
  <c r="P80" i="16" s="1"/>
  <c r="Q80" i="16" s="1"/>
  <c r="AH79" i="16"/>
  <c r="AI79" i="16" s="1"/>
  <c r="X79" i="16"/>
  <c r="T79" i="16"/>
  <c r="O79" i="16"/>
  <c r="P79" i="16" s="1"/>
  <c r="Q79" i="16" s="1"/>
  <c r="AH78" i="16"/>
  <c r="AI78" i="16" s="1"/>
  <c r="X78" i="16"/>
  <c r="T78" i="16"/>
  <c r="O78" i="16"/>
  <c r="P78" i="16" s="1"/>
  <c r="Q78" i="16" s="1"/>
  <c r="R78" i="16" s="1"/>
  <c r="AH77" i="16"/>
  <c r="AI77" i="16" s="1"/>
  <c r="X77" i="16"/>
  <c r="T77" i="16"/>
  <c r="O77" i="16"/>
  <c r="P77" i="16" s="1"/>
  <c r="Q77" i="16" s="1"/>
  <c r="R77" i="16" s="1"/>
  <c r="AH76" i="16"/>
  <c r="AI76" i="16" s="1"/>
  <c r="X76" i="16"/>
  <c r="T76" i="16"/>
  <c r="O76" i="16"/>
  <c r="P76" i="16" s="1"/>
  <c r="Q76" i="16" s="1"/>
  <c r="R76" i="16" s="1"/>
  <c r="AH75" i="16"/>
  <c r="AI75" i="16" s="1"/>
  <c r="X75" i="16"/>
  <c r="T75" i="16"/>
  <c r="O75" i="16"/>
  <c r="P75" i="16" s="1"/>
  <c r="Q75" i="16" s="1"/>
  <c r="AH74" i="16"/>
  <c r="AI74" i="16" s="1"/>
  <c r="X74" i="16"/>
  <c r="T74" i="16"/>
  <c r="O74" i="16"/>
  <c r="P74" i="16" s="1"/>
  <c r="Q74" i="16" s="1"/>
  <c r="R74" i="16" s="1"/>
  <c r="AH73" i="16"/>
  <c r="AI73" i="16" s="1"/>
  <c r="X73" i="16"/>
  <c r="T73" i="16"/>
  <c r="O73" i="16"/>
  <c r="P73" i="16" s="1"/>
  <c r="Q73" i="16" s="1"/>
  <c r="AH72" i="16"/>
  <c r="AI72" i="16" s="1"/>
  <c r="X72" i="16"/>
  <c r="T72" i="16"/>
  <c r="O72" i="16"/>
  <c r="P72" i="16" s="1"/>
  <c r="Q72" i="16" s="1"/>
  <c r="R72" i="16" s="1"/>
  <c r="AH71" i="16"/>
  <c r="AI71" i="16" s="1"/>
  <c r="X71" i="16"/>
  <c r="T71" i="16"/>
  <c r="O71" i="16"/>
  <c r="P71" i="16" s="1"/>
  <c r="Q71" i="16" s="1"/>
  <c r="AH70" i="16"/>
  <c r="AI70" i="16" s="1"/>
  <c r="X70" i="16"/>
  <c r="T70" i="16"/>
  <c r="O70" i="16"/>
  <c r="P70" i="16" s="1"/>
  <c r="Q70" i="16" s="1"/>
  <c r="R70" i="16" s="1"/>
  <c r="AH69" i="16"/>
  <c r="AI69" i="16" s="1"/>
  <c r="X69" i="16"/>
  <c r="T69" i="16"/>
  <c r="O69" i="16"/>
  <c r="P69" i="16" s="1"/>
  <c r="Q69" i="16" s="1"/>
  <c r="R69" i="16" s="1"/>
  <c r="AH68" i="16"/>
  <c r="AI68" i="16" s="1"/>
  <c r="X68" i="16"/>
  <c r="T68" i="16"/>
  <c r="O68" i="16"/>
  <c r="P68" i="16" s="1"/>
  <c r="Q68" i="16" s="1"/>
  <c r="R68" i="16" s="1"/>
  <c r="AH67" i="16"/>
  <c r="AI67" i="16" s="1"/>
  <c r="X67" i="16"/>
  <c r="T67" i="16"/>
  <c r="O67" i="16"/>
  <c r="P67" i="16" s="1"/>
  <c r="Q67" i="16" s="1"/>
  <c r="R67" i="16" s="1"/>
  <c r="AH66" i="16"/>
  <c r="AI66" i="16" s="1"/>
  <c r="X66" i="16"/>
  <c r="T66" i="16"/>
  <c r="O66" i="16"/>
  <c r="P66" i="16" s="1"/>
  <c r="Q66" i="16" s="1"/>
  <c r="R66" i="16" s="1"/>
  <c r="AH65" i="16"/>
  <c r="AI65" i="16" s="1"/>
  <c r="X65" i="16"/>
  <c r="T65" i="16"/>
  <c r="O65" i="16"/>
  <c r="P65" i="16" s="1"/>
  <c r="Q65" i="16" s="1"/>
  <c r="R65" i="16" s="1"/>
  <c r="AH64" i="16"/>
  <c r="AI64" i="16" s="1"/>
  <c r="X64" i="16"/>
  <c r="T64" i="16"/>
  <c r="O64" i="16"/>
  <c r="P64" i="16" s="1"/>
  <c r="Q64" i="16" s="1"/>
  <c r="R64" i="16" s="1"/>
  <c r="AH63" i="16"/>
  <c r="AI63" i="16" s="1"/>
  <c r="X63" i="16"/>
  <c r="T63" i="16"/>
  <c r="O63" i="16"/>
  <c r="P63" i="16" s="1"/>
  <c r="Q63" i="16" s="1"/>
  <c r="AH62" i="16"/>
  <c r="AI62" i="16" s="1"/>
  <c r="X62" i="16"/>
  <c r="T62" i="16"/>
  <c r="O62" i="16"/>
  <c r="P62" i="16" s="1"/>
  <c r="Q62" i="16" s="1"/>
  <c r="R62" i="16" s="1"/>
  <c r="AH61" i="16"/>
  <c r="AI61" i="16" s="1"/>
  <c r="X61" i="16"/>
  <c r="T61" i="16"/>
  <c r="O61" i="16"/>
  <c r="P61" i="16" s="1"/>
  <c r="Q61" i="16" s="1"/>
  <c r="R61" i="16" s="1"/>
  <c r="AH60" i="16"/>
  <c r="AI60" i="16" s="1"/>
  <c r="X60" i="16"/>
  <c r="T60" i="16"/>
  <c r="O60" i="16"/>
  <c r="P60" i="16" s="1"/>
  <c r="Q60" i="16" s="1"/>
  <c r="R60" i="16" s="1"/>
  <c r="AH59" i="16"/>
  <c r="AI59" i="16" s="1"/>
  <c r="X59" i="16"/>
  <c r="T59" i="16"/>
  <c r="O59" i="16"/>
  <c r="P59" i="16" s="1"/>
  <c r="Q59" i="16" s="1"/>
  <c r="R59" i="16" s="1"/>
  <c r="AH58" i="16"/>
  <c r="AI58" i="16" s="1"/>
  <c r="X58" i="16"/>
  <c r="T58" i="16"/>
  <c r="O58" i="16"/>
  <c r="P58" i="16" s="1"/>
  <c r="Q58" i="16" s="1"/>
  <c r="R58" i="16" s="1"/>
  <c r="AH57" i="16"/>
  <c r="AI57" i="16" s="1"/>
  <c r="X57" i="16"/>
  <c r="T57" i="16"/>
  <c r="O57" i="16"/>
  <c r="P57" i="16" s="1"/>
  <c r="Q57" i="16" s="1"/>
  <c r="R57" i="16" s="1"/>
  <c r="AH56" i="16"/>
  <c r="AI56" i="16" s="1"/>
  <c r="X56" i="16"/>
  <c r="T56" i="16"/>
  <c r="O56" i="16"/>
  <c r="P56" i="16" s="1"/>
  <c r="Q56" i="16" s="1"/>
  <c r="R56" i="16" s="1"/>
  <c r="AH55" i="16"/>
  <c r="AI55" i="16" s="1"/>
  <c r="X55" i="16"/>
  <c r="T55" i="16"/>
  <c r="O55" i="16"/>
  <c r="P55" i="16" s="1"/>
  <c r="Q55" i="16" s="1"/>
  <c r="AH54" i="16"/>
  <c r="AI54" i="16" s="1"/>
  <c r="X54" i="16"/>
  <c r="T54" i="16"/>
  <c r="O54" i="16"/>
  <c r="P54" i="16" s="1"/>
  <c r="Q54" i="16" s="1"/>
  <c r="R54" i="16" s="1"/>
  <c r="AH53" i="16"/>
  <c r="AI53" i="16" s="1"/>
  <c r="X53" i="16"/>
  <c r="T53" i="16"/>
  <c r="O53" i="16"/>
  <c r="P53" i="16" s="1"/>
  <c r="Q53" i="16" s="1"/>
  <c r="R53" i="16" s="1"/>
  <c r="AH52" i="16"/>
  <c r="AI52" i="16" s="1"/>
  <c r="X52" i="16"/>
  <c r="T52" i="16"/>
  <c r="O52" i="16"/>
  <c r="P52" i="16" s="1"/>
  <c r="Q52" i="16" s="1"/>
  <c r="R52" i="16" s="1"/>
  <c r="AH51" i="16"/>
  <c r="AI51" i="16" s="1"/>
  <c r="X51" i="16"/>
  <c r="T51" i="16"/>
  <c r="O51" i="16"/>
  <c r="P51" i="16" s="1"/>
  <c r="Q51" i="16" s="1"/>
  <c r="R51" i="16" s="1"/>
  <c r="AH50" i="16"/>
  <c r="AI50" i="16" s="1"/>
  <c r="X50" i="16"/>
  <c r="T50" i="16"/>
  <c r="O50" i="16"/>
  <c r="P50" i="16" s="1"/>
  <c r="Q50" i="16" s="1"/>
  <c r="R50" i="16" s="1"/>
  <c r="AH49" i="16"/>
  <c r="AI49" i="16" s="1"/>
  <c r="X49" i="16"/>
  <c r="T49" i="16"/>
  <c r="O49" i="16"/>
  <c r="P49" i="16" s="1"/>
  <c r="Q49" i="16" s="1"/>
  <c r="R49" i="16" s="1"/>
  <c r="AH48" i="16"/>
  <c r="AI48" i="16" s="1"/>
  <c r="X48" i="16"/>
  <c r="T48" i="16"/>
  <c r="O48" i="16"/>
  <c r="P48" i="16" s="1"/>
  <c r="Q48" i="16" s="1"/>
  <c r="R48" i="16" s="1"/>
  <c r="AH47" i="16"/>
  <c r="AI47" i="16" s="1"/>
  <c r="X47" i="16"/>
  <c r="T47" i="16"/>
  <c r="O47" i="16"/>
  <c r="P47" i="16" s="1"/>
  <c r="Q47" i="16" s="1"/>
  <c r="AH46" i="16"/>
  <c r="AI46" i="16" s="1"/>
  <c r="X46" i="16"/>
  <c r="T46" i="16"/>
  <c r="O46" i="16"/>
  <c r="P46" i="16" s="1"/>
  <c r="Q46" i="16" s="1"/>
  <c r="R46" i="16" s="1"/>
  <c r="AH45" i="16"/>
  <c r="AI45" i="16" s="1"/>
  <c r="X45" i="16"/>
  <c r="T45" i="16"/>
  <c r="O45" i="16"/>
  <c r="P45" i="16" s="1"/>
  <c r="Q45" i="16" s="1"/>
  <c r="R45" i="16" s="1"/>
  <c r="AH44" i="16"/>
  <c r="AI44" i="16" s="1"/>
  <c r="X44" i="16"/>
  <c r="T44" i="16"/>
  <c r="O44" i="16"/>
  <c r="P44" i="16" s="1"/>
  <c r="Q44" i="16" s="1"/>
  <c r="AH43" i="16"/>
  <c r="AI43" i="16" s="1"/>
  <c r="X43" i="16"/>
  <c r="T43" i="16"/>
  <c r="O43" i="16"/>
  <c r="P43" i="16" s="1"/>
  <c r="Q43" i="16" s="1"/>
  <c r="R43" i="16" s="1"/>
  <c r="AH42" i="16"/>
  <c r="AI42" i="16" s="1"/>
  <c r="X42" i="16"/>
  <c r="T42" i="16"/>
  <c r="O42" i="16"/>
  <c r="P42" i="16" s="1"/>
  <c r="Q42" i="16" s="1"/>
  <c r="R42" i="16" s="1"/>
  <c r="AH41" i="16"/>
  <c r="AI41" i="16" s="1"/>
  <c r="X41" i="16"/>
  <c r="T41" i="16"/>
  <c r="O41" i="16"/>
  <c r="P41" i="16" s="1"/>
  <c r="Q41" i="16" s="1"/>
  <c r="AH40" i="16"/>
  <c r="AI40" i="16" s="1"/>
  <c r="X40" i="16"/>
  <c r="T40" i="16"/>
  <c r="O40" i="16"/>
  <c r="P40" i="16" s="1"/>
  <c r="Q40" i="16" s="1"/>
  <c r="R40" i="16" s="1"/>
  <c r="AH39" i="16"/>
  <c r="AI39" i="16" s="1"/>
  <c r="X39" i="16"/>
  <c r="T39" i="16"/>
  <c r="O39" i="16"/>
  <c r="P39" i="16" s="1"/>
  <c r="Q39" i="16" s="1"/>
  <c r="AH38" i="16"/>
  <c r="AI38" i="16" s="1"/>
  <c r="X38" i="16"/>
  <c r="T38" i="16"/>
  <c r="O38" i="16"/>
  <c r="P38" i="16" s="1"/>
  <c r="Q38" i="16" s="1"/>
  <c r="R38" i="16" s="1"/>
  <c r="AH37" i="16"/>
  <c r="AI37" i="16" s="1"/>
  <c r="X37" i="16"/>
  <c r="T37" i="16"/>
  <c r="O37" i="16"/>
  <c r="P37" i="16" s="1"/>
  <c r="Q37" i="16" s="1"/>
  <c r="R37" i="16" s="1"/>
  <c r="AH36" i="16"/>
  <c r="AI36" i="16" s="1"/>
  <c r="X36" i="16"/>
  <c r="T36" i="16"/>
  <c r="O36" i="16"/>
  <c r="P36" i="16" s="1"/>
  <c r="Q36" i="16" s="1"/>
  <c r="R36" i="16" s="1"/>
  <c r="AH35" i="16"/>
  <c r="AI35" i="16" s="1"/>
  <c r="X35" i="16"/>
  <c r="T35" i="16"/>
  <c r="O35" i="16"/>
  <c r="P35" i="16" s="1"/>
  <c r="Q35" i="16" s="1"/>
  <c r="R35" i="16" s="1"/>
  <c r="AH34" i="16"/>
  <c r="AI34" i="16" s="1"/>
  <c r="X34" i="16"/>
  <c r="T34" i="16"/>
  <c r="O34" i="16"/>
  <c r="P34" i="16" s="1"/>
  <c r="Q34" i="16" s="1"/>
  <c r="R34" i="16" s="1"/>
  <c r="AH33" i="16"/>
  <c r="AI33" i="16" s="1"/>
  <c r="X33" i="16"/>
  <c r="T33" i="16"/>
  <c r="O33" i="16"/>
  <c r="P33" i="16" s="1"/>
  <c r="Q33" i="16" s="1"/>
  <c r="AH32" i="16"/>
  <c r="AI32" i="16" s="1"/>
  <c r="X32" i="16"/>
  <c r="T32" i="16"/>
  <c r="O32" i="16"/>
  <c r="P32" i="16" s="1"/>
  <c r="Q32" i="16" s="1"/>
  <c r="R32" i="16" s="1"/>
  <c r="AH31" i="16"/>
  <c r="AI31" i="16" s="1"/>
  <c r="X31" i="16"/>
  <c r="T31" i="16"/>
  <c r="O31" i="16"/>
  <c r="P31" i="16" s="1"/>
  <c r="Q31" i="16" s="1"/>
  <c r="AH30" i="16"/>
  <c r="AI30" i="16" s="1"/>
  <c r="X30" i="16"/>
  <c r="T30" i="16"/>
  <c r="O30" i="16"/>
  <c r="P30" i="16" s="1"/>
  <c r="Q30" i="16" s="1"/>
  <c r="R30" i="16" s="1"/>
  <c r="AH29" i="16"/>
  <c r="AI29" i="16" s="1"/>
  <c r="X29" i="16"/>
  <c r="T29" i="16"/>
  <c r="O29" i="16"/>
  <c r="P29" i="16" s="1"/>
  <c r="Q29" i="16" s="1"/>
  <c r="R29" i="16" s="1"/>
  <c r="AH28" i="16"/>
  <c r="AI28" i="16" s="1"/>
  <c r="X28" i="16"/>
  <c r="T28" i="16"/>
  <c r="O28" i="16"/>
  <c r="P28" i="16" s="1"/>
  <c r="Q28" i="16" s="1"/>
  <c r="R28" i="16" s="1"/>
  <c r="AH27" i="16"/>
  <c r="AI27" i="16" s="1"/>
  <c r="X27" i="16"/>
  <c r="T27" i="16"/>
  <c r="O27" i="16"/>
  <c r="P27" i="16" s="1"/>
  <c r="Q27" i="16" s="1"/>
  <c r="R27" i="16" s="1"/>
  <c r="AJ21" i="16"/>
  <c r="Z20" i="16"/>
  <c r="AA21" i="16" s="1"/>
  <c r="AO17" i="16"/>
  <c r="AF17" i="16"/>
  <c r="Z17" i="16"/>
  <c r="W17" i="16"/>
  <c r="V17" i="16"/>
  <c r="S17" i="16"/>
  <c r="N17" i="16"/>
  <c r="L17" i="16"/>
  <c r="K17" i="16"/>
  <c r="E17" i="16"/>
  <c r="D17" i="16"/>
  <c r="C17" i="16"/>
  <c r="U39" i="16" l="1"/>
  <c r="X17" i="16"/>
  <c r="U145" i="16"/>
  <c r="U46" i="16"/>
  <c r="U50" i="16"/>
  <c r="U134" i="16"/>
  <c r="U166" i="16"/>
  <c r="U72" i="16"/>
  <c r="U167" i="16"/>
  <c r="U56" i="16"/>
  <c r="U135" i="16"/>
  <c r="U45" i="16"/>
  <c r="U99" i="16"/>
  <c r="U51" i="16"/>
  <c r="U61" i="16"/>
  <c r="U77" i="16"/>
  <c r="U143" i="16"/>
  <c r="AA159" i="16"/>
  <c r="AA160" i="16"/>
  <c r="AA119" i="16"/>
  <c r="AA37" i="16"/>
  <c r="AA29" i="16"/>
  <c r="AA30" i="16"/>
  <c r="U80" i="16"/>
  <c r="R80" i="16"/>
  <c r="U83" i="16"/>
  <c r="R83" i="16"/>
  <c r="U165" i="16"/>
  <c r="R165" i="16"/>
  <c r="U170" i="16"/>
  <c r="R170" i="16"/>
  <c r="U36" i="16"/>
  <c r="U44" i="16"/>
  <c r="AA45" i="16"/>
  <c r="U52" i="16"/>
  <c r="AA60" i="16"/>
  <c r="R73" i="16"/>
  <c r="U73" i="16"/>
  <c r="U88" i="16"/>
  <c r="R88" i="16"/>
  <c r="U92" i="16"/>
  <c r="U96" i="16"/>
  <c r="R96" i="16"/>
  <c r="U107" i="16"/>
  <c r="U110" i="16"/>
  <c r="U113" i="16"/>
  <c r="R113" i="16"/>
  <c r="R117" i="16"/>
  <c r="U117" i="16"/>
  <c r="U162" i="16"/>
  <c r="R162" i="16"/>
  <c r="AA167" i="16"/>
  <c r="U168" i="16"/>
  <c r="U172" i="16"/>
  <c r="U175" i="16"/>
  <c r="R175" i="16"/>
  <c r="U194" i="16"/>
  <c r="AA38" i="16"/>
  <c r="U28" i="16"/>
  <c r="U40" i="16"/>
  <c r="AA49" i="16"/>
  <c r="U57" i="16"/>
  <c r="U68" i="16"/>
  <c r="U101" i="16"/>
  <c r="R101" i="16"/>
  <c r="U127" i="16"/>
  <c r="U150" i="16"/>
  <c r="U121" i="16"/>
  <c r="R121" i="16"/>
  <c r="U157" i="16"/>
  <c r="R157" i="16"/>
  <c r="U188" i="16"/>
  <c r="R188" i="16"/>
  <c r="U32" i="16"/>
  <c r="U129" i="16"/>
  <c r="R129" i="16"/>
  <c r="U138" i="16"/>
  <c r="R138" i="16"/>
  <c r="AA154" i="16"/>
  <c r="U27" i="16"/>
  <c r="U29" i="16"/>
  <c r="U31" i="16"/>
  <c r="AI17" i="16"/>
  <c r="U37" i="16"/>
  <c r="U66" i="16"/>
  <c r="U67" i="16"/>
  <c r="U75" i="16"/>
  <c r="R75" i="16"/>
  <c r="U84" i="16"/>
  <c r="U104" i="16"/>
  <c r="R104" i="16"/>
  <c r="U133" i="16"/>
  <c r="U30" i="16"/>
  <c r="U35" i="16"/>
  <c r="U116" i="16"/>
  <c r="R116" i="16"/>
  <c r="U118" i="16"/>
  <c r="U124" i="16"/>
  <c r="R124" i="16"/>
  <c r="U141" i="16"/>
  <c r="U146" i="16"/>
  <c r="U149" i="16"/>
  <c r="U154" i="16"/>
  <c r="U158" i="16"/>
  <c r="U191" i="16"/>
  <c r="R191" i="16"/>
  <c r="U38" i="16"/>
  <c r="U43" i="16"/>
  <c r="U47" i="16"/>
  <c r="U94" i="16"/>
  <c r="U111" i="16"/>
  <c r="U151" i="16"/>
  <c r="U179" i="16"/>
  <c r="U91" i="16"/>
  <c r="U119" i="16"/>
  <c r="U126" i="16"/>
  <c r="U142" i="16"/>
  <c r="U159" i="16"/>
  <c r="U193" i="16"/>
  <c r="R33" i="16"/>
  <c r="U33" i="16"/>
  <c r="R41" i="16"/>
  <c r="U41" i="16"/>
  <c r="R130" i="16"/>
  <c r="U130" i="16"/>
  <c r="T17" i="16"/>
  <c r="R55" i="16"/>
  <c r="U55" i="16"/>
  <c r="U79" i="16"/>
  <c r="R79" i="16"/>
  <c r="R98" i="16"/>
  <c r="U98" i="16"/>
  <c r="R108" i="16"/>
  <c r="U108" i="16"/>
  <c r="R114" i="16"/>
  <c r="U114" i="16"/>
  <c r="M17" i="16"/>
  <c r="R31" i="16"/>
  <c r="AA33" i="16"/>
  <c r="AA34" i="16"/>
  <c r="R39" i="16"/>
  <c r="AA41" i="16"/>
  <c r="AA42" i="16"/>
  <c r="R44" i="16"/>
  <c r="R47" i="16"/>
  <c r="U48" i="16"/>
  <c r="U49" i="16"/>
  <c r="U64" i="16"/>
  <c r="U65" i="16"/>
  <c r="U78" i="16"/>
  <c r="U85" i="16"/>
  <c r="U87" i="16"/>
  <c r="R87" i="16"/>
  <c r="R89" i="16"/>
  <c r="U89" i="16"/>
  <c r="R100" i="16"/>
  <c r="U100" i="16"/>
  <c r="R105" i="16"/>
  <c r="U105" i="16"/>
  <c r="R163" i="16"/>
  <c r="U163" i="16"/>
  <c r="R106" i="16"/>
  <c r="U106" i="16"/>
  <c r="R137" i="16"/>
  <c r="U137" i="16"/>
  <c r="R71" i="16"/>
  <c r="U71" i="16"/>
  <c r="R81" i="16"/>
  <c r="U81" i="16"/>
  <c r="AA192" i="16"/>
  <c r="AA188" i="16"/>
  <c r="AA195" i="16"/>
  <c r="AA191" i="16"/>
  <c r="AA187" i="16"/>
  <c r="AA183" i="16"/>
  <c r="AA179" i="16"/>
  <c r="AA190" i="16"/>
  <c r="AA189" i="16"/>
  <c r="AA180" i="16"/>
  <c r="AA174" i="16"/>
  <c r="AA170" i="16"/>
  <c r="AA194" i="16"/>
  <c r="AA178" i="16"/>
  <c r="AA171" i="16"/>
  <c r="AA166" i="16"/>
  <c r="AA193" i="16"/>
  <c r="AA185" i="16"/>
  <c r="AA184" i="16"/>
  <c r="AA182" i="16"/>
  <c r="AA177" i="16"/>
  <c r="AA176" i="16"/>
  <c r="AA169" i="16"/>
  <c r="AA165" i="16"/>
  <c r="AA161" i="16"/>
  <c r="AA157" i="16"/>
  <c r="AA153" i="16"/>
  <c r="AA149" i="16"/>
  <c r="AA175" i="16"/>
  <c r="AA172" i="16"/>
  <c r="AA158" i="16"/>
  <c r="AA150" i="16"/>
  <c r="AA181" i="16"/>
  <c r="AA164" i="16"/>
  <c r="AA163" i="16"/>
  <c r="AA156" i="16"/>
  <c r="AA155" i="16"/>
  <c r="AA148" i="16"/>
  <c r="AA147" i="16"/>
  <c r="AA145" i="16"/>
  <c r="AA141" i="16"/>
  <c r="AA137" i="16"/>
  <c r="AA133" i="16"/>
  <c r="AA142" i="16"/>
  <c r="AA134" i="16"/>
  <c r="AA129" i="16"/>
  <c r="AA125" i="16"/>
  <c r="AA121" i="16"/>
  <c r="AA117" i="16"/>
  <c r="AA113" i="16"/>
  <c r="AA109" i="16"/>
  <c r="AA186" i="16"/>
  <c r="AA140" i="16"/>
  <c r="AA139" i="16"/>
  <c r="AA132" i="16"/>
  <c r="AA131" i="16"/>
  <c r="AA128" i="16"/>
  <c r="AA124" i="16"/>
  <c r="AA120" i="16"/>
  <c r="AA116" i="16"/>
  <c r="AA112" i="16"/>
  <c r="AA108" i="16"/>
  <c r="AA104" i="16"/>
  <c r="AA100" i="16"/>
  <c r="AA173" i="16"/>
  <c r="AA146" i="16"/>
  <c r="AA143" i="16"/>
  <c r="AA138" i="16"/>
  <c r="AA135" i="16"/>
  <c r="AA105" i="16"/>
  <c r="AA97" i="16"/>
  <c r="AA96" i="16"/>
  <c r="AA92" i="16"/>
  <c r="AA88" i="16"/>
  <c r="AA84" i="16"/>
  <c r="AA80" i="16"/>
  <c r="AA76" i="16"/>
  <c r="AA162" i="16"/>
  <c r="AA152" i="16"/>
  <c r="AA151" i="16"/>
  <c r="AA130" i="16"/>
  <c r="AA123" i="16"/>
  <c r="AA122" i="16"/>
  <c r="AA115" i="16"/>
  <c r="AA114" i="16"/>
  <c r="AA103" i="16"/>
  <c r="AA102" i="16"/>
  <c r="AA95" i="16"/>
  <c r="AA91" i="16"/>
  <c r="AA87" i="16"/>
  <c r="AA83" i="16"/>
  <c r="AA79" i="16"/>
  <c r="AA75" i="16"/>
  <c r="AA71" i="16"/>
  <c r="AA67" i="16"/>
  <c r="AA63" i="16"/>
  <c r="AA59" i="16"/>
  <c r="AA55" i="16"/>
  <c r="AA51" i="16"/>
  <c r="AA144" i="16"/>
  <c r="AA118" i="16"/>
  <c r="AA94" i="16"/>
  <c r="AA93" i="16"/>
  <c r="AA86" i="16"/>
  <c r="AA85" i="16"/>
  <c r="AA78" i="16"/>
  <c r="AA77" i="16"/>
  <c r="AA73" i="16"/>
  <c r="AA66" i="16"/>
  <c r="AA65" i="16"/>
  <c r="AA58" i="16"/>
  <c r="AA57" i="16"/>
  <c r="AA48" i="16"/>
  <c r="AA44" i="16"/>
  <c r="AA40" i="16"/>
  <c r="AA36" i="16"/>
  <c r="AA32" i="16"/>
  <c r="AA28" i="16"/>
  <c r="AA98" i="16"/>
  <c r="AA81" i="16"/>
  <c r="AA70" i="16"/>
  <c r="AA69" i="16"/>
  <c r="AA62" i="16"/>
  <c r="AA61" i="16"/>
  <c r="AA54" i="16"/>
  <c r="AA46" i="16"/>
  <c r="AA127" i="16"/>
  <c r="AA111" i="16"/>
  <c r="AA107" i="16"/>
  <c r="AA99" i="16"/>
  <c r="AA72" i="16"/>
  <c r="AA64" i="16"/>
  <c r="AA56" i="16"/>
  <c r="AA47" i="16"/>
  <c r="AA43" i="16"/>
  <c r="AA39" i="16"/>
  <c r="AA35" i="16"/>
  <c r="AA31" i="16"/>
  <c r="AA27" i="16"/>
  <c r="AA168" i="16"/>
  <c r="AA136" i="16"/>
  <c r="AA126" i="16"/>
  <c r="AA110" i="16"/>
  <c r="AA106" i="16"/>
  <c r="AA101" i="16"/>
  <c r="AA90" i="16"/>
  <c r="AA89" i="16"/>
  <c r="AA82" i="16"/>
  <c r="AA74" i="16"/>
  <c r="AA53" i="16"/>
  <c r="AA50" i="16"/>
  <c r="X20" i="16"/>
  <c r="Y21" i="16" s="1"/>
  <c r="Y32" i="16" s="1"/>
  <c r="U34" i="16"/>
  <c r="U42" i="16"/>
  <c r="AA52" i="16"/>
  <c r="U53" i="16"/>
  <c r="U58" i="16"/>
  <c r="U59" i="16"/>
  <c r="U60" i="16"/>
  <c r="R63" i="16"/>
  <c r="U63" i="16"/>
  <c r="AA68" i="16"/>
  <c r="U69" i="16"/>
  <c r="U76" i="16"/>
  <c r="U86" i="16"/>
  <c r="U93" i="16"/>
  <c r="U95" i="16"/>
  <c r="R95" i="16"/>
  <c r="R97" i="16"/>
  <c r="U97" i="16"/>
  <c r="R122" i="16"/>
  <c r="U122" i="16"/>
  <c r="U112" i="16"/>
  <c r="R112" i="16"/>
  <c r="U128" i="16"/>
  <c r="R128" i="16"/>
  <c r="R139" i="16"/>
  <c r="U139" i="16"/>
  <c r="R147" i="16"/>
  <c r="U147" i="16"/>
  <c r="U54" i="16"/>
  <c r="U62" i="16"/>
  <c r="U70" i="16"/>
  <c r="U74" i="16"/>
  <c r="U82" i="16"/>
  <c r="U90" i="16"/>
  <c r="R102" i="16"/>
  <c r="U102" i="16"/>
  <c r="U109" i="16"/>
  <c r="U125" i="16"/>
  <c r="U120" i="16"/>
  <c r="R120" i="16"/>
  <c r="R131" i="16"/>
  <c r="U131" i="16"/>
  <c r="R174" i="16"/>
  <c r="U174" i="16"/>
  <c r="R176" i="16"/>
  <c r="U176" i="16"/>
  <c r="U136" i="16"/>
  <c r="U144" i="16"/>
  <c r="U171" i="16"/>
  <c r="U103" i="16"/>
  <c r="U115" i="16"/>
  <c r="U123" i="16"/>
  <c r="R155" i="16"/>
  <c r="U155" i="16"/>
  <c r="U169" i="16"/>
  <c r="R169" i="16"/>
  <c r="U153" i="16"/>
  <c r="U161" i="16"/>
  <c r="U132" i="16"/>
  <c r="U140" i="16"/>
  <c r="U152" i="16"/>
  <c r="U160" i="16"/>
  <c r="U173" i="16"/>
  <c r="R181" i="16"/>
  <c r="U181" i="16"/>
  <c r="U187" i="16"/>
  <c r="R187" i="16"/>
  <c r="R192" i="16"/>
  <c r="U192" i="16"/>
  <c r="U148" i="16"/>
  <c r="U156" i="16"/>
  <c r="U164" i="16"/>
  <c r="U180" i="16"/>
  <c r="U182" i="16"/>
  <c r="R183" i="16"/>
  <c r="U183" i="16"/>
  <c r="U184" i="16"/>
  <c r="U189" i="16"/>
  <c r="U195" i="16"/>
  <c r="R195" i="16"/>
  <c r="U177" i="16"/>
  <c r="U185" i="16"/>
  <c r="U186" i="16"/>
  <c r="U178" i="16"/>
  <c r="U190" i="16"/>
  <c r="Y80" i="16" l="1"/>
  <c r="AB80" i="16" s="1"/>
  <c r="AC80" i="16" s="1"/>
  <c r="Y84" i="16"/>
  <c r="AB84" i="16" s="1"/>
  <c r="AC84" i="16" s="1"/>
  <c r="R17" i="16"/>
  <c r="Y154" i="16"/>
  <c r="AB154" i="16" s="1"/>
  <c r="AC154" i="16" s="1"/>
  <c r="Y76" i="16"/>
  <c r="AB76" i="16" s="1"/>
  <c r="AC76" i="16" s="1"/>
  <c r="Y180" i="16"/>
  <c r="AB180" i="16" s="1"/>
  <c r="AC180" i="16" s="1"/>
  <c r="Y158" i="16"/>
  <c r="AB158" i="16" s="1"/>
  <c r="AC158" i="16" s="1"/>
  <c r="Y184" i="16"/>
  <c r="AB184" i="16" s="1"/>
  <c r="AC184" i="16" s="1"/>
  <c r="Y101" i="16"/>
  <c r="AB101" i="16" s="1"/>
  <c r="AC101" i="16" s="1"/>
  <c r="Y47" i="16"/>
  <c r="AB47" i="16" s="1"/>
  <c r="AC47" i="16" s="1"/>
  <c r="Y187" i="16"/>
  <c r="AB187" i="16" s="1"/>
  <c r="AC187" i="16" s="1"/>
  <c r="Y162" i="16"/>
  <c r="AB162" i="16" s="1"/>
  <c r="AC162" i="16" s="1"/>
  <c r="Y146" i="16"/>
  <c r="AB146" i="16" s="1"/>
  <c r="AC146" i="16" s="1"/>
  <c r="Y105" i="16"/>
  <c r="AB105" i="16" s="1"/>
  <c r="AC105" i="16" s="1"/>
  <c r="Y193" i="16"/>
  <c r="AB193" i="16" s="1"/>
  <c r="AC193" i="16" s="1"/>
  <c r="Y189" i="16"/>
  <c r="AB189" i="16" s="1"/>
  <c r="AC189" i="16" s="1"/>
  <c r="Y194" i="16"/>
  <c r="AB194" i="16" s="1"/>
  <c r="AC194" i="16" s="1"/>
  <c r="Y186" i="16"/>
  <c r="AB186" i="16" s="1"/>
  <c r="AC186" i="16" s="1"/>
  <c r="Y181" i="16"/>
  <c r="AB181" i="16" s="1"/>
  <c r="AC181" i="16" s="1"/>
  <c r="Y190" i="16"/>
  <c r="AB190" i="16" s="1"/>
  <c r="AC190" i="16" s="1"/>
  <c r="Y174" i="16"/>
  <c r="AB174" i="16" s="1"/>
  <c r="AC174" i="16" s="1"/>
  <c r="Y173" i="16"/>
  <c r="AB173" i="16" s="1"/>
  <c r="AC173" i="16" s="1"/>
  <c r="Y172" i="16"/>
  <c r="AB172" i="16" s="1"/>
  <c r="AC172" i="16" s="1"/>
  <c r="Y167" i="16"/>
  <c r="AB167" i="16" s="1"/>
  <c r="AC167" i="16" s="1"/>
  <c r="Y191" i="16"/>
  <c r="AB191" i="16" s="1"/>
  <c r="AC191" i="16" s="1"/>
  <c r="Y170" i="16"/>
  <c r="AB170" i="16" s="1"/>
  <c r="AC170" i="16" s="1"/>
  <c r="Y168" i="16"/>
  <c r="AB168" i="16" s="1"/>
  <c r="AC168" i="16" s="1"/>
  <c r="Y161" i="16"/>
  <c r="AB161" i="16" s="1"/>
  <c r="AC161" i="16" s="1"/>
  <c r="Y160" i="16"/>
  <c r="AB160" i="16" s="1"/>
  <c r="AC160" i="16" s="1"/>
  <c r="Y159" i="16"/>
  <c r="AB159" i="16" s="1"/>
  <c r="AC159" i="16" s="1"/>
  <c r="Y153" i="16"/>
  <c r="AB153" i="16" s="1"/>
  <c r="AC153" i="16" s="1"/>
  <c r="Y152" i="16"/>
  <c r="AB152" i="16" s="1"/>
  <c r="AC152" i="16" s="1"/>
  <c r="Y151" i="16"/>
  <c r="AB151" i="16" s="1"/>
  <c r="AC151" i="16" s="1"/>
  <c r="Y156" i="16"/>
  <c r="AB156" i="16" s="1"/>
  <c r="AC156" i="16" s="1"/>
  <c r="Y148" i="16"/>
  <c r="AB148" i="16" s="1"/>
  <c r="AC148" i="16" s="1"/>
  <c r="Y145" i="16"/>
  <c r="AB145" i="16" s="1"/>
  <c r="AC145" i="16" s="1"/>
  <c r="Y144" i="16"/>
  <c r="AB144" i="16" s="1"/>
  <c r="AC144" i="16" s="1"/>
  <c r="Y143" i="16"/>
  <c r="AB143" i="16" s="1"/>
  <c r="AC143" i="16" s="1"/>
  <c r="Y137" i="16"/>
  <c r="AB137" i="16" s="1"/>
  <c r="AC137" i="16" s="1"/>
  <c r="Y136" i="16"/>
  <c r="AB136" i="16" s="1"/>
  <c r="AC136" i="16" s="1"/>
  <c r="Y135" i="16"/>
  <c r="AB135" i="16" s="1"/>
  <c r="AC135" i="16" s="1"/>
  <c r="Y130" i="16"/>
  <c r="AB130" i="16" s="1"/>
  <c r="AC130" i="16" s="1"/>
  <c r="Y126" i="16"/>
  <c r="AB126" i="16" s="1"/>
  <c r="AC126" i="16" s="1"/>
  <c r="Y122" i="16"/>
  <c r="AB122" i="16" s="1"/>
  <c r="AC122" i="16" s="1"/>
  <c r="Y118" i="16"/>
  <c r="AB118" i="16" s="1"/>
  <c r="AC118" i="16" s="1"/>
  <c r="Y114" i="16"/>
  <c r="AB114" i="16" s="1"/>
  <c r="AC114" i="16" s="1"/>
  <c r="AE114" i="16" s="1"/>
  <c r="Y110" i="16"/>
  <c r="AB110" i="16" s="1"/>
  <c r="AC110" i="16" s="1"/>
  <c r="Y179" i="16"/>
  <c r="AB179" i="16" s="1"/>
  <c r="AC179" i="16" s="1"/>
  <c r="Y165" i="16"/>
  <c r="AB165" i="16" s="1"/>
  <c r="AC165" i="16" s="1"/>
  <c r="Y155" i="16"/>
  <c r="AB155" i="16" s="1"/>
  <c r="AC155" i="16" s="1"/>
  <c r="Y149" i="16"/>
  <c r="AB149" i="16" s="1"/>
  <c r="AC149" i="16" s="1"/>
  <c r="Y141" i="16"/>
  <c r="AB141" i="16" s="1"/>
  <c r="AC141" i="16" s="1"/>
  <c r="Y133" i="16"/>
  <c r="AB133" i="16" s="1"/>
  <c r="AC133" i="16" s="1"/>
  <c r="Y127" i="16"/>
  <c r="AB127" i="16" s="1"/>
  <c r="AC127" i="16" s="1"/>
  <c r="Y119" i="16"/>
  <c r="AB119" i="16" s="1"/>
  <c r="AC119" i="16" s="1"/>
  <c r="Y111" i="16"/>
  <c r="AB111" i="16" s="1"/>
  <c r="AC111" i="16" s="1"/>
  <c r="Y108" i="16"/>
  <c r="AB108" i="16" s="1"/>
  <c r="AC108" i="16" s="1"/>
  <c r="Y107" i="16"/>
  <c r="AB107" i="16" s="1"/>
  <c r="AC107" i="16" s="1"/>
  <c r="Y106" i="16"/>
  <c r="AB106" i="16" s="1"/>
  <c r="AC106" i="16" s="1"/>
  <c r="Y100" i="16"/>
  <c r="AB100" i="16" s="1"/>
  <c r="AC100" i="16" s="1"/>
  <c r="Y99" i="16"/>
  <c r="AB99" i="16" s="1"/>
  <c r="AC99" i="16" s="1"/>
  <c r="Y98" i="16"/>
  <c r="AB98" i="16" s="1"/>
  <c r="AC98" i="16" s="1"/>
  <c r="AE98" i="16" s="1"/>
  <c r="AJ98" i="16" s="1"/>
  <c r="AK98" i="16" s="1"/>
  <c r="Y93" i="16"/>
  <c r="AB93" i="16" s="1"/>
  <c r="AC93" i="16" s="1"/>
  <c r="Y89" i="16"/>
  <c r="AB89" i="16" s="1"/>
  <c r="AC89" i="16" s="1"/>
  <c r="Y85" i="16"/>
  <c r="AB85" i="16" s="1"/>
  <c r="AC85" i="16" s="1"/>
  <c r="Y81" i="16"/>
  <c r="AB81" i="16" s="1"/>
  <c r="AC81" i="16" s="1"/>
  <c r="AE81" i="16" s="1"/>
  <c r="AJ81" i="16" s="1"/>
  <c r="AK81" i="16" s="1"/>
  <c r="Y77" i="16"/>
  <c r="AB77" i="16" s="1"/>
  <c r="AC77" i="16" s="1"/>
  <c r="Y176" i="16"/>
  <c r="AB176" i="16" s="1"/>
  <c r="AC176" i="16" s="1"/>
  <c r="Y131" i="16"/>
  <c r="AB131" i="16" s="1"/>
  <c r="AC131" i="16" s="1"/>
  <c r="Y116" i="16"/>
  <c r="AB116" i="16" s="1"/>
  <c r="AC116" i="16" s="1"/>
  <c r="Y91" i="16"/>
  <c r="AB91" i="16" s="1"/>
  <c r="AC91" i="16" s="1"/>
  <c r="Y83" i="16"/>
  <c r="AB83" i="16" s="1"/>
  <c r="AC83" i="16" s="1"/>
  <c r="Y75" i="16"/>
  <c r="AB75" i="16" s="1"/>
  <c r="AC75" i="16" s="1"/>
  <c r="Y49" i="16"/>
  <c r="AB49" i="16" s="1"/>
  <c r="AC49" i="16" s="1"/>
  <c r="Y45" i="16"/>
  <c r="AB45" i="16" s="1"/>
  <c r="AC45" i="16" s="1"/>
  <c r="Y41" i="16"/>
  <c r="AB41" i="16" s="1"/>
  <c r="AC41" i="16" s="1"/>
  <c r="AE41" i="16" s="1"/>
  <c r="AJ41" i="16" s="1"/>
  <c r="AK41" i="16" s="1"/>
  <c r="Y37" i="16"/>
  <c r="AB37" i="16" s="1"/>
  <c r="AC37" i="16" s="1"/>
  <c r="Y33" i="16"/>
  <c r="AB33" i="16" s="1"/>
  <c r="AC33" i="16" s="1"/>
  <c r="Y29" i="16"/>
  <c r="AB29" i="16" s="1"/>
  <c r="AC29" i="16" s="1"/>
  <c r="Y185" i="16"/>
  <c r="AB185" i="16" s="1"/>
  <c r="AC185" i="16" s="1"/>
  <c r="Y123" i="16"/>
  <c r="AB123" i="16" s="1"/>
  <c r="AC123" i="16" s="1"/>
  <c r="Y102" i="16"/>
  <c r="AB102" i="16" s="1"/>
  <c r="AC102" i="16" s="1"/>
  <c r="Y94" i="16"/>
  <c r="AB94" i="16" s="1"/>
  <c r="AC94" i="16" s="1"/>
  <c r="Y86" i="16"/>
  <c r="AB86" i="16" s="1"/>
  <c r="AC86" i="16" s="1"/>
  <c r="Y78" i="16"/>
  <c r="AB78" i="16" s="1"/>
  <c r="AC78" i="16" s="1"/>
  <c r="Y73" i="16"/>
  <c r="AB73" i="16" s="1"/>
  <c r="AC73" i="16" s="1"/>
  <c r="Y65" i="16"/>
  <c r="AB65" i="16" s="1"/>
  <c r="AC65" i="16" s="1"/>
  <c r="Y57" i="16"/>
  <c r="AB57" i="16" s="1"/>
  <c r="AC57" i="16" s="1"/>
  <c r="Y157" i="16"/>
  <c r="AB157" i="16" s="1"/>
  <c r="AC157" i="16" s="1"/>
  <c r="Y147" i="16"/>
  <c r="AB147" i="16" s="1"/>
  <c r="AC147" i="16" s="1"/>
  <c r="Y139" i="16"/>
  <c r="AB139" i="16" s="1"/>
  <c r="AC139" i="16" s="1"/>
  <c r="Y124" i="16"/>
  <c r="AB124" i="16" s="1"/>
  <c r="AC124" i="16" s="1"/>
  <c r="Y82" i="16"/>
  <c r="AB82" i="16" s="1"/>
  <c r="AC82" i="16" s="1"/>
  <c r="Y63" i="16"/>
  <c r="AB63" i="16" s="1"/>
  <c r="AC63" i="16" s="1"/>
  <c r="Y61" i="16"/>
  <c r="AB61" i="16" s="1"/>
  <c r="AC61" i="16" s="1"/>
  <c r="Y38" i="16"/>
  <c r="AB38" i="16" s="1"/>
  <c r="AC38" i="16" s="1"/>
  <c r="Y30" i="16"/>
  <c r="AB30" i="16" s="1"/>
  <c r="AC30" i="16" s="1"/>
  <c r="Y69" i="16"/>
  <c r="AB69" i="16" s="1"/>
  <c r="AC69" i="16" s="1"/>
  <c r="Y90" i="16"/>
  <c r="AB90" i="16" s="1"/>
  <c r="AC90" i="16" s="1"/>
  <c r="Y70" i="16"/>
  <c r="AB70" i="16" s="1"/>
  <c r="AC70" i="16" s="1"/>
  <c r="Y43" i="16"/>
  <c r="AB43" i="16" s="1"/>
  <c r="AC43" i="16" s="1"/>
  <c r="Y163" i="16"/>
  <c r="AB163" i="16" s="1"/>
  <c r="AC163" i="16" s="1"/>
  <c r="Y115" i="16"/>
  <c r="AB115" i="16" s="1"/>
  <c r="AC115" i="16" s="1"/>
  <c r="Y74" i="16"/>
  <c r="AB74" i="16" s="1"/>
  <c r="AC74" i="16" s="1"/>
  <c r="Y62" i="16"/>
  <c r="AB62" i="16" s="1"/>
  <c r="AC62" i="16" s="1"/>
  <c r="Y50" i="16"/>
  <c r="AB50" i="16" s="1"/>
  <c r="AC50" i="16" s="1"/>
  <c r="Y46" i="16"/>
  <c r="AB46" i="16" s="1"/>
  <c r="AC46" i="16" s="1"/>
  <c r="Y164" i="16"/>
  <c r="AB164" i="16" s="1"/>
  <c r="AC164" i="16" s="1"/>
  <c r="Y103" i="16"/>
  <c r="AB103" i="16" s="1"/>
  <c r="AC103" i="16" s="1"/>
  <c r="Y71" i="16"/>
  <c r="AB71" i="16" s="1"/>
  <c r="AC71" i="16" s="1"/>
  <c r="Y55" i="16"/>
  <c r="AB55" i="16" s="1"/>
  <c r="AC55" i="16" s="1"/>
  <c r="Y53" i="16"/>
  <c r="AB53" i="16" s="1"/>
  <c r="AC53" i="16" s="1"/>
  <c r="Y42" i="16"/>
  <c r="AB42" i="16" s="1"/>
  <c r="AC42" i="16" s="1"/>
  <c r="Y34" i="16"/>
  <c r="AB34" i="16" s="1"/>
  <c r="AC34" i="16" s="1"/>
  <c r="Y54" i="16"/>
  <c r="AB54" i="16" s="1"/>
  <c r="AC54" i="16" s="1"/>
  <c r="Y35" i="16"/>
  <c r="AB35" i="16" s="1"/>
  <c r="AC35" i="16" s="1"/>
  <c r="Y27" i="16"/>
  <c r="AB27" i="16" s="1"/>
  <c r="Y67" i="16"/>
  <c r="AB67" i="16" s="1"/>
  <c r="AC67" i="16" s="1"/>
  <c r="Y51" i="16"/>
  <c r="AB51" i="16" s="1"/>
  <c r="AC51" i="16" s="1"/>
  <c r="Y44" i="16"/>
  <c r="AB44" i="16" s="1"/>
  <c r="AC44" i="16" s="1"/>
  <c r="AJ114" i="16"/>
  <c r="AK114" i="16" s="1"/>
  <c r="U17" i="16"/>
  <c r="Y192" i="16"/>
  <c r="AB192" i="16" s="1"/>
  <c r="AC192" i="16" s="1"/>
  <c r="Y195" i="16"/>
  <c r="AB195" i="16" s="1"/>
  <c r="AC195" i="16" s="1"/>
  <c r="Y188" i="16"/>
  <c r="AB188" i="16" s="1"/>
  <c r="AC188" i="16" s="1"/>
  <c r="Y169" i="16"/>
  <c r="AB169" i="16" s="1"/>
  <c r="AC169" i="16" s="1"/>
  <c r="Y134" i="16"/>
  <c r="AB134" i="16" s="1"/>
  <c r="AC134" i="16" s="1"/>
  <c r="Y117" i="16"/>
  <c r="AB117" i="16" s="1"/>
  <c r="AC117" i="16" s="1"/>
  <c r="Y96" i="16"/>
  <c r="AB96" i="16" s="1"/>
  <c r="AC96" i="16" s="1"/>
  <c r="Y60" i="16"/>
  <c r="AB60" i="16" s="1"/>
  <c r="AC60" i="16" s="1"/>
  <c r="Y132" i="16"/>
  <c r="AB132" i="16" s="1"/>
  <c r="AC132" i="16" s="1"/>
  <c r="Y56" i="16"/>
  <c r="AB56" i="16" s="1"/>
  <c r="AC56" i="16" s="1"/>
  <c r="Y48" i="16"/>
  <c r="AB48" i="16" s="1"/>
  <c r="AC48" i="16" s="1"/>
  <c r="Y59" i="16"/>
  <c r="AB59" i="16" s="1"/>
  <c r="AC59" i="16" s="1"/>
  <c r="Y95" i="16"/>
  <c r="AB95" i="16" s="1"/>
  <c r="AC95" i="16" s="1"/>
  <c r="Y66" i="16"/>
  <c r="AB66" i="16" s="1"/>
  <c r="AC66" i="16" s="1"/>
  <c r="Y36" i="16"/>
  <c r="AB36" i="16" s="1"/>
  <c r="AC36" i="16" s="1"/>
  <c r="Y28" i="16"/>
  <c r="AB28" i="16" s="1"/>
  <c r="AC28" i="16" s="1"/>
  <c r="AB32" i="16"/>
  <c r="AC32" i="16" s="1"/>
  <c r="Y87" i="16"/>
  <c r="AB87" i="16" s="1"/>
  <c r="AC87" i="16" s="1"/>
  <c r="Y121" i="16"/>
  <c r="AB121" i="16" s="1"/>
  <c r="AC121" i="16" s="1"/>
  <c r="Y79" i="16"/>
  <c r="AB79" i="16" s="1"/>
  <c r="AC79" i="16" s="1"/>
  <c r="Y171" i="16"/>
  <c r="AB171" i="16" s="1"/>
  <c r="AC171" i="16" s="1"/>
  <c r="Y150" i="16"/>
  <c r="AB150" i="16" s="1"/>
  <c r="AC150" i="16" s="1"/>
  <c r="Y178" i="16"/>
  <c r="AB178" i="16" s="1"/>
  <c r="AC178" i="16" s="1"/>
  <c r="Y142" i="16"/>
  <c r="AB142" i="16" s="1"/>
  <c r="AC142" i="16" s="1"/>
  <c r="Y138" i="16"/>
  <c r="AB138" i="16" s="1"/>
  <c r="AC138" i="16" s="1"/>
  <c r="Y125" i="16"/>
  <c r="AB125" i="16" s="1"/>
  <c r="AC125" i="16" s="1"/>
  <c r="Y97" i="16"/>
  <c r="AB97" i="16" s="1"/>
  <c r="AC97" i="16" s="1"/>
  <c r="Y68" i="16"/>
  <c r="AB68" i="16" s="1"/>
  <c r="AC68" i="16" s="1"/>
  <c r="Y64" i="16"/>
  <c r="AB64" i="16" s="1"/>
  <c r="AC64" i="16" s="1"/>
  <c r="Y120" i="16"/>
  <c r="AB120" i="16" s="1"/>
  <c r="AC120" i="16" s="1"/>
  <c r="Y72" i="16"/>
  <c r="AB72" i="16" s="1"/>
  <c r="AC72" i="16" s="1"/>
  <c r="Y183" i="16"/>
  <c r="AB183" i="16" s="1"/>
  <c r="AC183" i="16" s="1"/>
  <c r="Y175" i="16"/>
  <c r="AB175" i="16" s="1"/>
  <c r="AC175" i="16" s="1"/>
  <c r="Y166" i="16"/>
  <c r="AB166" i="16" s="1"/>
  <c r="AC166" i="16" s="1"/>
  <c r="Y177" i="16"/>
  <c r="AB177" i="16" s="1"/>
  <c r="AC177" i="16" s="1"/>
  <c r="Y109" i="16"/>
  <c r="AB109" i="16" s="1"/>
  <c r="AC109" i="16" s="1"/>
  <c r="Y88" i="16"/>
  <c r="AB88" i="16" s="1"/>
  <c r="AC88" i="16" s="1"/>
  <c r="Y52" i="16"/>
  <c r="AB52" i="16" s="1"/>
  <c r="AC52" i="16" s="1"/>
  <c r="Y129" i="16"/>
  <c r="AB129" i="16" s="1"/>
  <c r="AC129" i="16" s="1"/>
  <c r="Y113" i="16"/>
  <c r="AB113" i="16" s="1"/>
  <c r="AC113" i="16" s="1"/>
  <c r="Y92" i="16"/>
  <c r="AB92" i="16" s="1"/>
  <c r="AC92" i="16" s="1"/>
  <c r="Y182" i="16"/>
  <c r="AB182" i="16" s="1"/>
  <c r="AC182" i="16" s="1"/>
  <c r="Y104" i="16"/>
  <c r="AB104" i="16" s="1"/>
  <c r="AC104" i="16" s="1"/>
  <c r="Y58" i="16"/>
  <c r="AB58" i="16" s="1"/>
  <c r="AC58" i="16" s="1"/>
  <c r="Y40" i="16"/>
  <c r="AB40" i="16" s="1"/>
  <c r="AC40" i="16" s="1"/>
  <c r="Y140" i="16"/>
  <c r="AB140" i="16" s="1"/>
  <c r="AC140" i="16" s="1"/>
  <c r="Y112" i="16"/>
  <c r="AB112" i="16" s="1"/>
  <c r="AC112" i="16" s="1"/>
  <c r="Y128" i="16"/>
  <c r="AB128" i="16" s="1"/>
  <c r="AC128" i="16" s="1"/>
  <c r="Y39" i="16"/>
  <c r="AB39" i="16" s="1"/>
  <c r="AC39" i="16" s="1"/>
  <c r="Y31" i="16"/>
  <c r="AB31" i="16" s="1"/>
  <c r="AC31" i="16" s="1"/>
  <c r="AE112" i="16" l="1"/>
  <c r="AJ112" i="16" s="1"/>
  <c r="AK112" i="16" s="1"/>
  <c r="AE177" i="16"/>
  <c r="AJ177" i="16" s="1"/>
  <c r="AK177" i="16" s="1"/>
  <c r="AE97" i="16"/>
  <c r="AJ97" i="16" s="1"/>
  <c r="AK97" i="16" s="1"/>
  <c r="AE36" i="16"/>
  <c r="AJ36" i="16" s="1"/>
  <c r="AK36" i="16" s="1"/>
  <c r="AE188" i="16"/>
  <c r="AJ188" i="16" s="1"/>
  <c r="AK188" i="16" s="1"/>
  <c r="AE35" i="16"/>
  <c r="AJ35" i="16" s="1"/>
  <c r="AK35" i="16" s="1"/>
  <c r="AE74" i="16"/>
  <c r="AJ74" i="16" s="1"/>
  <c r="AK74" i="16" s="1"/>
  <c r="AE124" i="16"/>
  <c r="AJ124" i="16" s="1"/>
  <c r="AK124" i="16" s="1"/>
  <c r="AE185" i="16"/>
  <c r="AJ185" i="16" s="1"/>
  <c r="AK185" i="16" s="1"/>
  <c r="AE176" i="16"/>
  <c r="AJ176" i="16" s="1"/>
  <c r="AK176" i="16" s="1"/>
  <c r="AE111" i="16"/>
  <c r="AJ111" i="16" s="1"/>
  <c r="AK111" i="16" s="1"/>
  <c r="AE122" i="16"/>
  <c r="AJ122" i="16" s="1"/>
  <c r="AK122" i="16" s="1"/>
  <c r="AE152" i="16"/>
  <c r="AJ152" i="16" s="1"/>
  <c r="AK152" i="16" s="1"/>
  <c r="AE167" i="16"/>
  <c r="AJ167" i="16" s="1"/>
  <c r="AK167" i="16" s="1"/>
  <c r="AE189" i="16"/>
  <c r="AJ189" i="16" s="1"/>
  <c r="AK189" i="16" s="1"/>
  <c r="AE184" i="16"/>
  <c r="AJ184" i="16" s="1"/>
  <c r="AK184" i="16" s="1"/>
  <c r="AE154" i="16"/>
  <c r="AJ154" i="16" s="1"/>
  <c r="AK154" i="16" s="1"/>
  <c r="AE31" i="16"/>
  <c r="AJ31" i="16" s="1"/>
  <c r="AK31" i="16" s="1"/>
  <c r="AE140" i="16"/>
  <c r="AJ140" i="16" s="1"/>
  <c r="AK140" i="16" s="1"/>
  <c r="AE182" i="16"/>
  <c r="AJ182" i="16" s="1"/>
  <c r="AK182" i="16" s="1"/>
  <c r="AE52" i="16"/>
  <c r="AJ52" i="16" s="1"/>
  <c r="AK52" i="16" s="1"/>
  <c r="AE166" i="16"/>
  <c r="AJ166" i="16" s="1"/>
  <c r="AK166" i="16" s="1"/>
  <c r="AE120" i="16"/>
  <c r="AJ120" i="16" s="1"/>
  <c r="AK120" i="16" s="1"/>
  <c r="AE125" i="16"/>
  <c r="AJ125" i="16" s="1"/>
  <c r="AK125" i="16" s="1"/>
  <c r="AE150" i="16"/>
  <c r="AJ150" i="16" s="1"/>
  <c r="AK150" i="16" s="1"/>
  <c r="AE87" i="16"/>
  <c r="AJ87" i="16" s="1"/>
  <c r="AK87" i="16" s="1"/>
  <c r="AE66" i="16"/>
  <c r="AJ66" i="16" s="1"/>
  <c r="AK66" i="16" s="1"/>
  <c r="AE56" i="16"/>
  <c r="AJ56" i="16" s="1"/>
  <c r="AK56" i="16" s="1"/>
  <c r="AE117" i="16"/>
  <c r="AJ117" i="16" s="1"/>
  <c r="AK117" i="16" s="1"/>
  <c r="AE195" i="16"/>
  <c r="AJ195" i="16" s="1"/>
  <c r="AK195" i="16" s="1"/>
  <c r="AN98" i="16"/>
  <c r="AM98" i="16"/>
  <c r="AE67" i="16"/>
  <c r="AJ67" i="16" s="1"/>
  <c r="AK67" i="16" s="1"/>
  <c r="AE54" i="16"/>
  <c r="AJ54" i="16" s="1"/>
  <c r="AK54" i="16" s="1"/>
  <c r="AE55" i="16"/>
  <c r="AJ55" i="16" s="1"/>
  <c r="AK55" i="16" s="1"/>
  <c r="AE46" i="16"/>
  <c r="AJ46" i="16" s="1"/>
  <c r="AK46" i="16" s="1"/>
  <c r="AE115" i="16"/>
  <c r="AJ115" i="16" s="1"/>
  <c r="AK115" i="16" s="1"/>
  <c r="AE90" i="16"/>
  <c r="AJ90" i="16" s="1"/>
  <c r="AK90" i="16" s="1"/>
  <c r="AE61" i="16"/>
  <c r="AJ61" i="16" s="1"/>
  <c r="AK61" i="16" s="1"/>
  <c r="AE139" i="16"/>
  <c r="AJ139" i="16" s="1"/>
  <c r="AK139" i="16" s="1"/>
  <c r="AE65" i="16"/>
  <c r="AJ65" i="16" s="1"/>
  <c r="AK65" i="16" s="1"/>
  <c r="AE94" i="16"/>
  <c r="AJ94" i="16" s="1"/>
  <c r="AK94" i="16" s="1"/>
  <c r="AE29" i="16"/>
  <c r="AJ29" i="16" s="1"/>
  <c r="AK29" i="16" s="1"/>
  <c r="AE45" i="16"/>
  <c r="AJ45" i="16" s="1"/>
  <c r="AK45" i="16" s="1"/>
  <c r="AE91" i="16"/>
  <c r="AJ91" i="16" s="1"/>
  <c r="AK91" i="16" s="1"/>
  <c r="AE77" i="16"/>
  <c r="AJ77" i="16" s="1"/>
  <c r="AK77" i="16" s="1"/>
  <c r="AE93" i="16"/>
  <c r="AJ93" i="16" s="1"/>
  <c r="AK93" i="16" s="1"/>
  <c r="AE106" i="16"/>
  <c r="AJ106" i="16" s="1"/>
  <c r="AK106" i="16" s="1"/>
  <c r="AE119" i="16"/>
  <c r="AJ119" i="16" s="1"/>
  <c r="AK119" i="16" s="1"/>
  <c r="AE149" i="16"/>
  <c r="AJ149" i="16" s="1"/>
  <c r="AK149" i="16" s="1"/>
  <c r="AE110" i="16"/>
  <c r="AJ110" i="16" s="1"/>
  <c r="AK110" i="16" s="1"/>
  <c r="AE126" i="16"/>
  <c r="AJ126" i="16" s="1"/>
  <c r="AK126" i="16" s="1"/>
  <c r="AE137" i="16"/>
  <c r="AJ137" i="16" s="1"/>
  <c r="AK137" i="16" s="1"/>
  <c r="AE148" i="16"/>
  <c r="AJ148" i="16" s="1"/>
  <c r="AK148" i="16" s="1"/>
  <c r="AE153" i="16"/>
  <c r="AJ153" i="16" s="1"/>
  <c r="AK153" i="16" s="1"/>
  <c r="AE168" i="16"/>
  <c r="AJ168" i="16" s="1"/>
  <c r="AK168" i="16" s="1"/>
  <c r="AE172" i="16"/>
  <c r="AJ172" i="16" s="1"/>
  <c r="AK172" i="16" s="1"/>
  <c r="AE181" i="16"/>
  <c r="AJ181" i="16" s="1"/>
  <c r="AK181" i="16" s="1"/>
  <c r="AE193" i="16"/>
  <c r="AJ193" i="16" s="1"/>
  <c r="AK193" i="16" s="1"/>
  <c r="AE187" i="16"/>
  <c r="AJ187" i="16" s="1"/>
  <c r="AK187" i="16" s="1"/>
  <c r="AE158" i="16"/>
  <c r="AJ158" i="16" s="1"/>
  <c r="AK158" i="16" s="1"/>
  <c r="AE104" i="16"/>
  <c r="AJ104" i="16" s="1"/>
  <c r="AK104" i="16" s="1"/>
  <c r="AE72" i="16"/>
  <c r="AJ72" i="16" s="1"/>
  <c r="AK72" i="16" s="1"/>
  <c r="AE121" i="16"/>
  <c r="AJ121" i="16" s="1"/>
  <c r="AK121" i="16" s="1"/>
  <c r="AE96" i="16"/>
  <c r="AJ96" i="16" s="1"/>
  <c r="AK96" i="16" s="1"/>
  <c r="AE51" i="16"/>
  <c r="AJ51" i="16" s="1"/>
  <c r="AK51" i="16" s="1"/>
  <c r="AE164" i="16"/>
  <c r="AJ164" i="16" s="1"/>
  <c r="AK164" i="16" s="1"/>
  <c r="AE38" i="16"/>
  <c r="AJ38" i="16" s="1"/>
  <c r="AK38" i="16" s="1"/>
  <c r="AE86" i="16"/>
  <c r="AJ86" i="16" s="1"/>
  <c r="AK86" i="16" s="1"/>
  <c r="AE83" i="16"/>
  <c r="AJ83" i="16" s="1"/>
  <c r="AK83" i="16" s="1"/>
  <c r="AE100" i="16"/>
  <c r="AJ100" i="16" s="1"/>
  <c r="AK100" i="16" s="1"/>
  <c r="AE179" i="16"/>
  <c r="AJ179" i="16" s="1"/>
  <c r="AK179" i="16" s="1"/>
  <c r="AE145" i="16"/>
  <c r="AJ145" i="16" s="1"/>
  <c r="AK145" i="16" s="1"/>
  <c r="AE161" i="16"/>
  <c r="AJ161" i="16" s="1"/>
  <c r="AK161" i="16" s="1"/>
  <c r="AE162" i="16"/>
  <c r="AJ162" i="16" s="1"/>
  <c r="AK162" i="16" s="1"/>
  <c r="AE39" i="16"/>
  <c r="AJ39" i="16" s="1"/>
  <c r="AK39" i="16" s="1"/>
  <c r="AE40" i="16"/>
  <c r="AJ40" i="16" s="1"/>
  <c r="AK40" i="16" s="1"/>
  <c r="AE92" i="16"/>
  <c r="AJ92" i="16" s="1"/>
  <c r="AK92" i="16" s="1"/>
  <c r="AE88" i="16"/>
  <c r="AJ88" i="16" s="1"/>
  <c r="AK88" i="16" s="1"/>
  <c r="AE175" i="16"/>
  <c r="AJ175" i="16" s="1"/>
  <c r="AK175" i="16" s="1"/>
  <c r="AE64" i="16"/>
  <c r="AJ64" i="16" s="1"/>
  <c r="AK64" i="16" s="1"/>
  <c r="AE138" i="16"/>
  <c r="AJ138" i="16" s="1"/>
  <c r="AK138" i="16" s="1"/>
  <c r="AE171" i="16"/>
  <c r="AJ171" i="16" s="1"/>
  <c r="AK171" i="16" s="1"/>
  <c r="AE32" i="16"/>
  <c r="AJ32" i="16" s="1"/>
  <c r="AK32" i="16" s="1"/>
  <c r="AE95" i="16"/>
  <c r="AJ95" i="16" s="1"/>
  <c r="AK95" i="16" s="1"/>
  <c r="AE132" i="16"/>
  <c r="AJ132" i="16" s="1"/>
  <c r="AK132" i="16" s="1"/>
  <c r="AE134" i="16"/>
  <c r="AJ134" i="16" s="1"/>
  <c r="AK134" i="16" s="1"/>
  <c r="AE192" i="16"/>
  <c r="AJ192" i="16" s="1"/>
  <c r="AK192" i="16" s="1"/>
  <c r="AN114" i="16"/>
  <c r="AM114" i="16"/>
  <c r="AN81" i="16"/>
  <c r="AM81" i="16"/>
  <c r="AE34" i="16"/>
  <c r="AJ34" i="16" s="1"/>
  <c r="AK34" i="16" s="1"/>
  <c r="AE71" i="16"/>
  <c r="AJ71" i="16" s="1"/>
  <c r="AK71" i="16" s="1"/>
  <c r="AE50" i="16"/>
  <c r="AJ50" i="16" s="1"/>
  <c r="AK50" i="16" s="1"/>
  <c r="AE163" i="16"/>
  <c r="AJ163" i="16" s="1"/>
  <c r="AK163" i="16" s="1"/>
  <c r="AE69" i="16"/>
  <c r="AJ69" i="16" s="1"/>
  <c r="AK69" i="16" s="1"/>
  <c r="AE63" i="16"/>
  <c r="AJ63" i="16" s="1"/>
  <c r="AK63" i="16" s="1"/>
  <c r="AE147" i="16"/>
  <c r="AJ147" i="16" s="1"/>
  <c r="AK147" i="16" s="1"/>
  <c r="AE73" i="16"/>
  <c r="AJ73" i="16" s="1"/>
  <c r="AK73" i="16" s="1"/>
  <c r="AE102" i="16"/>
  <c r="AJ102" i="16" s="1"/>
  <c r="AK102" i="16" s="1"/>
  <c r="AE33" i="16"/>
  <c r="AJ33" i="16" s="1"/>
  <c r="AK33" i="16" s="1"/>
  <c r="AE49" i="16"/>
  <c r="AJ49" i="16" s="1"/>
  <c r="AK49" i="16" s="1"/>
  <c r="AE116" i="16"/>
  <c r="AJ116" i="16" s="1"/>
  <c r="AK116" i="16" s="1"/>
  <c r="AE107" i="16"/>
  <c r="AJ107" i="16" s="1"/>
  <c r="AK107" i="16" s="1"/>
  <c r="AE127" i="16"/>
  <c r="AJ127" i="16" s="1"/>
  <c r="AK127" i="16" s="1"/>
  <c r="AE155" i="16"/>
  <c r="AJ155" i="16" s="1"/>
  <c r="AK155" i="16" s="1"/>
  <c r="AE130" i="16"/>
  <c r="AJ130" i="16" s="1"/>
  <c r="AK130" i="16" s="1"/>
  <c r="AE143" i="16"/>
  <c r="AJ143" i="16" s="1"/>
  <c r="AK143" i="16" s="1"/>
  <c r="AE156" i="16"/>
  <c r="AJ156" i="16" s="1"/>
  <c r="AK156" i="16" s="1"/>
  <c r="AE159" i="16"/>
  <c r="AJ159" i="16" s="1"/>
  <c r="AK159" i="16" s="1"/>
  <c r="AE170" i="16"/>
  <c r="AJ170" i="16" s="1"/>
  <c r="AK170" i="16" s="1"/>
  <c r="AE173" i="16"/>
  <c r="AJ173" i="16" s="1"/>
  <c r="AK173" i="16" s="1"/>
  <c r="AE186" i="16"/>
  <c r="AJ186" i="16" s="1"/>
  <c r="AK186" i="16" s="1"/>
  <c r="AE105" i="16"/>
  <c r="AJ105" i="16" s="1"/>
  <c r="AK105" i="16" s="1"/>
  <c r="AE47" i="16"/>
  <c r="AJ47" i="16" s="1"/>
  <c r="AK47" i="16" s="1"/>
  <c r="AE180" i="16"/>
  <c r="AJ180" i="16" s="1"/>
  <c r="AK180" i="16" s="1"/>
  <c r="AE84" i="16"/>
  <c r="AJ84" i="16" s="1"/>
  <c r="AK84" i="16" s="1"/>
  <c r="AE129" i="16"/>
  <c r="AJ129" i="16" s="1"/>
  <c r="AK129" i="16" s="1"/>
  <c r="AE178" i="16"/>
  <c r="AJ178" i="16" s="1"/>
  <c r="AK178" i="16" s="1"/>
  <c r="AE48" i="16"/>
  <c r="AJ48" i="16" s="1"/>
  <c r="AK48" i="16" s="1"/>
  <c r="AN41" i="16"/>
  <c r="AM41" i="16"/>
  <c r="AE53" i="16"/>
  <c r="AJ53" i="16" s="1"/>
  <c r="AK53" i="16" s="1"/>
  <c r="AE70" i="16"/>
  <c r="AJ70" i="16" s="1"/>
  <c r="AK70" i="16" s="1"/>
  <c r="AE57" i="16"/>
  <c r="AJ57" i="16" s="1"/>
  <c r="AK57" i="16" s="1"/>
  <c r="AE89" i="16"/>
  <c r="AJ89" i="16" s="1"/>
  <c r="AK89" i="16" s="1"/>
  <c r="AE141" i="16"/>
  <c r="AJ141" i="16" s="1"/>
  <c r="AK141" i="16" s="1"/>
  <c r="AE136" i="16"/>
  <c r="AJ136" i="16" s="1"/>
  <c r="AK136" i="16" s="1"/>
  <c r="AE190" i="16"/>
  <c r="AJ190" i="16" s="1"/>
  <c r="AK190" i="16" s="1"/>
  <c r="AE128" i="16"/>
  <c r="AJ128" i="16" s="1"/>
  <c r="AK128" i="16" s="1"/>
  <c r="AE58" i="16"/>
  <c r="AJ58" i="16" s="1"/>
  <c r="AK58" i="16" s="1"/>
  <c r="AE113" i="16"/>
  <c r="AJ113" i="16" s="1"/>
  <c r="AK113" i="16" s="1"/>
  <c r="AE109" i="16"/>
  <c r="AJ109" i="16" s="1"/>
  <c r="AK109" i="16" s="1"/>
  <c r="AE183" i="16"/>
  <c r="AJ183" i="16" s="1"/>
  <c r="AK183" i="16" s="1"/>
  <c r="AE68" i="16"/>
  <c r="AJ68" i="16" s="1"/>
  <c r="AK68" i="16" s="1"/>
  <c r="AE142" i="16"/>
  <c r="AJ142" i="16" s="1"/>
  <c r="AK142" i="16" s="1"/>
  <c r="AE79" i="16"/>
  <c r="AJ79" i="16" s="1"/>
  <c r="AK79" i="16" s="1"/>
  <c r="AE28" i="16"/>
  <c r="AJ28" i="16" s="1"/>
  <c r="AK28" i="16" s="1"/>
  <c r="AE59" i="16"/>
  <c r="AJ59" i="16" s="1"/>
  <c r="AK59" i="16" s="1"/>
  <c r="AE60" i="16"/>
  <c r="AJ60" i="16" s="1"/>
  <c r="AK60" i="16" s="1"/>
  <c r="AE169" i="16"/>
  <c r="AJ169" i="16" s="1"/>
  <c r="AK169" i="16" s="1"/>
  <c r="AE44" i="16"/>
  <c r="AJ44" i="16" s="1"/>
  <c r="AK44" i="16" s="1"/>
  <c r="AE42" i="16"/>
  <c r="AJ42" i="16" s="1"/>
  <c r="AK42" i="16" s="1"/>
  <c r="AE103" i="16"/>
  <c r="AJ103" i="16" s="1"/>
  <c r="AK103" i="16" s="1"/>
  <c r="AE62" i="16"/>
  <c r="AJ62" i="16" s="1"/>
  <c r="AK62" i="16" s="1"/>
  <c r="AE43" i="16"/>
  <c r="AJ43" i="16" s="1"/>
  <c r="AK43" i="16" s="1"/>
  <c r="AE30" i="16"/>
  <c r="AJ30" i="16" s="1"/>
  <c r="AK30" i="16" s="1"/>
  <c r="AE82" i="16"/>
  <c r="AJ82" i="16" s="1"/>
  <c r="AK82" i="16" s="1"/>
  <c r="AE157" i="16"/>
  <c r="AJ157" i="16" s="1"/>
  <c r="AK157" i="16" s="1"/>
  <c r="AE78" i="16"/>
  <c r="AJ78" i="16" s="1"/>
  <c r="AK78" i="16" s="1"/>
  <c r="AE123" i="16"/>
  <c r="AJ123" i="16" s="1"/>
  <c r="AK123" i="16" s="1"/>
  <c r="AE37" i="16"/>
  <c r="AJ37" i="16" s="1"/>
  <c r="AK37" i="16" s="1"/>
  <c r="AE75" i="16"/>
  <c r="AJ75" i="16" s="1"/>
  <c r="AK75" i="16" s="1"/>
  <c r="AE131" i="16"/>
  <c r="AJ131" i="16" s="1"/>
  <c r="AK131" i="16" s="1"/>
  <c r="AE85" i="16"/>
  <c r="AJ85" i="16" s="1"/>
  <c r="AK85" i="16" s="1"/>
  <c r="AE99" i="16"/>
  <c r="AJ99" i="16" s="1"/>
  <c r="AK99" i="16" s="1"/>
  <c r="AE108" i="16"/>
  <c r="AJ108" i="16" s="1"/>
  <c r="AK108" i="16" s="1"/>
  <c r="AE133" i="16"/>
  <c r="AJ133" i="16" s="1"/>
  <c r="AK133" i="16" s="1"/>
  <c r="AE165" i="16"/>
  <c r="AJ165" i="16" s="1"/>
  <c r="AK165" i="16" s="1"/>
  <c r="AE118" i="16"/>
  <c r="AJ118" i="16" s="1"/>
  <c r="AK118" i="16" s="1"/>
  <c r="AE135" i="16"/>
  <c r="AJ135" i="16" s="1"/>
  <c r="AK135" i="16" s="1"/>
  <c r="AE144" i="16"/>
  <c r="AJ144" i="16" s="1"/>
  <c r="AK144" i="16" s="1"/>
  <c r="AE151" i="16"/>
  <c r="AJ151" i="16" s="1"/>
  <c r="AK151" i="16" s="1"/>
  <c r="AE160" i="16"/>
  <c r="AJ160" i="16" s="1"/>
  <c r="AK160" i="16" s="1"/>
  <c r="AE191" i="16"/>
  <c r="AJ191" i="16" s="1"/>
  <c r="AK191" i="16" s="1"/>
  <c r="AE174" i="16"/>
  <c r="AJ174" i="16" s="1"/>
  <c r="AK174" i="16" s="1"/>
  <c r="AE194" i="16"/>
  <c r="AJ194" i="16" s="1"/>
  <c r="AK194" i="16" s="1"/>
  <c r="AE146" i="16"/>
  <c r="AJ146" i="16" s="1"/>
  <c r="AK146" i="16" s="1"/>
  <c r="AE101" i="16"/>
  <c r="AJ101" i="16" s="1"/>
  <c r="AK101" i="16" s="1"/>
  <c r="AE76" i="16"/>
  <c r="AJ76" i="16" s="1"/>
  <c r="AK76" i="16" s="1"/>
  <c r="AE80" i="16"/>
  <c r="AJ80" i="16" s="1"/>
  <c r="AK80" i="16" s="1"/>
  <c r="AB17" i="16"/>
  <c r="AC27" i="16"/>
  <c r="AE27" i="16" s="1"/>
  <c r="AP41" i="16" l="1"/>
  <c r="AQ41" i="16" s="1"/>
  <c r="AR41" i="16" s="1"/>
  <c r="AP98" i="16"/>
  <c r="AQ98" i="16" s="1"/>
  <c r="AR98" i="16" s="1"/>
  <c r="AP114" i="16"/>
  <c r="AQ114" i="16" s="1"/>
  <c r="AR114" i="16" s="1"/>
  <c r="AP81" i="16"/>
  <c r="AQ81" i="16" s="1"/>
  <c r="AR81" i="16" s="1"/>
  <c r="AM123" i="16"/>
  <c r="AN123" i="16"/>
  <c r="AN68" i="16"/>
  <c r="AM68" i="16"/>
  <c r="AM141" i="16"/>
  <c r="AN141" i="16"/>
  <c r="AN178" i="16"/>
  <c r="AM178" i="16"/>
  <c r="AN180" i="16"/>
  <c r="AM180" i="16"/>
  <c r="AM143" i="16"/>
  <c r="AN143" i="16"/>
  <c r="AN102" i="16"/>
  <c r="AM102" i="16"/>
  <c r="AN34" i="16"/>
  <c r="AM34" i="16"/>
  <c r="AN138" i="16"/>
  <c r="AM138" i="16"/>
  <c r="AM161" i="16"/>
  <c r="AN161" i="16"/>
  <c r="AM51" i="16"/>
  <c r="AN51" i="16"/>
  <c r="AM181" i="16"/>
  <c r="AN181" i="16"/>
  <c r="AM149" i="16"/>
  <c r="AN149" i="16"/>
  <c r="AN94" i="16"/>
  <c r="AM94" i="16"/>
  <c r="AN54" i="16"/>
  <c r="AM54" i="16"/>
  <c r="AN56" i="16"/>
  <c r="AM56" i="16"/>
  <c r="AM125" i="16"/>
  <c r="AN125" i="16"/>
  <c r="AN182" i="16"/>
  <c r="AM182" i="16"/>
  <c r="AN184" i="16"/>
  <c r="AM184" i="16"/>
  <c r="AN122" i="16"/>
  <c r="AM122" i="16"/>
  <c r="AN124" i="16"/>
  <c r="AM124" i="16"/>
  <c r="AN36" i="16"/>
  <c r="AM36" i="16"/>
  <c r="AM101" i="16"/>
  <c r="AN101" i="16"/>
  <c r="AM135" i="16"/>
  <c r="AN135" i="16"/>
  <c r="AM75" i="16"/>
  <c r="AN75" i="16"/>
  <c r="AN62" i="16"/>
  <c r="AM62" i="16"/>
  <c r="AM79" i="16"/>
  <c r="AN79" i="16"/>
  <c r="AN190" i="16"/>
  <c r="AM190" i="16"/>
  <c r="AM129" i="16"/>
  <c r="AN129" i="16"/>
  <c r="AM159" i="16"/>
  <c r="AN159" i="16"/>
  <c r="AN49" i="16"/>
  <c r="AM49" i="16"/>
  <c r="AN50" i="16"/>
  <c r="AM50" i="16"/>
  <c r="AN32" i="16"/>
  <c r="AM32" i="16"/>
  <c r="AM39" i="16"/>
  <c r="AN39" i="16"/>
  <c r="AN38" i="16"/>
  <c r="AM38" i="16"/>
  <c r="AM187" i="16"/>
  <c r="AN187" i="16"/>
  <c r="AN126" i="16"/>
  <c r="AM126" i="16"/>
  <c r="AN45" i="16"/>
  <c r="AM45" i="16"/>
  <c r="AN46" i="16"/>
  <c r="AM46" i="16"/>
  <c r="AN66" i="16"/>
  <c r="AM66" i="16"/>
  <c r="AN120" i="16"/>
  <c r="AM120" i="16"/>
  <c r="AN140" i="16"/>
  <c r="AM140" i="16"/>
  <c r="AM189" i="16"/>
  <c r="AN189" i="16"/>
  <c r="AM111" i="16"/>
  <c r="AN111" i="16"/>
  <c r="AN74" i="16"/>
  <c r="AM74" i="16"/>
  <c r="AN97" i="16"/>
  <c r="AM97" i="16"/>
  <c r="AN194" i="16"/>
  <c r="AM194" i="16"/>
  <c r="AM85" i="16"/>
  <c r="AN85" i="16"/>
  <c r="AM59" i="16"/>
  <c r="AN59" i="16"/>
  <c r="AN48" i="16"/>
  <c r="AM48" i="16"/>
  <c r="AM69" i="16"/>
  <c r="AN69" i="16"/>
  <c r="AM83" i="16"/>
  <c r="AN83" i="16"/>
  <c r="AN166" i="16"/>
  <c r="AM166" i="16"/>
  <c r="AM165" i="16"/>
  <c r="AN165" i="16"/>
  <c r="AN42" i="16"/>
  <c r="AM42" i="16"/>
  <c r="AN80" i="16"/>
  <c r="AM80" i="16"/>
  <c r="AM151" i="16"/>
  <c r="AN151" i="16"/>
  <c r="AN30" i="16"/>
  <c r="AM30" i="16"/>
  <c r="AN58" i="16"/>
  <c r="AM58" i="16"/>
  <c r="AM53" i="16"/>
  <c r="AN53" i="16"/>
  <c r="AM173" i="16"/>
  <c r="AN173" i="16"/>
  <c r="AM107" i="16"/>
  <c r="AN107" i="16"/>
  <c r="AN132" i="16"/>
  <c r="AM132" i="16"/>
  <c r="AN92" i="16"/>
  <c r="AM92" i="16"/>
  <c r="AN104" i="16"/>
  <c r="AM104" i="16"/>
  <c r="AN148" i="16"/>
  <c r="AM148" i="16"/>
  <c r="AN77" i="16"/>
  <c r="AM77" i="16"/>
  <c r="AN90" i="16"/>
  <c r="AM90" i="16"/>
  <c r="AM195" i="16"/>
  <c r="AN195" i="16"/>
  <c r="AM87" i="16"/>
  <c r="AN87" i="16"/>
  <c r="AM31" i="16"/>
  <c r="AN31" i="16"/>
  <c r="AM167" i="16"/>
  <c r="AN167" i="16"/>
  <c r="AN176" i="16"/>
  <c r="AM176" i="16"/>
  <c r="AM35" i="16"/>
  <c r="AN35" i="16"/>
  <c r="AM177" i="16"/>
  <c r="AN177" i="16"/>
  <c r="AM191" i="16"/>
  <c r="AN191" i="16"/>
  <c r="AN108" i="16"/>
  <c r="AM108" i="16"/>
  <c r="AM157" i="16"/>
  <c r="AN157" i="16"/>
  <c r="AM169" i="16"/>
  <c r="AN169" i="16"/>
  <c r="AM109" i="16"/>
  <c r="AN109" i="16"/>
  <c r="AN57" i="16"/>
  <c r="AM57" i="16"/>
  <c r="AM105" i="16"/>
  <c r="AN105" i="16"/>
  <c r="AM155" i="16"/>
  <c r="AN155" i="16"/>
  <c r="AM147" i="16"/>
  <c r="AN147" i="16"/>
  <c r="AN192" i="16"/>
  <c r="AM192" i="16"/>
  <c r="AM175" i="16"/>
  <c r="AN175" i="16"/>
  <c r="AM179" i="16"/>
  <c r="AN179" i="16"/>
  <c r="AM121" i="16"/>
  <c r="AN121" i="16"/>
  <c r="AN168" i="16"/>
  <c r="AM168" i="16"/>
  <c r="AN106" i="16"/>
  <c r="AM106" i="16"/>
  <c r="AM139" i="16"/>
  <c r="AN139" i="16"/>
  <c r="AM117" i="16"/>
  <c r="AN117" i="16"/>
  <c r="AN150" i="16"/>
  <c r="AM150" i="16"/>
  <c r="AN52" i="16"/>
  <c r="AM52" i="16"/>
  <c r="AN154" i="16"/>
  <c r="AM154" i="16"/>
  <c r="AN152" i="16"/>
  <c r="AM152" i="16"/>
  <c r="AM185" i="16"/>
  <c r="AN185" i="16"/>
  <c r="AN188" i="16"/>
  <c r="AM188" i="16"/>
  <c r="AN112" i="16"/>
  <c r="AM112" i="16"/>
  <c r="AN84" i="16"/>
  <c r="AM84" i="16"/>
  <c r="AN156" i="16"/>
  <c r="AM156" i="16"/>
  <c r="AN134" i="16"/>
  <c r="AM134" i="16"/>
  <c r="AN64" i="16"/>
  <c r="AM64" i="16"/>
  <c r="AN162" i="16"/>
  <c r="AM162" i="16"/>
  <c r="AN86" i="16"/>
  <c r="AM86" i="16"/>
  <c r="AN96" i="16"/>
  <c r="AM96" i="16"/>
  <c r="AN158" i="16"/>
  <c r="AM158" i="16"/>
  <c r="AN172" i="16"/>
  <c r="AM172" i="16"/>
  <c r="AM137" i="16"/>
  <c r="AN137" i="16"/>
  <c r="AN93" i="16"/>
  <c r="AM93" i="16"/>
  <c r="AN29" i="16"/>
  <c r="AM29" i="16"/>
  <c r="AN65" i="16"/>
  <c r="AM65" i="16"/>
  <c r="AM115" i="16"/>
  <c r="AN115" i="16"/>
  <c r="AM67" i="16"/>
  <c r="AN67" i="16"/>
  <c r="AM47" i="16"/>
  <c r="AN47" i="16"/>
  <c r="AN170" i="16"/>
  <c r="AM170" i="16"/>
  <c r="AM127" i="16"/>
  <c r="AN127" i="16"/>
  <c r="AN33" i="16"/>
  <c r="AM33" i="16"/>
  <c r="AM63" i="16"/>
  <c r="AN63" i="16"/>
  <c r="AM71" i="16"/>
  <c r="AN71" i="16"/>
  <c r="AM95" i="16"/>
  <c r="AN95" i="16"/>
  <c r="AN88" i="16"/>
  <c r="AM88" i="16"/>
  <c r="AM145" i="16"/>
  <c r="AN145" i="16"/>
  <c r="AN164" i="16"/>
  <c r="AM164" i="16"/>
  <c r="AN72" i="16"/>
  <c r="AM72" i="16"/>
  <c r="AM193" i="16"/>
  <c r="AN193" i="16"/>
  <c r="AM153" i="16"/>
  <c r="AN153" i="16"/>
  <c r="AN110" i="16"/>
  <c r="AM110" i="16"/>
  <c r="AM91" i="16"/>
  <c r="AN91" i="16"/>
  <c r="AN61" i="16"/>
  <c r="AM61" i="16"/>
  <c r="AM55" i="16"/>
  <c r="AN55" i="16"/>
  <c r="AN186" i="16"/>
  <c r="AM186" i="16"/>
  <c r="AN130" i="16"/>
  <c r="AM130" i="16"/>
  <c r="AN116" i="16"/>
  <c r="AM116" i="16"/>
  <c r="AN73" i="16"/>
  <c r="AM73" i="16"/>
  <c r="AM163" i="16"/>
  <c r="AN163" i="16"/>
  <c r="AM171" i="16"/>
  <c r="AN171" i="16"/>
  <c r="AN40" i="16"/>
  <c r="AM40" i="16"/>
  <c r="AN100" i="16"/>
  <c r="AM100" i="16"/>
  <c r="AM119" i="16"/>
  <c r="AN119" i="16"/>
  <c r="AN76" i="16"/>
  <c r="AM76" i="16"/>
  <c r="AN146" i="16"/>
  <c r="AM146" i="16"/>
  <c r="AN174" i="16"/>
  <c r="AM174" i="16"/>
  <c r="AN160" i="16"/>
  <c r="AM160" i="16"/>
  <c r="AN144" i="16"/>
  <c r="AM144" i="16"/>
  <c r="AN118" i="16"/>
  <c r="AM118" i="16"/>
  <c r="AM133" i="16"/>
  <c r="AN133" i="16"/>
  <c r="AM99" i="16"/>
  <c r="AN99" i="16"/>
  <c r="AM131" i="16"/>
  <c r="AN131" i="16"/>
  <c r="AM37" i="16"/>
  <c r="AN37" i="16"/>
  <c r="AN78" i="16"/>
  <c r="AM78" i="16"/>
  <c r="AN82" i="16"/>
  <c r="AM82" i="16"/>
  <c r="AM43" i="16"/>
  <c r="AN43" i="16"/>
  <c r="AM103" i="16"/>
  <c r="AN103" i="16"/>
  <c r="AN44" i="16"/>
  <c r="AM44" i="16"/>
  <c r="AN60" i="16"/>
  <c r="AM60" i="16"/>
  <c r="AN28" i="16"/>
  <c r="AM28" i="16"/>
  <c r="AN142" i="16"/>
  <c r="AM142" i="16"/>
  <c r="AM183" i="16"/>
  <c r="AN183" i="16"/>
  <c r="AM113" i="16"/>
  <c r="AN113" i="16"/>
  <c r="AN128" i="16"/>
  <c r="AM128" i="16"/>
  <c r="AN136" i="16"/>
  <c r="AM136" i="16"/>
  <c r="AN89" i="16"/>
  <c r="AM89" i="16"/>
  <c r="AN70" i="16"/>
  <c r="AM70" i="16"/>
  <c r="AC17" i="16"/>
  <c r="AJ27" i="16"/>
  <c r="AP131" i="16" l="1"/>
  <c r="AQ131" i="16" s="1"/>
  <c r="AR131" i="16" s="1"/>
  <c r="AP171" i="16"/>
  <c r="AQ171" i="16"/>
  <c r="AR171" i="16" s="1"/>
  <c r="AP186" i="16"/>
  <c r="AQ186" i="16" s="1"/>
  <c r="AR186" i="16" s="1"/>
  <c r="AP55" i="16"/>
  <c r="AQ55" i="16" s="1"/>
  <c r="AR55" i="16" s="1"/>
  <c r="AP33" i="16"/>
  <c r="AQ33" i="16" s="1"/>
  <c r="AR33" i="16" s="1"/>
  <c r="AP137" i="16"/>
  <c r="AQ137" i="16"/>
  <c r="AR137" i="16" s="1"/>
  <c r="AP84" i="16"/>
  <c r="AQ84" i="16" s="1"/>
  <c r="AR84" i="16" s="1"/>
  <c r="AP152" i="16"/>
  <c r="AQ152" i="16" s="1"/>
  <c r="AR152" i="16" s="1"/>
  <c r="AP150" i="16"/>
  <c r="AQ150" i="16" s="1"/>
  <c r="AR150" i="16" s="1"/>
  <c r="AP106" i="16"/>
  <c r="AQ106" i="16" s="1"/>
  <c r="AR106" i="16" s="1"/>
  <c r="AP192" i="16"/>
  <c r="AQ192" i="16" s="1"/>
  <c r="AR192" i="16" s="1"/>
  <c r="AP177" i="16"/>
  <c r="AQ177" i="16"/>
  <c r="AR177" i="16" s="1"/>
  <c r="AP90" i="16"/>
  <c r="AQ90" i="16" s="1"/>
  <c r="AR90" i="16" s="1"/>
  <c r="AP69" i="16"/>
  <c r="AQ69" i="16" s="1"/>
  <c r="AR69" i="16" s="1"/>
  <c r="AP194" i="16"/>
  <c r="AQ194" i="16" s="1"/>
  <c r="AR194" i="16" s="1"/>
  <c r="AP38" i="16"/>
  <c r="AQ38" i="16" s="1"/>
  <c r="AR38" i="16" s="1"/>
  <c r="AQ51" i="16"/>
  <c r="AR51" i="16" s="1"/>
  <c r="AP51" i="16"/>
  <c r="AP102" i="16"/>
  <c r="AQ102" i="16" s="1"/>
  <c r="AR102" i="16" s="1"/>
  <c r="AP103" i="16"/>
  <c r="AQ103" i="16" s="1"/>
  <c r="AR103" i="16" s="1"/>
  <c r="AP86" i="16"/>
  <c r="AQ86" i="16" s="1"/>
  <c r="AR86" i="16" s="1"/>
  <c r="AP156" i="16"/>
  <c r="AQ156" i="16" s="1"/>
  <c r="AR156" i="16" s="1"/>
  <c r="AP109" i="16"/>
  <c r="AQ109" i="16" s="1"/>
  <c r="AR109" i="16" s="1"/>
  <c r="AP169" i="16"/>
  <c r="AQ169" i="16" s="1"/>
  <c r="AR169" i="16" s="1"/>
  <c r="AP157" i="16"/>
  <c r="AQ157" i="16" s="1"/>
  <c r="AR157" i="16" s="1"/>
  <c r="AP191" i="16"/>
  <c r="AQ191" i="16" s="1"/>
  <c r="AR191" i="16" s="1"/>
  <c r="AP176" i="16"/>
  <c r="AQ176" i="16" s="1"/>
  <c r="AR176" i="16" s="1"/>
  <c r="AP80" i="16"/>
  <c r="AQ80" i="16" s="1"/>
  <c r="AR80" i="16" s="1"/>
  <c r="AP165" i="16"/>
  <c r="AQ165" i="16" s="1"/>
  <c r="AR165" i="16" s="1"/>
  <c r="AP166" i="16"/>
  <c r="AQ166" i="16" s="1"/>
  <c r="AR166" i="16" s="1"/>
  <c r="AP48" i="16"/>
  <c r="AQ48" i="16" s="1"/>
  <c r="AR48" i="16" s="1"/>
  <c r="AP79" i="16"/>
  <c r="AQ79" i="16" s="1"/>
  <c r="AR79" i="16" s="1"/>
  <c r="AP62" i="16"/>
  <c r="AQ62" i="16" s="1"/>
  <c r="AR62" i="16" s="1"/>
  <c r="AP124" i="16"/>
  <c r="AQ124" i="16" s="1"/>
  <c r="AR124" i="16" s="1"/>
  <c r="AP122" i="16"/>
  <c r="AQ122" i="16" s="1"/>
  <c r="AR122" i="16" s="1"/>
  <c r="AP181" i="16"/>
  <c r="AQ181" i="16" s="1"/>
  <c r="AR181" i="16" s="1"/>
  <c r="AP138" i="16"/>
  <c r="AQ138" i="16" s="1"/>
  <c r="AR138" i="16" s="1"/>
  <c r="AP34" i="16"/>
  <c r="AQ34" i="16" s="1"/>
  <c r="AR34" i="16" s="1"/>
  <c r="AP123" i="16"/>
  <c r="AQ123" i="16" s="1"/>
  <c r="AR123" i="16" s="1"/>
  <c r="AP60" i="16"/>
  <c r="AQ60" i="16" s="1"/>
  <c r="AR60" i="16" s="1"/>
  <c r="AP43" i="16"/>
  <c r="AQ43" i="16" s="1"/>
  <c r="AR43" i="16" s="1"/>
  <c r="AP153" i="16"/>
  <c r="AQ153" i="16" s="1"/>
  <c r="AR153" i="16" s="1"/>
  <c r="AP145" i="16"/>
  <c r="AQ145" i="16"/>
  <c r="AR145" i="16" s="1"/>
  <c r="AP65" i="16"/>
  <c r="AQ65" i="16" s="1"/>
  <c r="AR65" i="16" s="1"/>
  <c r="AP172" i="16"/>
  <c r="AQ172" i="16" s="1"/>
  <c r="AR172" i="16" s="1"/>
  <c r="AP188" i="16"/>
  <c r="AQ188" i="16" s="1"/>
  <c r="AR188" i="16" s="1"/>
  <c r="AP52" i="16"/>
  <c r="AQ52" i="16" s="1"/>
  <c r="AR52" i="16" s="1"/>
  <c r="AP168" i="16"/>
  <c r="AQ168" i="16" s="1"/>
  <c r="AR168" i="16" s="1"/>
  <c r="AP167" i="16"/>
  <c r="AQ167" i="16" s="1"/>
  <c r="AR167" i="16" s="1"/>
  <c r="AP148" i="16"/>
  <c r="AQ148" i="16" s="1"/>
  <c r="AR148" i="16" s="1"/>
  <c r="AP32" i="16"/>
  <c r="AQ32" i="16" s="1"/>
  <c r="AR32" i="16" s="1"/>
  <c r="AP49" i="16"/>
  <c r="AQ49" i="16" s="1"/>
  <c r="AR49" i="16" s="1"/>
  <c r="AP184" i="16"/>
  <c r="AQ184" i="16" s="1"/>
  <c r="AR184" i="16" s="1"/>
  <c r="AP161" i="16"/>
  <c r="AQ161" i="16" s="1"/>
  <c r="AR161" i="16" s="1"/>
  <c r="AP71" i="16"/>
  <c r="AQ71" i="16" s="1"/>
  <c r="AR71" i="16" s="1"/>
  <c r="AP67" i="16"/>
  <c r="AQ67" i="16" s="1"/>
  <c r="AR67" i="16" s="1"/>
  <c r="AP142" i="16"/>
  <c r="AQ142" i="16" s="1"/>
  <c r="AR142" i="16" s="1"/>
  <c r="AP40" i="16"/>
  <c r="AQ40" i="16" s="1"/>
  <c r="AR40" i="16" s="1"/>
  <c r="AP116" i="16"/>
  <c r="AQ116" i="16" s="1"/>
  <c r="AR116" i="16" s="1"/>
  <c r="AP110" i="16"/>
  <c r="AQ110" i="16" s="1"/>
  <c r="AR110" i="16" s="1"/>
  <c r="AP127" i="16"/>
  <c r="AQ127" i="16" s="1"/>
  <c r="AR127" i="16" s="1"/>
  <c r="AP134" i="16"/>
  <c r="AQ134" i="16" s="1"/>
  <c r="AR134" i="16" s="1"/>
  <c r="AP155" i="16"/>
  <c r="AQ155" i="16" s="1"/>
  <c r="AR155" i="16" s="1"/>
  <c r="AP105" i="16"/>
  <c r="AQ105" i="16" s="1"/>
  <c r="AR105" i="16" s="1"/>
  <c r="AP108" i="16"/>
  <c r="AQ108" i="16" s="1"/>
  <c r="AR108" i="16" s="1"/>
  <c r="AP107" i="16"/>
  <c r="AQ107" i="16" s="1"/>
  <c r="AR107" i="16" s="1"/>
  <c r="AP173" i="16"/>
  <c r="AQ173" i="16" s="1"/>
  <c r="AR173" i="16" s="1"/>
  <c r="AP53" i="16"/>
  <c r="AQ53" i="16" s="1"/>
  <c r="AR53" i="16" s="1"/>
  <c r="AP30" i="16"/>
  <c r="AQ30" i="16" s="1"/>
  <c r="AR30" i="16" s="1"/>
  <c r="AP42" i="16"/>
  <c r="AQ42" i="16" s="1"/>
  <c r="AR42" i="16" s="1"/>
  <c r="AP111" i="16"/>
  <c r="AQ111" i="16" s="1"/>
  <c r="AR111" i="16" s="1"/>
  <c r="AP189" i="16"/>
  <c r="AQ189" i="16" s="1"/>
  <c r="AR189" i="16" s="1"/>
  <c r="AP140" i="16"/>
  <c r="AQ140" i="16" s="1"/>
  <c r="AR140" i="16" s="1"/>
  <c r="AP120" i="16"/>
  <c r="AQ120" i="16" s="1"/>
  <c r="AR120" i="16" s="1"/>
  <c r="AP66" i="16"/>
  <c r="AQ66" i="16" s="1"/>
  <c r="AR66" i="16" s="1"/>
  <c r="AP46" i="16"/>
  <c r="AQ46" i="16" s="1"/>
  <c r="AR46" i="16" s="1"/>
  <c r="AP45" i="16"/>
  <c r="AQ45" i="16" s="1"/>
  <c r="AR45" i="16" s="1"/>
  <c r="AP126" i="16"/>
  <c r="AQ126" i="16" s="1"/>
  <c r="AR126" i="16" s="1"/>
  <c r="AP129" i="16"/>
  <c r="AQ129" i="16" s="1"/>
  <c r="AR129" i="16" s="1"/>
  <c r="AP190" i="16"/>
  <c r="AQ190" i="16" s="1"/>
  <c r="AR190" i="16" s="1"/>
  <c r="AP36" i="16"/>
  <c r="AQ36" i="16" s="1"/>
  <c r="AR36" i="16" s="1"/>
  <c r="AP149" i="16"/>
  <c r="AQ149" i="16" s="1"/>
  <c r="AR149" i="16" s="1"/>
  <c r="AP143" i="16"/>
  <c r="AQ143" i="16" s="1"/>
  <c r="AR143" i="16" s="1"/>
  <c r="AP141" i="16"/>
  <c r="AQ141" i="16" s="1"/>
  <c r="AR141" i="16" s="1"/>
  <c r="AP70" i="16"/>
  <c r="AQ70" i="16" s="1"/>
  <c r="AR70" i="16" s="1"/>
  <c r="AP82" i="16"/>
  <c r="AQ82" i="16" s="1"/>
  <c r="AR82" i="16" s="1"/>
  <c r="AP160" i="16"/>
  <c r="AQ160" i="16" s="1"/>
  <c r="AR160" i="16" s="1"/>
  <c r="AP61" i="16"/>
  <c r="AQ61" i="16" s="1"/>
  <c r="AR61" i="16" s="1"/>
  <c r="AP88" i="16"/>
  <c r="AQ88" i="16" s="1"/>
  <c r="AR88" i="16" s="1"/>
  <c r="AP63" i="16"/>
  <c r="AQ63" i="16" s="1"/>
  <c r="AR63" i="16" s="1"/>
  <c r="AP47" i="16"/>
  <c r="AQ47" i="16" s="1"/>
  <c r="AR47" i="16" s="1"/>
  <c r="AP115" i="16"/>
  <c r="AQ115" i="16" s="1"/>
  <c r="AR115" i="16" s="1"/>
  <c r="AP162" i="16"/>
  <c r="AQ162" i="16" s="1"/>
  <c r="AR162" i="16" s="1"/>
  <c r="AP112" i="16"/>
  <c r="AQ112" i="16" s="1"/>
  <c r="AR112" i="16" s="1"/>
  <c r="AP154" i="16"/>
  <c r="AQ154" i="16" s="1"/>
  <c r="AR154" i="16" s="1"/>
  <c r="AP35" i="16"/>
  <c r="AQ35" i="16" s="1"/>
  <c r="AR35" i="16" s="1"/>
  <c r="AP31" i="16"/>
  <c r="AQ31" i="16" s="1"/>
  <c r="AR31" i="16" s="1"/>
  <c r="AP77" i="16"/>
  <c r="AQ77" i="16" s="1"/>
  <c r="AR77" i="16" s="1"/>
  <c r="AP151" i="16"/>
  <c r="AQ151" i="16" s="1"/>
  <c r="AR151" i="16" s="1"/>
  <c r="AP83" i="16"/>
  <c r="AQ83" i="16" s="1"/>
  <c r="AR83" i="16" s="1"/>
  <c r="AP97" i="16"/>
  <c r="AQ97" i="16" s="1"/>
  <c r="AR97" i="16" s="1"/>
  <c r="AP187" i="16"/>
  <c r="AQ187" i="16" s="1"/>
  <c r="AR187" i="16" s="1"/>
  <c r="AP50" i="16"/>
  <c r="AQ50" i="16" s="1"/>
  <c r="AR50" i="16" s="1"/>
  <c r="AP75" i="16"/>
  <c r="AQ75" i="16" s="1"/>
  <c r="AR75" i="16" s="1"/>
  <c r="AP182" i="16"/>
  <c r="AQ182" i="16" s="1"/>
  <c r="AR182" i="16" s="1"/>
  <c r="AP128" i="16"/>
  <c r="AQ128" i="16" s="1"/>
  <c r="AR128" i="16" s="1"/>
  <c r="AP28" i="16"/>
  <c r="AQ28" i="16" s="1"/>
  <c r="AR28" i="16" s="1"/>
  <c r="AP37" i="16"/>
  <c r="AQ37" i="16" s="1"/>
  <c r="AR37" i="16" s="1"/>
  <c r="AP144" i="16"/>
  <c r="AQ144" i="16" s="1"/>
  <c r="AR144" i="16" s="1"/>
  <c r="AP76" i="16"/>
  <c r="AQ76" i="16" s="1"/>
  <c r="AR76" i="16" s="1"/>
  <c r="AP130" i="16"/>
  <c r="AQ130" i="16" s="1"/>
  <c r="AR130" i="16" s="1"/>
  <c r="AP136" i="16"/>
  <c r="AQ136" i="16" s="1"/>
  <c r="AR136" i="16" s="1"/>
  <c r="AP183" i="16"/>
  <c r="AQ183" i="16" s="1"/>
  <c r="AR183" i="16" s="1"/>
  <c r="AP133" i="16"/>
  <c r="AQ133" i="16" s="1"/>
  <c r="AR133" i="16" s="1"/>
  <c r="AP118" i="16"/>
  <c r="AQ118" i="16" s="1"/>
  <c r="AR118" i="16" s="1"/>
  <c r="AP146" i="16"/>
  <c r="AQ146" i="16" s="1"/>
  <c r="AR146" i="16" s="1"/>
  <c r="AP91" i="16"/>
  <c r="AQ91" i="16" s="1"/>
  <c r="AR91" i="16" s="1"/>
  <c r="AP164" i="16"/>
  <c r="AQ164" i="16" s="1"/>
  <c r="AR164" i="16" s="1"/>
  <c r="AP95" i="16"/>
  <c r="AQ95" i="16" s="1"/>
  <c r="AR95" i="16" s="1"/>
  <c r="AP170" i="16"/>
  <c r="AQ170" i="16" s="1"/>
  <c r="AR170" i="16" s="1"/>
  <c r="AP93" i="16"/>
  <c r="AQ93" i="16" s="1"/>
  <c r="AR93" i="16" s="1"/>
  <c r="AP96" i="16"/>
  <c r="AQ96" i="16" s="1"/>
  <c r="AR96" i="16" s="1"/>
  <c r="AP89" i="16"/>
  <c r="AQ89" i="16"/>
  <c r="AR89" i="16" s="1"/>
  <c r="AP113" i="16"/>
  <c r="AQ113" i="16" s="1"/>
  <c r="AR113" i="16" s="1"/>
  <c r="AP44" i="16"/>
  <c r="AQ44" i="16" s="1"/>
  <c r="AR44" i="16" s="1"/>
  <c r="AP78" i="16"/>
  <c r="AQ78" i="16" s="1"/>
  <c r="AR78" i="16" s="1"/>
  <c r="AP99" i="16"/>
  <c r="AQ99" i="16" s="1"/>
  <c r="AR99" i="16" s="1"/>
  <c r="AP174" i="16"/>
  <c r="AQ174" i="16" s="1"/>
  <c r="AR174" i="16" s="1"/>
  <c r="AP119" i="16"/>
  <c r="AQ119" i="16" s="1"/>
  <c r="AR119" i="16" s="1"/>
  <c r="AP100" i="16"/>
  <c r="AQ100" i="16" s="1"/>
  <c r="AR100" i="16" s="1"/>
  <c r="AP163" i="16"/>
  <c r="AQ163" i="16" s="1"/>
  <c r="AR163" i="16" s="1"/>
  <c r="AP73" i="16"/>
  <c r="AQ73" i="16" s="1"/>
  <c r="AR73" i="16" s="1"/>
  <c r="AP193" i="16"/>
  <c r="AQ193" i="16" s="1"/>
  <c r="AR193" i="16" s="1"/>
  <c r="AP72" i="16"/>
  <c r="AQ72" i="16" s="1"/>
  <c r="AR72" i="16" s="1"/>
  <c r="AP29" i="16"/>
  <c r="AQ29" i="16" s="1"/>
  <c r="AR29" i="16" s="1"/>
  <c r="AP158" i="16"/>
  <c r="AQ158" i="16" s="1"/>
  <c r="AR158" i="16" s="1"/>
  <c r="AP64" i="16"/>
  <c r="AQ64" i="16" s="1"/>
  <c r="AR64" i="16" s="1"/>
  <c r="AP185" i="16"/>
  <c r="AQ185" i="16" s="1"/>
  <c r="AR185" i="16" s="1"/>
  <c r="AP117" i="16"/>
  <c r="AQ117" i="16" s="1"/>
  <c r="AR117" i="16" s="1"/>
  <c r="AP139" i="16"/>
  <c r="AQ139" i="16" s="1"/>
  <c r="AR139" i="16" s="1"/>
  <c r="AP121" i="16"/>
  <c r="AQ121" i="16" s="1"/>
  <c r="AR121" i="16" s="1"/>
  <c r="AP179" i="16"/>
  <c r="AQ179" i="16" s="1"/>
  <c r="AR179" i="16" s="1"/>
  <c r="AP175" i="16"/>
  <c r="AQ175" i="16" s="1"/>
  <c r="AR175" i="16" s="1"/>
  <c r="AP147" i="16"/>
  <c r="AQ147" i="16" s="1"/>
  <c r="AR147" i="16" s="1"/>
  <c r="AP57" i="16"/>
  <c r="AQ57" i="16" s="1"/>
  <c r="AR57" i="16" s="1"/>
  <c r="AP87" i="16"/>
  <c r="AQ87" i="16" s="1"/>
  <c r="AR87" i="16" s="1"/>
  <c r="AP195" i="16"/>
  <c r="AQ195" i="16" s="1"/>
  <c r="AR195" i="16" s="1"/>
  <c r="AP104" i="16"/>
  <c r="AQ104" i="16" s="1"/>
  <c r="AR104" i="16" s="1"/>
  <c r="AP92" i="16"/>
  <c r="AQ92" i="16" s="1"/>
  <c r="AR92" i="16" s="1"/>
  <c r="AP132" i="16"/>
  <c r="AQ132" i="16" s="1"/>
  <c r="AR132" i="16" s="1"/>
  <c r="AP58" i="16"/>
  <c r="AQ58" i="16" s="1"/>
  <c r="AR58" i="16" s="1"/>
  <c r="AP59" i="16"/>
  <c r="AQ59" i="16" s="1"/>
  <c r="AR59" i="16" s="1"/>
  <c r="AP85" i="16"/>
  <c r="AQ85" i="16"/>
  <c r="AR85" i="16" s="1"/>
  <c r="AP74" i="16"/>
  <c r="AQ74" i="16" s="1"/>
  <c r="AR74" i="16" s="1"/>
  <c r="AP39" i="16"/>
  <c r="AQ39" i="16" s="1"/>
  <c r="AR39" i="16" s="1"/>
  <c r="AP159" i="16"/>
  <c r="AQ159" i="16" s="1"/>
  <c r="AR159" i="16" s="1"/>
  <c r="AP135" i="16"/>
  <c r="AQ135" i="16" s="1"/>
  <c r="AR135" i="16" s="1"/>
  <c r="AP101" i="16"/>
  <c r="AQ101" i="16" s="1"/>
  <c r="AR101" i="16" s="1"/>
  <c r="AP125" i="16"/>
  <c r="AQ125" i="16"/>
  <c r="AR125" i="16" s="1"/>
  <c r="AP56" i="16"/>
  <c r="AQ56" i="16" s="1"/>
  <c r="AR56" i="16" s="1"/>
  <c r="AP54" i="16"/>
  <c r="AQ54" i="16" s="1"/>
  <c r="AR54" i="16" s="1"/>
  <c r="AP94" i="16"/>
  <c r="AQ94" i="16" s="1"/>
  <c r="AR94" i="16" s="1"/>
  <c r="AP180" i="16"/>
  <c r="AQ180" i="16" s="1"/>
  <c r="AR180" i="16" s="1"/>
  <c r="AP178" i="16"/>
  <c r="AQ178" i="16" s="1"/>
  <c r="AR178" i="16" s="1"/>
  <c r="AP68" i="16"/>
  <c r="AQ68" i="16" s="1"/>
  <c r="AR68" i="16" s="1"/>
  <c r="AJ17" i="16"/>
  <c r="AK27" i="16"/>
  <c r="AM27" i="16" l="1"/>
  <c r="AM17" i="16" s="1"/>
  <c r="AN27" i="16"/>
  <c r="AK17" i="16"/>
  <c r="AP27" i="16" l="1"/>
  <c r="AP17" i="16" s="1"/>
  <c r="AQ27" i="16" l="1"/>
  <c r="AR27" i="16" l="1"/>
  <c r="AR17" i="16" s="1"/>
  <c r="AQ17" i="16"/>
</calcChain>
</file>

<file path=xl/sharedStrings.xml><?xml version="1.0" encoding="utf-8"?>
<sst xmlns="http://schemas.openxmlformats.org/spreadsheetml/2006/main" count="525" uniqueCount="333">
  <si>
    <t>Need Weighting Factor for Col 3:</t>
  </si>
  <si>
    <t>ENGL per Capita and MHI Threshold Factor for Col 8 &amp; Col 10:</t>
  </si>
  <si>
    <t>ENGL per Capita Weight for Col 11:</t>
  </si>
  <si>
    <t>MHI Weight for Col 11:</t>
  </si>
  <si>
    <t>Non-Alliance District Minimum Aid Ratio for use in Column 12:</t>
  </si>
  <si>
    <t>Alliance District Minimum Aid Ratio for use in Column 12:</t>
  </si>
  <si>
    <t>Foundation for Column 17:</t>
  </si>
  <si>
    <t xml:space="preserve">K.  </t>
  </si>
  <si>
    <t>2014-15 Non-Alliance District Phase-In Rate for Col 24:</t>
  </si>
  <si>
    <t xml:space="preserve">L.  </t>
  </si>
  <si>
    <t>2014-15 Alliance District Phase-In Rate for Col 24:</t>
  </si>
  <si>
    <t xml:space="preserve">M.  </t>
  </si>
  <si>
    <t>2014-15 Reform District Phase-In Rate for Col 24:</t>
  </si>
  <si>
    <t xml:space="preserve">Totals  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</si>
  <si>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</si>
  <si>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</si>
  <si>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</si>
  <si>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</si>
  <si>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</si>
  <si>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</si>
  <si>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</si>
  <si>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</si>
  <si>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</si>
  <si>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</si>
  <si>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</si>
  <si>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</si>
  <si>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</si>
  <si>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</si>
  <si>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</si>
  <si>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</si>
  <si>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</si>
  <si>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</si>
  <si>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</si>
  <si>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Median:</t>
  </si>
  <si>
    <t>(EEPC</t>
  </si>
  <si>
    <t>(MHI</t>
  </si>
  <si>
    <t>Base Aid Ratio</t>
  </si>
  <si>
    <t>Foundation:</t>
  </si>
  <si>
    <t>Preliminary</t>
  </si>
  <si>
    <t>Threshold:</t>
  </si>
  <si>
    <t>Wealth</t>
  </si>
  <si>
    <t>(Non-Alliance Districts</t>
  </si>
  <si>
    <t>Regional</t>
  </si>
  <si>
    <t>(Item E)</t>
  </si>
  <si>
    <t>Free and</t>
  </si>
  <si>
    <t>Average</t>
  </si>
  <si>
    <t>Median</t>
  </si>
  <si>
    <t>Adjustment</t>
  </si>
  <si>
    <t>Greater of</t>
  </si>
  <si>
    <t>Students</t>
  </si>
  <si>
    <t>Number of</t>
  </si>
  <si>
    <t>District</t>
  </si>
  <si>
    <t>Reduced</t>
  </si>
  <si>
    <t>Free&amp;Reduced</t>
  </si>
  <si>
    <t>Need</t>
  </si>
  <si>
    <t>Equalized Net</t>
  </si>
  <si>
    <t>ECS ENGL</t>
  </si>
  <si>
    <t>Median x Item B)</t>
  </si>
  <si>
    <t>Household</t>
  </si>
  <si>
    <t>Factor</t>
  </si>
  <si>
    <t>Item E or Col 11),</t>
  </si>
  <si>
    <t>Sent To</t>
  </si>
  <si>
    <t>per Pupil</t>
  </si>
  <si>
    <t>Base Formula</t>
  </si>
  <si>
    <t>Fully Funded</t>
  </si>
  <si>
    <t>Alliance</t>
  </si>
  <si>
    <t>17 Town</t>
  </si>
  <si>
    <t>Resident</t>
  </si>
  <si>
    <t>Eligibility</t>
  </si>
  <si>
    <t>Weight</t>
  </si>
  <si>
    <t>Grand List</t>
  </si>
  <si>
    <t>Total</t>
  </si>
  <si>
    <t>per Capita</t>
  </si>
  <si>
    <t>ENGL Adjustment Factor</t>
  </si>
  <si>
    <t>Income</t>
  </si>
  <si>
    <t>MHI Adjustment Factor</t>
  </si>
  <si>
    <t>(1 - ((Col 8 x</t>
  </si>
  <si>
    <t>(Alliance Districts:</t>
  </si>
  <si>
    <t>Bonus</t>
  </si>
  <si>
    <t>Aid</t>
  </si>
  <si>
    <t>Grant</t>
  </si>
  <si>
    <t>2016-17</t>
  </si>
  <si>
    <t>PSD</t>
  </si>
  <si>
    <t>Non-</t>
  </si>
  <si>
    <t>Reform</t>
  </si>
  <si>
    <t>Town</t>
  </si>
  <si>
    <t>October</t>
  </si>
  <si>
    <t>ELL</t>
  </si>
  <si>
    <t>(Col 2 x</t>
  </si>
  <si>
    <t>(Col 1 +</t>
  </si>
  <si>
    <t>(ECS ENGL)</t>
  </si>
  <si>
    <t>Population</t>
  </si>
  <si>
    <t>(EEPC)</t>
  </si>
  <si>
    <t>(Col 7 /</t>
  </si>
  <si>
    <t>(MHI)</t>
  </si>
  <si>
    <t>(Col 9 /</t>
  </si>
  <si>
    <t>Item C) +</t>
  </si>
  <si>
    <t>Grades</t>
  </si>
  <si>
    <t>((Col 14 /</t>
  </si>
  <si>
    <t>(Col 13 x</t>
  </si>
  <si>
    <t>(Col 4 x Col 12</t>
  </si>
  <si>
    <t>(Col 16 +</t>
  </si>
  <si>
    <t>ECS</t>
  </si>
  <si>
    <t>DRG</t>
  </si>
  <si>
    <t>Districts</t>
  </si>
  <si>
    <t>Decile</t>
  </si>
  <si>
    <t>Code</t>
  </si>
  <si>
    <t>Name</t>
  </si>
  <si>
    <t>Item A)</t>
  </si>
  <si>
    <t>(Col 5 / Col 6)</t>
  </si>
  <si>
    <t>Threshold)</t>
  </si>
  <si>
    <t>Col 10 x Item D))</t>
  </si>
  <si>
    <t>Item F or Col 11)</t>
  </si>
  <si>
    <t>13) x 100)</t>
  </si>
  <si>
    <t>Col 15)</t>
  </si>
  <si>
    <t>x Found)</t>
  </si>
  <si>
    <t>Col 17)</t>
  </si>
  <si>
    <t>C</t>
  </si>
  <si>
    <t>Andover</t>
  </si>
  <si>
    <t>H</t>
  </si>
  <si>
    <t>Ansonia</t>
  </si>
  <si>
    <t>E</t>
  </si>
  <si>
    <t>Ashford</t>
  </si>
  <si>
    <t>B</t>
  </si>
  <si>
    <t>Avon</t>
  </si>
  <si>
    <t>Barkhamsted</t>
  </si>
  <si>
    <t>Beacon Falls</t>
  </si>
  <si>
    <t>D</t>
  </si>
  <si>
    <t>Berlin</t>
  </si>
  <si>
    <t>Bethany</t>
  </si>
  <si>
    <t>Bethel</t>
  </si>
  <si>
    <t>Bethlehem</t>
  </si>
  <si>
    <t>G</t>
  </si>
  <si>
    <t>Bloomfield</t>
  </si>
  <si>
    <t>Bolton</t>
  </si>
  <si>
    <t>Bozrah</t>
  </si>
  <si>
    <t>Branford</t>
  </si>
  <si>
    <t>I</t>
  </si>
  <si>
    <t>Bridgeport</t>
  </si>
  <si>
    <t>Bridgewater</t>
  </si>
  <si>
    <t>Bristol</t>
  </si>
  <si>
    <t>Brookfield</t>
  </si>
  <si>
    <t>Brooklyn</t>
  </si>
  <si>
    <t>Burlington</t>
  </si>
  <si>
    <t>Canaan</t>
  </si>
  <si>
    <t>F</t>
  </si>
  <si>
    <t>Canterbury</t>
  </si>
  <si>
    <t>Canton</t>
  </si>
  <si>
    <t>Chaplin</t>
  </si>
  <si>
    <t>Cheshire</t>
  </si>
  <si>
    <t>Chester</t>
  </si>
  <si>
    <t>Clinton</t>
  </si>
  <si>
    <t>Colchester</t>
  </si>
  <si>
    <t>Colebrook</t>
  </si>
  <si>
    <t>Columbia</t>
  </si>
  <si>
    <t>Cornwall</t>
  </si>
  <si>
    <t>Coventry</t>
  </si>
  <si>
    <t>Cromwell</t>
  </si>
  <si>
    <t>Danbury</t>
  </si>
  <si>
    <t>A</t>
  </si>
  <si>
    <t>Darien</t>
  </si>
  <si>
    <t>Deep River</t>
  </si>
  <si>
    <t>Derby</t>
  </si>
  <si>
    <t>Durham</t>
  </si>
  <si>
    <t>Eastford</t>
  </si>
  <si>
    <t>East Granby</t>
  </si>
  <si>
    <t>East Haddam</t>
  </si>
  <si>
    <t>East Hampton</t>
  </si>
  <si>
    <t>East Hartford</t>
  </si>
  <si>
    <t>East Haven</t>
  </si>
  <si>
    <t>East Lyme</t>
  </si>
  <si>
    <t>Easton</t>
  </si>
  <si>
    <t>East Windsor</t>
  </si>
  <si>
    <t>Ellington</t>
  </si>
  <si>
    <t>Enfield</t>
  </si>
  <si>
    <t>Essex</t>
  </si>
  <si>
    <t>Fairfield</t>
  </si>
  <si>
    <t>Farmington</t>
  </si>
  <si>
    <t>Franklin</t>
  </si>
  <si>
    <t>Glastonbury</t>
  </si>
  <si>
    <t>Goshen</t>
  </si>
  <si>
    <t>Granby</t>
  </si>
  <si>
    <t>Greenwich</t>
  </si>
  <si>
    <t>Griswold</t>
  </si>
  <si>
    <t>Groton</t>
  </si>
  <si>
    <t>Guilford</t>
  </si>
  <si>
    <t>Haddam</t>
  </si>
  <si>
    <t>Hamden</t>
  </si>
  <si>
    <t>Hampton</t>
  </si>
  <si>
    <t>Hartford</t>
  </si>
  <si>
    <t>Hartland</t>
  </si>
  <si>
    <t>Harwinton</t>
  </si>
  <si>
    <t>Hebron</t>
  </si>
  <si>
    <t>Kent</t>
  </si>
  <si>
    <t>Killingly</t>
  </si>
  <si>
    <t>Killingworth</t>
  </si>
  <si>
    <t>Lebanon</t>
  </si>
  <si>
    <t>Ledyard</t>
  </si>
  <si>
    <t>Lisbon</t>
  </si>
  <si>
    <t>Litchfield</t>
  </si>
  <si>
    <t>Lyme</t>
  </si>
  <si>
    <t>Madison</t>
  </si>
  <si>
    <t>Manchester</t>
  </si>
  <si>
    <t>Mansfield</t>
  </si>
  <si>
    <t>Marlborough</t>
  </si>
  <si>
    <t>Meriden</t>
  </si>
  <si>
    <t>Middlebury</t>
  </si>
  <si>
    <t>Middlefield</t>
  </si>
  <si>
    <t>Middletown</t>
  </si>
  <si>
    <t>Milford</t>
  </si>
  <si>
    <t>Monroe</t>
  </si>
  <si>
    <t>Montville</t>
  </si>
  <si>
    <t>Morris</t>
  </si>
  <si>
    <t>Naugatuck</t>
  </si>
  <si>
    <t>New Britain</t>
  </si>
  <si>
    <t>New Canaan</t>
  </si>
  <si>
    <t>New Fairfield</t>
  </si>
  <si>
    <t>New Hartford</t>
  </si>
  <si>
    <t>New Haven</t>
  </si>
  <si>
    <t>Newington</t>
  </si>
  <si>
    <t>New London</t>
  </si>
  <si>
    <t>New Milford</t>
  </si>
  <si>
    <t>Newtown</t>
  </si>
  <si>
    <t>Norfolk</t>
  </si>
  <si>
    <t>North Branford</t>
  </si>
  <si>
    <t>North Canaan</t>
  </si>
  <si>
    <t>North Haven</t>
  </si>
  <si>
    <t>North Stonington</t>
  </si>
  <si>
    <t>Norwalk</t>
  </si>
  <si>
    <t>Norwich</t>
  </si>
  <si>
    <t>Old Lyme</t>
  </si>
  <si>
    <t>Old Saybrook</t>
  </si>
  <si>
    <t>Orange</t>
  </si>
  <si>
    <t>Oxford</t>
  </si>
  <si>
    <t>Plainfield</t>
  </si>
  <si>
    <t>Plainville</t>
  </si>
  <si>
    <t>Plymouth</t>
  </si>
  <si>
    <t>Pomfret</t>
  </si>
  <si>
    <t>Portland</t>
  </si>
  <si>
    <t>Preston</t>
  </si>
  <si>
    <t>Prospect</t>
  </si>
  <si>
    <t>Putnam</t>
  </si>
  <si>
    <t>Redding</t>
  </si>
  <si>
    <t>Ridgefield</t>
  </si>
  <si>
    <t>Rocky Hill</t>
  </si>
  <si>
    <t>Roxbury</t>
  </si>
  <si>
    <t>Salem</t>
  </si>
  <si>
    <t>Salisbury</t>
  </si>
  <si>
    <t>Scotland</t>
  </si>
  <si>
    <t>Seymour</t>
  </si>
  <si>
    <t>Sharon</t>
  </si>
  <si>
    <t>Shelton</t>
  </si>
  <si>
    <t>Sherman</t>
  </si>
  <si>
    <t>Simsbury</t>
  </si>
  <si>
    <t>Somers</t>
  </si>
  <si>
    <t>Southbury</t>
  </si>
  <si>
    <t>Southington</t>
  </si>
  <si>
    <t>South Windsor</t>
  </si>
  <si>
    <t>Sprague</t>
  </si>
  <si>
    <t>Stafford</t>
  </si>
  <si>
    <t>Stamford</t>
  </si>
  <si>
    <t>Sterling</t>
  </si>
  <si>
    <t>Stonington</t>
  </si>
  <si>
    <t>Stratford</t>
  </si>
  <si>
    <t>Suffield</t>
  </si>
  <si>
    <t>Thomaston</t>
  </si>
  <si>
    <t>Thompson</t>
  </si>
  <si>
    <t>Tolland</t>
  </si>
  <si>
    <t>Torrington</t>
  </si>
  <si>
    <t>Trumbull</t>
  </si>
  <si>
    <t>Union</t>
  </si>
  <si>
    <t>Vernon</t>
  </si>
  <si>
    <t>Voluntown</t>
  </si>
  <si>
    <t>Wallingford</t>
  </si>
  <si>
    <t>Warren</t>
  </si>
  <si>
    <t>Washington</t>
  </si>
  <si>
    <t>Waterbury</t>
  </si>
  <si>
    <t>Waterford</t>
  </si>
  <si>
    <t>Watertown</t>
  </si>
  <si>
    <t>Westbrook</t>
  </si>
  <si>
    <t>West Hartford</t>
  </si>
  <si>
    <t>West Haven</t>
  </si>
  <si>
    <t>Weston</t>
  </si>
  <si>
    <t>Westport</t>
  </si>
  <si>
    <t>Wethersfield</t>
  </si>
  <si>
    <t>Willington</t>
  </si>
  <si>
    <t>Wilton</t>
  </si>
  <si>
    <t>Winchester</t>
  </si>
  <si>
    <t>Windham</t>
  </si>
  <si>
    <t>Windsor</t>
  </si>
  <si>
    <t>Windsor Locks</t>
  </si>
  <si>
    <t>Wolcott</t>
  </si>
  <si>
    <t>Woodbridge</t>
  </si>
  <si>
    <t>Woodbury</t>
  </si>
  <si>
    <t>Woodstock</t>
  </si>
  <si>
    <t>Concentrated</t>
  </si>
  <si>
    <t>PIC</t>
  </si>
  <si>
    <t>Poverty</t>
  </si>
  <si>
    <t>at 75%</t>
  </si>
  <si>
    <t>Col 3)</t>
  </si>
  <si>
    <t>ACTUAL</t>
  </si>
  <si>
    <t>If FRPL % above 75%,</t>
  </si>
  <si>
    <t>% above 75%</t>
  </si>
  <si>
    <t>(# students above 75%)</t>
  </si>
  <si>
    <t>Entitlement</t>
  </si>
  <si>
    <t>2019-20</t>
  </si>
  <si>
    <t>FY 20</t>
  </si>
  <si>
    <t>(10/2019)</t>
  </si>
  <si>
    <t>(2015/16/17)</t>
  </si>
  <si>
    <t xml:space="preserve">Grant </t>
  </si>
  <si>
    <t>(Absolute</t>
  </si>
  <si>
    <t>- Col 18)</t>
  </si>
  <si>
    <t>Value of Col 19</t>
  </si>
  <si>
    <t>Greater</t>
  </si>
  <si>
    <t>Than Base</t>
  </si>
  <si>
    <t>(Yes/No)</t>
  </si>
  <si>
    <t>H.</t>
  </si>
  <si>
    <t>G.</t>
  </si>
  <si>
    <t>A.</t>
  </si>
  <si>
    <t>B.</t>
  </si>
  <si>
    <t>C.</t>
  </si>
  <si>
    <t>D.</t>
  </si>
  <si>
    <t>E.</t>
  </si>
  <si>
    <t>F.</t>
  </si>
  <si>
    <t>I.</t>
  </si>
  <si>
    <t>Adjustment % for Districts who are Fully Funded:</t>
  </si>
  <si>
    <t>Adjustment % for Districts who are not Fully Funded:</t>
  </si>
  <si>
    <t>Phase-In</t>
  </si>
  <si>
    <t>Amount</t>
  </si>
  <si>
    <t>2020-2021</t>
  </si>
  <si>
    <t>Fixed ECS</t>
  </si>
  <si>
    <t>Without</t>
  </si>
  <si>
    <t>Alliance 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</si>
</sst>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164" formatCode="#,##0.000000_);[Red]\(#,##0.000000\)"/>
    <numFmt numFmtId="165" formatCode="#,##0.000_);\(#,##0.000\)"/>
    <numFmt numFmtId="166" formatCode="0.000000%"/>
    <numFmt numFmtId="167" formatCode="#,##0.000000_);\(#,##0.000000\)"/>
    <numFmt numFmtId="168" formatCode="0.0%"/>
    <numFmt numFmtId="169" formatCode="_(* #,##0_);[Red]_(* \(#,##0\);_(* \-_);_(@_)"/>
    <numFmt numFmtId="170" formatCode="0.000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indexed="8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0"/>
      <color theme="1"/>
      <name val="Book Antiqua"/>
      <family val="1"/>
    </font>
    <font>
      <sz val="10"/>
      <color theme="1"/>
      <name val="Book Antiqua"/>
      <family val="1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3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8">
    <xf numFmtId="0" fontId="0" fillId="0" borderId="0"/>
    <xf numFmtId="9" fontId="1" fillId="0" borderId="0" applyFont="0" applyFill="0" applyBorder="0" applyAlignment="0" applyProtection="0"/>
    <xf numFmtId="0" fontId="8" fillId="0" borderId="0" applyFill="0" applyBorder="0">
      <alignment horizontal="center" wrapText="1"/>
    </xf>
    <xf numFmtId="169" fontId="9" fillId="0" borderId="1" applyFill="0"/>
    <xf numFmtId="0" fontId="9" fillId="0" borderId="1" applyFill="0"/>
    <xf numFmtId="0" fontId="8" fillId="0" borderId="0" applyNumberFormat="0" applyFill="0" applyBorder="0">
      <alignment horizontal="left" wrapText="1"/>
    </xf>
    <xf numFmtId="0" fontId="10" fillId="0" borderId="0" applyNumberFormat="0" applyFill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0" applyNumberFormat="0" applyBorder="0" applyAlignment="0" applyProtection="0"/>
    <xf numFmtId="0" fontId="15" fillId="8" borderId="0" applyNumberFormat="0" applyBorder="0" applyAlignment="0" applyProtection="0"/>
    <xf numFmtId="0" fontId="16" fillId="9" borderId="0" applyNumberFormat="0" applyBorder="0" applyAlignment="0" applyProtection="0"/>
    <xf numFmtId="0" fontId="17" fillId="10" borderId="6" applyNumberFormat="0" applyAlignment="0" applyProtection="0"/>
    <xf numFmtId="0" fontId="18" fillId="11" borderId="7" applyNumberFormat="0" applyAlignment="0" applyProtection="0"/>
    <xf numFmtId="0" fontId="19" fillId="11" borderId="6" applyNumberFormat="0" applyAlignment="0" applyProtection="0"/>
    <xf numFmtId="0" fontId="20" fillId="0" borderId="8" applyNumberFormat="0" applyFill="0" applyAlignment="0" applyProtection="0"/>
    <xf numFmtId="0" fontId="21" fillId="12" borderId="9" applyNumberFormat="0" applyAlignment="0" applyProtection="0"/>
    <xf numFmtId="0" fontId="22" fillId="0" borderId="0" applyNumberFormat="0" applyFill="0" applyBorder="0" applyAlignment="0" applyProtection="0"/>
    <xf numFmtId="0" fontId="1" fillId="13" borderId="10" applyNumberFormat="0" applyFont="0" applyAlignment="0" applyProtection="0"/>
    <xf numFmtId="0" fontId="23" fillId="0" borderId="0" applyNumberFormat="0" applyFill="0" applyBorder="0" applyAlignment="0" applyProtection="0"/>
    <xf numFmtId="0" fontId="24" fillId="0" borderId="11" applyNumberFormat="0" applyFill="0" applyAlignment="0" applyProtection="0"/>
    <xf numFmtId="0" fontId="25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5" fillId="17" borderId="0" applyNumberFormat="0" applyBorder="0" applyAlignment="0" applyProtection="0"/>
    <xf numFmtId="0" fontId="25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5" fillId="21" borderId="0" applyNumberFormat="0" applyBorder="0" applyAlignment="0" applyProtection="0"/>
    <xf numFmtId="0" fontId="25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5" fillId="25" borderId="0" applyNumberFormat="0" applyBorder="0" applyAlignment="0" applyProtection="0"/>
    <xf numFmtId="0" fontId="25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5" fillId="29" borderId="0" applyNumberFormat="0" applyBorder="0" applyAlignment="0" applyProtection="0"/>
    <xf numFmtId="0" fontId="25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5" fillId="33" borderId="0" applyNumberFormat="0" applyBorder="0" applyAlignment="0" applyProtection="0"/>
    <xf numFmtId="0" fontId="25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25" fillId="37" borderId="0" applyNumberFormat="0" applyBorder="0" applyAlignment="0" applyProtection="0"/>
    <xf numFmtId="0" fontId="26" fillId="0" borderId="0" applyNumberFormat="0" applyFill="0" applyBorder="0" applyAlignment="0" applyProtection="0"/>
  </cellStyleXfs>
  <cellXfs count="77">
    <xf numFmtId="0" fontId="0" fillId="0" borderId="0" xfId="0"/>
    <xf numFmtId="0" fontId="2" fillId="0" borderId="0" xfId="0" applyFont="1"/>
    <xf numFmtId="15" fontId="3" fillId="0" borderId="0" xfId="0" quotePrefix="1" applyNumberFormat="1" applyFont="1" applyFill="1"/>
    <xf numFmtId="0" fontId="2" fillId="0" borderId="0" xfId="0" applyNumberFormat="1" applyFont="1" applyFill="1"/>
    <xf numFmtId="0" fontId="2" fillId="0" borderId="0" xfId="0" applyNumberFormat="1" applyFont="1" applyFill="1" applyAlignment="1">
      <alignment horizontal="right"/>
    </xf>
    <xf numFmtId="0" fontId="3" fillId="0" borderId="0" xfId="0" applyNumberFormat="1" applyFont="1" applyFill="1"/>
    <xf numFmtId="10" fontId="2" fillId="0" borderId="0" xfId="0" applyNumberFormat="1" applyFont="1" applyFill="1"/>
    <xf numFmtId="164" fontId="2" fillId="0" borderId="0" xfId="0" applyNumberFormat="1" applyFont="1"/>
    <xf numFmtId="0" fontId="2" fillId="0" borderId="0" xfId="0" applyNumberFormat="1" applyFont="1" applyFill="1" applyAlignment="1">
      <alignment horizontal="center"/>
    </xf>
    <xf numFmtId="39" fontId="2" fillId="0" borderId="0" xfId="0" applyNumberFormat="1" applyFont="1" applyFill="1"/>
    <xf numFmtId="165" fontId="2" fillId="0" borderId="0" xfId="0" applyNumberFormat="1" applyFont="1" applyFill="1"/>
    <xf numFmtId="37" fontId="2" fillId="0" borderId="0" xfId="0" applyNumberFormat="1" applyFont="1" applyFill="1"/>
    <xf numFmtId="5" fontId="2" fillId="0" borderId="0" xfId="0" applyNumberFormat="1" applyFont="1" applyFill="1"/>
    <xf numFmtId="166" fontId="2" fillId="0" borderId="0" xfId="0" applyNumberFormat="1" applyFont="1" applyFill="1"/>
    <xf numFmtId="0" fontId="2" fillId="0" borderId="0" xfId="0" applyFont="1" applyAlignment="1">
      <alignment horizontal="right"/>
    </xf>
    <xf numFmtId="0" fontId="2" fillId="0" borderId="0" xfId="0" quotePrefix="1" applyNumberFormat="1" applyFont="1" applyFill="1"/>
    <xf numFmtId="37" fontId="3" fillId="0" borderId="0" xfId="0" applyNumberFormat="1" applyFont="1" applyFill="1"/>
    <xf numFmtId="40" fontId="2" fillId="0" borderId="0" xfId="0" applyNumberFormat="1" applyFont="1" applyFill="1"/>
    <xf numFmtId="164" fontId="2" fillId="0" borderId="0" xfId="0" applyNumberFormat="1" applyFont="1" applyFill="1" applyAlignment="1">
      <alignment horizontal="center"/>
    </xf>
    <xf numFmtId="0" fontId="4" fillId="0" borderId="0" xfId="0" applyNumberFormat="1" applyFont="1" applyFill="1" applyAlignment="1">
      <alignment horizontal="right"/>
    </xf>
    <xf numFmtId="167" fontId="2" fillId="0" borderId="0" xfId="0" applyNumberFormat="1" applyFont="1" applyFill="1"/>
    <xf numFmtId="3" fontId="2" fillId="0" borderId="0" xfId="0" applyNumberFormat="1" applyFont="1"/>
    <xf numFmtId="0" fontId="2" fillId="0" borderId="0" xfId="0" quotePrefix="1" applyFont="1" applyAlignment="1">
      <alignment horizontal="center"/>
    </xf>
    <xf numFmtId="0" fontId="3" fillId="0" borderId="0" xfId="0" quotePrefix="1" applyNumberFormat="1" applyFont="1" applyFill="1" applyAlignment="1">
      <alignment horizontal="center"/>
    </xf>
    <xf numFmtId="0" fontId="5" fillId="0" borderId="0" xfId="0" applyNumberFormat="1" applyFont="1" applyFill="1" applyAlignment="1">
      <alignment horizontal="center"/>
    </xf>
    <xf numFmtId="0" fontId="3" fillId="0" borderId="0" xfId="0" applyNumberFormat="1" applyFont="1" applyFill="1" applyAlignment="1">
      <alignment horizontal="center"/>
    </xf>
    <xf numFmtId="40" fontId="5" fillId="0" borderId="0" xfId="0" applyNumberFormat="1" applyFont="1" applyFill="1"/>
    <xf numFmtId="6" fontId="5" fillId="0" borderId="0" xfId="0" applyNumberFormat="1" applyFont="1" applyFill="1" applyAlignment="1">
      <alignment horizontal="center"/>
    </xf>
    <xf numFmtId="0" fontId="4" fillId="0" borderId="0" xfId="0" quotePrefix="1" applyNumberFormat="1" applyFont="1" applyFill="1" applyAlignment="1">
      <alignment horizontal="center"/>
    </xf>
    <xf numFmtId="0" fontId="3" fillId="0" borderId="0" xfId="0" applyFont="1" applyAlignment="1">
      <alignment horizontal="center"/>
    </xf>
    <xf numFmtId="8" fontId="5" fillId="0" borderId="0" xfId="0" applyNumberFormat="1" applyFont="1" applyFill="1" applyAlignment="1">
      <alignment horizontal="center"/>
    </xf>
    <xf numFmtId="5" fontId="5" fillId="0" borderId="0" xfId="0" applyNumberFormat="1" applyFont="1" applyFill="1"/>
    <xf numFmtId="0" fontId="2" fillId="0" borderId="0" xfId="0" applyFont="1" applyAlignment="1">
      <alignment horizontal="center"/>
    </xf>
    <xf numFmtId="0" fontId="2" fillId="0" borderId="0" xfId="0" quotePrefix="1" applyNumberFormat="1" applyFont="1" applyFill="1" applyAlignment="1">
      <alignment horizontal="center"/>
    </xf>
    <xf numFmtId="4" fontId="6" fillId="0" borderId="0" xfId="0" applyNumberFormat="1" applyFont="1"/>
    <xf numFmtId="3" fontId="6" fillId="0" borderId="0" xfId="0" applyNumberFormat="1" applyFont="1"/>
    <xf numFmtId="40" fontId="2" fillId="0" borderId="0" xfId="0" applyNumberFormat="1" applyFont="1"/>
    <xf numFmtId="164" fontId="2" fillId="0" borderId="0" xfId="0" applyNumberFormat="1" applyFont="1" applyFill="1"/>
    <xf numFmtId="168" fontId="2" fillId="0" borderId="0" xfId="0" applyNumberFormat="1" applyFont="1" applyFill="1"/>
    <xf numFmtId="0" fontId="6" fillId="0" borderId="0" xfId="0" applyFont="1"/>
    <xf numFmtId="0" fontId="7" fillId="0" borderId="0" xfId="0" applyNumberFormat="1" applyFont="1" applyFill="1" applyAlignment="1">
      <alignment horizontal="center"/>
    </xf>
    <xf numFmtId="0" fontId="2" fillId="2" borderId="0" xfId="0" applyNumberFormat="1" applyFont="1" applyFill="1"/>
    <xf numFmtId="0" fontId="2" fillId="3" borderId="0" xfId="0" applyNumberFormat="1" applyFont="1" applyFill="1"/>
    <xf numFmtId="0" fontId="2" fillId="4" borderId="0" xfId="0" applyNumberFormat="1" applyFont="1" applyFill="1"/>
    <xf numFmtId="37" fontId="2" fillId="3" borderId="0" xfId="0" applyNumberFormat="1" applyFont="1" applyFill="1"/>
    <xf numFmtId="37" fontId="2" fillId="2" borderId="0" xfId="0" applyNumberFormat="1" applyFont="1" applyFill="1"/>
    <xf numFmtId="37" fontId="2" fillId="4" borderId="0" xfId="0" applyNumberFormat="1" applyFont="1" applyFill="1"/>
    <xf numFmtId="9" fontId="2" fillId="4" borderId="0" xfId="1" applyFont="1" applyFill="1"/>
    <xf numFmtId="0" fontId="3" fillId="2" borderId="0" xfId="0" quotePrefix="1" applyNumberFormat="1" applyFont="1" applyFill="1" applyAlignment="1">
      <alignment horizontal="center"/>
    </xf>
    <xf numFmtId="3" fontId="3" fillId="4" borderId="0" xfId="0" quotePrefix="1" applyNumberFormat="1" applyFont="1" applyFill="1" applyAlignment="1">
      <alignment horizontal="center"/>
    </xf>
    <xf numFmtId="9" fontId="3" fillId="4" borderId="0" xfId="1" quotePrefix="1" applyFont="1" applyFill="1" applyAlignment="1">
      <alignment horizontal="center"/>
    </xf>
    <xf numFmtId="37" fontId="2" fillId="0" borderId="0" xfId="0" applyNumberFormat="1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2" borderId="0" xfId="0" applyNumberFormat="1" applyFont="1" applyFill="1" applyAlignment="1">
      <alignment horizontal="center"/>
    </xf>
    <xf numFmtId="0" fontId="2" fillId="3" borderId="0" xfId="0" applyNumberFormat="1" applyFont="1" applyFill="1" applyAlignment="1">
      <alignment horizontal="center"/>
    </xf>
    <xf numFmtId="0" fontId="2" fillId="4" borderId="0" xfId="0" applyNumberFormat="1" applyFont="1" applyFill="1" applyAlignment="1">
      <alignment horizontal="center"/>
    </xf>
    <xf numFmtId="0" fontId="2" fillId="3" borderId="0" xfId="0" applyFont="1" applyFill="1" applyAlignment="1">
      <alignment wrapText="1"/>
    </xf>
    <xf numFmtId="0" fontId="3" fillId="2" borderId="0" xfId="0" applyNumberFormat="1" applyFont="1" applyFill="1" applyAlignment="1">
      <alignment horizontal="center"/>
    </xf>
    <xf numFmtId="0" fontId="3" fillId="3" borderId="0" xfId="0" applyNumberFormat="1" applyFont="1" applyFill="1" applyAlignment="1">
      <alignment horizontal="center"/>
    </xf>
    <xf numFmtId="0" fontId="3" fillId="4" borderId="0" xfId="0" applyNumberFormat="1" applyFont="1" applyFill="1" applyAlignment="1">
      <alignment horizontal="center"/>
    </xf>
    <xf numFmtId="0" fontId="2" fillId="2" borderId="0" xfId="0" quotePrefix="1" applyFont="1" applyFill="1" applyAlignment="1">
      <alignment horizontal="center"/>
    </xf>
    <xf numFmtId="0" fontId="2" fillId="3" borderId="0" xfId="0" quotePrefix="1" applyFont="1" applyFill="1" applyAlignment="1">
      <alignment horizontal="center"/>
    </xf>
    <xf numFmtId="0" fontId="2" fillId="4" borderId="0" xfId="0" quotePrefix="1" applyFont="1" applyFill="1" applyAlignment="1">
      <alignment horizontal="center"/>
    </xf>
    <xf numFmtId="168" fontId="6" fillId="0" borderId="0" xfId="0" applyNumberFormat="1" applyFont="1"/>
    <xf numFmtId="3" fontId="6" fillId="2" borderId="0" xfId="0" applyNumberFormat="1" applyFont="1" applyFill="1"/>
    <xf numFmtId="3" fontId="6" fillId="3" borderId="0" xfId="0" applyNumberFormat="1" applyFont="1" applyFill="1"/>
    <xf numFmtId="9" fontId="6" fillId="0" borderId="0" xfId="1" applyFont="1"/>
    <xf numFmtId="37" fontId="3" fillId="6" borderId="0" xfId="0" quotePrefix="1" applyNumberFormat="1" applyFont="1" applyFill="1" applyAlignment="1">
      <alignment horizontal="center"/>
    </xf>
    <xf numFmtId="4" fontId="2" fillId="0" borderId="0" xfId="0" applyNumberFormat="1" applyFont="1" applyFill="1"/>
    <xf numFmtId="170" fontId="2" fillId="0" borderId="0" xfId="0" applyNumberFormat="1" applyFont="1" applyFill="1"/>
    <xf numFmtId="37" fontId="2" fillId="0" borderId="0" xfId="0" applyNumberFormat="1" applyFont="1" applyFill="1" applyAlignment="1">
      <alignment horizontal="center"/>
    </xf>
    <xf numFmtId="10" fontId="2" fillId="0" borderId="0" xfId="0" applyNumberFormat="1" applyFont="1"/>
    <xf numFmtId="170" fontId="6" fillId="0" borderId="0" xfId="0" applyNumberFormat="1" applyFont="1"/>
    <xf numFmtId="4" fontId="4" fillId="5" borderId="2" xfId="0" applyNumberFormat="1" applyFont="1" applyFill="1" applyBorder="1" applyAlignment="1">
      <alignment horizontal="right"/>
    </xf>
    <xf numFmtId="4" fontId="4" fillId="2" borderId="2" xfId="0" applyNumberFormat="1" applyFont="1" applyFill="1" applyBorder="1" applyAlignment="1">
      <alignment horizontal="right"/>
    </xf>
  </cellXfs>
  <cellStyles count="48">
    <cellStyle name="20% - Accent1" xfId="24" builtinId="30" customBuiltin="1"/>
    <cellStyle name="20% - Accent2" xfId="28" builtinId="34" customBuiltin="1"/>
    <cellStyle name="20% - Accent3" xfId="32" builtinId="38" customBuiltin="1"/>
    <cellStyle name="20% - Accent4" xfId="36" builtinId="42" customBuiltin="1"/>
    <cellStyle name="20% - Accent5" xfId="40" builtinId="46" customBuiltin="1"/>
    <cellStyle name="20% - Accent6" xfId="44" builtinId="50" customBuiltin="1"/>
    <cellStyle name="40% - Accent1" xfId="25" builtinId="31" customBuiltin="1"/>
    <cellStyle name="40% - Accent2" xfId="29" builtinId="35" customBuiltin="1"/>
    <cellStyle name="40% - Accent3" xfId="33" builtinId="39" customBuiltin="1"/>
    <cellStyle name="40% - Accent4" xfId="37" builtinId="43" customBuiltin="1"/>
    <cellStyle name="40% - Accent5" xfId="41" builtinId="47" customBuiltin="1"/>
    <cellStyle name="40% - Accent6" xfId="45" builtinId="51" customBuiltin="1"/>
    <cellStyle name="60% - Accent1" xfId="26" builtinId="32" customBuiltin="1"/>
    <cellStyle name="60% - Accent2" xfId="30" builtinId="36" customBuiltin="1"/>
    <cellStyle name="60% - Accent3" xfId="34" builtinId="40" customBuiltin="1"/>
    <cellStyle name="60% - Accent4" xfId="38" builtinId="44" customBuiltin="1"/>
    <cellStyle name="60% - Accent5" xfId="42" builtinId="48" customBuiltin="1"/>
    <cellStyle name="60% - Accent6" xfId="46" builtinId="52" customBuiltin="1"/>
    <cellStyle name="Accent1" xfId="23" builtinId="29" customBuiltin="1"/>
    <cellStyle name="Accent2" xfId="27" builtinId="33" customBuiltin="1"/>
    <cellStyle name="Accent3" xfId="31" builtinId="37" customBuiltin="1"/>
    <cellStyle name="Accent4" xfId="35" builtinId="41" customBuiltin="1"/>
    <cellStyle name="Accent5" xfId="39" builtinId="45" customBuiltin="1"/>
    <cellStyle name="Accent6" xfId="43" builtinId="49" customBuiltin="1"/>
    <cellStyle name="Bad" xfId="12" builtinId="27" customBuiltin="1"/>
    <cellStyle name="Calculation" xfId="16" builtinId="22" customBuiltin="1"/>
    <cellStyle name="Check Cell" xfId="18" builtinId="23" customBuiltin="1"/>
    <cellStyle name="Explanatory Text" xfId="21" builtinId="53" customBuiltin="1"/>
    <cellStyle name="Good" xfId="11" builtinId="26" customBuiltin="1"/>
    <cellStyle name="Heading 1" xfId="7" builtinId="16" customBuiltin="1"/>
    <cellStyle name="Heading 2" xfId="8" builtinId="17" customBuiltin="1"/>
    <cellStyle name="Heading 3" xfId="9" builtinId="18" customBuiltin="1"/>
    <cellStyle name="Heading 4" xfId="10" builtinId="19" customBuiltin="1"/>
    <cellStyle name="Input" xfId="14" builtinId="20" customBuiltin="1"/>
    <cellStyle name="Linked Cell" xfId="17" builtinId="24" customBuiltin="1"/>
    <cellStyle name="Neutral" xfId="13" builtinId="28" customBuiltin="1"/>
    <cellStyle name="Normal" xfId="0" builtinId="0"/>
    <cellStyle name="Note" xfId="20" builtinId="10" customBuiltin="1"/>
    <cellStyle name="Number Headers" xfId="2"/>
    <cellStyle name="Numbers" xfId="3"/>
    <cellStyle name="Output" xfId="15" builtinId="21" customBuiltin="1"/>
    <cellStyle name="Percent" xfId="1" builtinId="5"/>
    <cellStyle name="Text" xfId="4"/>
    <cellStyle name="Text Headers" xfId="5"/>
    <cellStyle name="Title" xfId="6" builtinId="15" customBuiltin="1"/>
    <cellStyle name="Title 2" xfId="47"/>
    <cellStyle name="Total" xfId="22" builtinId="25" customBuiltin="1"/>
    <cellStyle name="Warning Text" xfId="19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363"/>
  <sheetViews>
    <sheetView tabSelected="1" topLeftCell="U19" workbookViewId="0">
      <selection activeCell="Z27" sqref="Z27:Z195"/>
    </sheetView>
  </sheetViews>
  <sheetFormatPr defaultColWidth="8.87890625" defaultRowHeight="13.7" x14ac:dyDescent="0.4"/>
  <cols>
    <col min="1" max="7" width="9.1171875" style="3" customWidth="1"/>
    <col min="8" max="8" width="8.87890625" style="3"/>
    <col min="9" max="10" width="19.41015625" style="3" customWidth="1"/>
    <col min="11" max="13" width="16.87890625" style="3" customWidth="1"/>
    <col min="14" max="20" width="15.87890625" style="3" customWidth="1"/>
    <col min="21" max="21" width="16.87890625" style="3" customWidth="1"/>
    <col min="22" max="22" width="25.87890625" style="3" customWidth="1"/>
    <col min="23" max="23" width="17.1171875" style="3" customWidth="1"/>
    <col min="24" max="24" width="26.703125" style="3" customWidth="1"/>
    <col min="25" max="25" width="22.41015625" style="3" customWidth="1"/>
    <col min="26" max="26" width="18.41015625" style="3" customWidth="1"/>
    <col min="27" max="27" width="21.703125" style="3" customWidth="1"/>
    <col min="28" max="28" width="18" style="3" customWidth="1"/>
    <col min="29" max="31" width="20.29296875" style="3" customWidth="1"/>
    <col min="32" max="32" width="15.41015625" style="3" customWidth="1"/>
    <col min="33" max="33" width="16.41015625" style="3" customWidth="1"/>
    <col min="34" max="34" width="15" style="3" customWidth="1"/>
    <col min="35" max="35" width="19.703125" style="3" customWidth="1"/>
    <col min="36" max="36" width="23.1171875" style="3" customWidth="1"/>
    <col min="37" max="44" width="17.87890625" style="3" customWidth="1"/>
    <col min="45" max="45" width="20.41015625" style="41" customWidth="1"/>
    <col min="46" max="46" width="36.41015625" style="42" customWidth="1"/>
    <col min="47" max="49" width="17.87890625" style="3" customWidth="1"/>
    <col min="50" max="50" width="17.1171875" style="1" customWidth="1"/>
    <col min="51" max="51" width="8.87890625" style="1"/>
    <col min="52" max="52" width="15.29296875" style="1" customWidth="1"/>
    <col min="53" max="53" width="13.703125" style="1" customWidth="1"/>
    <col min="54" max="56" width="8.87890625" style="1"/>
    <col min="57" max="61" width="15" style="1" bestFit="1" customWidth="1"/>
    <col min="62" max="16384" width="8.87890625" style="1"/>
  </cols>
  <sheetData>
    <row r="1" spans="1:49" x14ac:dyDescent="0.4">
      <c r="A1" s="1"/>
      <c r="B1" s="2"/>
      <c r="AU1" s="43"/>
      <c r="AV1" s="43"/>
    </row>
    <row r="2" spans="1:49" x14ac:dyDescent="0.4">
      <c r="A2" s="1"/>
      <c r="B2" s="1"/>
      <c r="C2" s="2"/>
      <c r="D2" s="2"/>
      <c r="E2" s="2"/>
      <c r="F2" s="8" t="s">
        <v>318</v>
      </c>
      <c r="G2" s="4"/>
      <c r="H2" s="5" t="s">
        <v>0</v>
      </c>
      <c r="K2" s="1"/>
      <c r="L2" s="6">
        <v>0.3</v>
      </c>
      <c r="M2" s="1"/>
      <c r="N2" s="6"/>
      <c r="O2" s="6"/>
      <c r="P2" s="6"/>
      <c r="Q2" s="6"/>
      <c r="R2" s="6"/>
      <c r="S2" s="6"/>
      <c r="T2" s="6">
        <v>0.3</v>
      </c>
      <c r="U2" s="7"/>
      <c r="V2" s="8"/>
      <c r="AU2" s="43"/>
      <c r="AV2" s="43"/>
    </row>
    <row r="3" spans="1:49" x14ac:dyDescent="0.4">
      <c r="A3" s="1"/>
      <c r="B3" s="1"/>
      <c r="C3" s="2"/>
      <c r="D3" s="2"/>
      <c r="E3" s="2"/>
      <c r="F3" s="8" t="s">
        <v>319</v>
      </c>
      <c r="G3" s="4"/>
      <c r="H3" s="5" t="s">
        <v>1</v>
      </c>
      <c r="L3" s="9">
        <v>1.35</v>
      </c>
      <c r="N3" s="9"/>
      <c r="O3" s="9"/>
      <c r="P3" s="9"/>
      <c r="Q3" s="9"/>
      <c r="R3" s="9"/>
      <c r="S3" s="9"/>
      <c r="T3" s="9">
        <v>1.35</v>
      </c>
      <c r="U3" s="7"/>
      <c r="V3" s="8"/>
      <c r="AU3" s="43"/>
      <c r="AV3" s="43"/>
    </row>
    <row r="4" spans="1:49" x14ac:dyDescent="0.4">
      <c r="A4" s="1"/>
      <c r="B4" s="1"/>
      <c r="C4" s="2"/>
      <c r="D4" s="2"/>
      <c r="E4" s="2"/>
      <c r="F4" s="8" t="s">
        <v>320</v>
      </c>
      <c r="G4" s="4"/>
      <c r="H4" s="5" t="s">
        <v>2</v>
      </c>
      <c r="K4" s="1"/>
      <c r="L4" s="6">
        <v>0.7</v>
      </c>
      <c r="M4" s="1"/>
      <c r="N4" s="6"/>
      <c r="O4" s="6"/>
      <c r="P4" s="6"/>
      <c r="Q4" s="6"/>
      <c r="R4" s="6"/>
      <c r="S4" s="6"/>
      <c r="T4" s="6">
        <v>0.7</v>
      </c>
      <c r="U4" s="7"/>
      <c r="V4" s="8"/>
      <c r="AU4" s="43"/>
      <c r="AV4" s="43"/>
    </row>
    <row r="5" spans="1:49" x14ac:dyDescent="0.4">
      <c r="F5" s="8" t="s">
        <v>321</v>
      </c>
      <c r="G5" s="4"/>
      <c r="H5" s="1" t="s">
        <v>3</v>
      </c>
      <c r="I5" s="1"/>
      <c r="J5" s="1"/>
      <c r="K5" s="1"/>
      <c r="L5" s="6">
        <v>0.3</v>
      </c>
      <c r="M5" s="1"/>
      <c r="N5" s="1"/>
      <c r="O5" s="1"/>
      <c r="P5" s="1"/>
      <c r="Q5" s="1"/>
      <c r="R5" s="1"/>
      <c r="S5" s="1"/>
      <c r="T5" s="6">
        <v>0.3</v>
      </c>
      <c r="U5" s="10"/>
      <c r="W5" s="8"/>
      <c r="Z5" s="8"/>
      <c r="AA5" s="8"/>
      <c r="AB5" s="8"/>
      <c r="AC5" s="8"/>
      <c r="AD5" s="8"/>
      <c r="AE5" s="8"/>
      <c r="AU5" s="43"/>
      <c r="AV5" s="43"/>
    </row>
    <row r="6" spans="1:49" x14ac:dyDescent="0.4">
      <c r="F6" s="8" t="s">
        <v>322</v>
      </c>
      <c r="G6" s="4"/>
      <c r="H6" s="5" t="s">
        <v>4</v>
      </c>
      <c r="L6" s="6">
        <v>0.01</v>
      </c>
      <c r="N6" s="6"/>
      <c r="O6" s="6"/>
      <c r="P6" s="6"/>
      <c r="Q6" s="6"/>
      <c r="R6" s="6"/>
      <c r="S6" s="6"/>
      <c r="T6" s="6">
        <v>0.01</v>
      </c>
      <c r="U6" s="6"/>
      <c r="W6" s="8"/>
      <c r="Z6" s="8"/>
      <c r="AA6" s="8"/>
      <c r="AB6" s="8"/>
      <c r="AC6" s="8"/>
      <c r="AD6" s="8"/>
      <c r="AE6" s="8"/>
      <c r="AU6" s="43"/>
      <c r="AV6" s="43"/>
    </row>
    <row r="7" spans="1:49" x14ac:dyDescent="0.4">
      <c r="F7" s="8" t="s">
        <v>323</v>
      </c>
      <c r="G7" s="4"/>
      <c r="H7" s="5" t="s">
        <v>5</v>
      </c>
      <c r="L7" s="6">
        <v>0.1</v>
      </c>
      <c r="N7" s="6"/>
      <c r="O7" s="6"/>
      <c r="P7" s="6"/>
      <c r="Q7" s="6"/>
      <c r="R7" s="6"/>
      <c r="S7" s="6"/>
      <c r="T7" s="6">
        <v>0.1</v>
      </c>
      <c r="U7" s="6"/>
      <c r="W7" s="8"/>
      <c r="Z7" s="8"/>
      <c r="AA7" s="8"/>
      <c r="AB7" s="8"/>
      <c r="AC7" s="8"/>
      <c r="AD7" s="8"/>
      <c r="AE7" s="8"/>
      <c r="AU7" s="43"/>
      <c r="AV7" s="43"/>
    </row>
    <row r="8" spans="1:49" x14ac:dyDescent="0.4">
      <c r="F8" s="8" t="s">
        <v>317</v>
      </c>
      <c r="G8" s="4"/>
      <c r="H8" s="5" t="s">
        <v>6</v>
      </c>
      <c r="K8" s="1"/>
      <c r="L8" s="12">
        <v>11525</v>
      </c>
      <c r="M8" s="1"/>
      <c r="N8" s="12"/>
      <c r="O8" s="12"/>
      <c r="P8" s="12"/>
      <c r="Q8" s="12"/>
      <c r="R8" s="12"/>
      <c r="S8" s="12"/>
      <c r="T8" s="12">
        <v>11525</v>
      </c>
      <c r="W8" s="8"/>
      <c r="Z8" s="8"/>
      <c r="AA8" s="8"/>
      <c r="AB8" s="8"/>
      <c r="AC8" s="8"/>
      <c r="AD8" s="8"/>
      <c r="AE8" s="8"/>
      <c r="AU8" s="43"/>
      <c r="AV8" s="43"/>
    </row>
    <row r="9" spans="1:49" x14ac:dyDescent="0.4">
      <c r="F9" s="8" t="s">
        <v>316</v>
      </c>
      <c r="G9" s="4"/>
      <c r="H9" s="3" t="s">
        <v>325</v>
      </c>
      <c r="L9" s="6">
        <v>0.1066</v>
      </c>
      <c r="T9" s="6"/>
      <c r="U9" s="6"/>
      <c r="V9" s="13"/>
      <c r="W9" s="8"/>
      <c r="Z9" s="8"/>
      <c r="AA9" s="8"/>
      <c r="AB9" s="8"/>
      <c r="AC9" s="8"/>
      <c r="AD9" s="8"/>
      <c r="AE9" s="8"/>
      <c r="AU9" s="43"/>
      <c r="AV9" s="43"/>
    </row>
    <row r="10" spans="1:49" x14ac:dyDescent="0.4">
      <c r="F10" s="32" t="s">
        <v>324</v>
      </c>
      <c r="G10" s="14"/>
      <c r="H10" s="3" t="s">
        <v>326</v>
      </c>
      <c r="I10" s="1"/>
      <c r="J10" s="1"/>
      <c r="K10" s="1"/>
      <c r="L10" s="73">
        <v>8.3299999999999999E-2</v>
      </c>
      <c r="M10" s="1"/>
      <c r="N10" s="1"/>
      <c r="O10" s="1"/>
      <c r="P10" s="1"/>
      <c r="Q10" s="1"/>
      <c r="R10" s="1"/>
      <c r="S10" s="1"/>
      <c r="T10" s="6"/>
      <c r="U10" s="6"/>
      <c r="V10" s="13"/>
      <c r="W10" s="8"/>
      <c r="Z10" s="8"/>
      <c r="AA10" s="8"/>
      <c r="AB10" s="8"/>
      <c r="AC10" s="8"/>
      <c r="AD10" s="8"/>
      <c r="AE10" s="8"/>
      <c r="AU10" s="43"/>
      <c r="AV10" s="43"/>
    </row>
    <row r="11" spans="1:49" x14ac:dyDescent="0.4">
      <c r="F11" s="14"/>
      <c r="G11" s="14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6"/>
      <c r="U11" s="6"/>
      <c r="V11" s="13"/>
      <c r="W11" s="8"/>
      <c r="Z11" s="8"/>
      <c r="AA11" s="8"/>
      <c r="AB11" s="8"/>
      <c r="AC11" s="8"/>
      <c r="AD11" s="8"/>
      <c r="AE11" s="8"/>
      <c r="AT11" s="44"/>
      <c r="AU11" s="43"/>
      <c r="AV11" s="43"/>
    </row>
    <row r="12" spans="1:49" hidden="1" x14ac:dyDescent="0.4">
      <c r="F12" s="4" t="s">
        <v>7</v>
      </c>
      <c r="G12" s="4"/>
      <c r="H12" s="3" t="s">
        <v>8</v>
      </c>
      <c r="T12" s="6">
        <v>1.7999999999999999E-2</v>
      </c>
      <c r="W12" s="8"/>
      <c r="Z12" s="8"/>
      <c r="AA12" s="8"/>
      <c r="AB12" s="8"/>
      <c r="AC12" s="8"/>
      <c r="AD12" s="8"/>
      <c r="AE12" s="8"/>
      <c r="AU12" s="43"/>
      <c r="AV12" s="43"/>
    </row>
    <row r="13" spans="1:49" hidden="1" x14ac:dyDescent="0.4">
      <c r="F13" s="14" t="s">
        <v>9</v>
      </c>
      <c r="G13" s="14"/>
      <c r="H13" s="3" t="s">
        <v>10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6">
        <v>0.14399999999999999</v>
      </c>
      <c r="W13" s="8"/>
      <c r="Z13" s="8"/>
      <c r="AA13" s="8"/>
      <c r="AB13" s="8"/>
      <c r="AC13" s="8"/>
      <c r="AD13" s="8"/>
      <c r="AE13" s="8"/>
      <c r="AU13" s="43"/>
      <c r="AV13" s="43"/>
    </row>
    <row r="14" spans="1:49" hidden="1" x14ac:dyDescent="0.4">
      <c r="F14" s="14" t="s">
        <v>11</v>
      </c>
      <c r="G14" s="14"/>
      <c r="H14" s="3" t="s">
        <v>12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6">
        <v>0.216</v>
      </c>
      <c r="W14" s="8"/>
      <c r="Z14" s="8"/>
      <c r="AA14" s="8"/>
      <c r="AB14" s="8"/>
      <c r="AC14" s="8"/>
      <c r="AD14" s="8"/>
      <c r="AE14" s="8"/>
      <c r="AU14" s="43"/>
      <c r="AV14" s="43"/>
    </row>
    <row r="15" spans="1:49" x14ac:dyDescent="0.4">
      <c r="F15" s="14"/>
      <c r="G15" s="14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6"/>
      <c r="W15" s="8"/>
      <c r="Z15" s="8"/>
      <c r="AA15" s="8"/>
      <c r="AB15" s="8"/>
      <c r="AC15" s="8"/>
      <c r="AD15" s="8"/>
      <c r="AE15" s="8"/>
      <c r="AU15" s="43"/>
      <c r="AV15" s="43"/>
    </row>
    <row r="16" spans="1:49" x14ac:dyDescent="0.4">
      <c r="H16" s="15"/>
      <c r="K16" s="16"/>
      <c r="L16" s="16"/>
      <c r="M16" s="16"/>
      <c r="N16" s="9"/>
      <c r="O16" s="9"/>
      <c r="P16" s="9"/>
      <c r="Q16" s="9"/>
      <c r="R16" s="9"/>
      <c r="S16" s="9"/>
      <c r="T16" s="9"/>
      <c r="U16" s="9"/>
      <c r="V16" s="8"/>
      <c r="W16" s="11"/>
      <c r="X16" s="8"/>
      <c r="Y16" s="17"/>
      <c r="Z16" s="8"/>
      <c r="AA16" s="8"/>
      <c r="AB16" s="8"/>
      <c r="AC16" s="18"/>
      <c r="AD16" s="18"/>
      <c r="AE16" s="18"/>
      <c r="AF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45"/>
      <c r="AT16" s="44"/>
      <c r="AU16" s="46"/>
      <c r="AV16" s="47"/>
      <c r="AW16" s="11"/>
    </row>
    <row r="17" spans="1:61" x14ac:dyDescent="0.4">
      <c r="C17" s="11">
        <f>SUM(C27:C195)</f>
        <v>33</v>
      </c>
      <c r="D17" s="11">
        <f>SUM(D27:D195)</f>
        <v>20</v>
      </c>
      <c r="E17" s="11">
        <f>SUM(E27:E195)</f>
        <v>10</v>
      </c>
      <c r="I17" s="19" t="s">
        <v>13</v>
      </c>
      <c r="J17" s="11"/>
      <c r="K17" s="9">
        <f t="shared" ref="K17:W17" si="0">SUM(K27:K195)</f>
        <v>501381.4600000002</v>
      </c>
      <c r="L17" s="9">
        <f t="shared" si="0"/>
        <v>0</v>
      </c>
      <c r="M17" s="9">
        <f t="shared" si="0"/>
        <v>0</v>
      </c>
      <c r="N17" s="11">
        <f t="shared" si="0"/>
        <v>211854</v>
      </c>
      <c r="O17" s="11"/>
      <c r="P17" s="11"/>
      <c r="Q17" s="11"/>
      <c r="R17" s="11">
        <f t="shared" si="0"/>
        <v>221.85787500000006</v>
      </c>
      <c r="S17" s="11">
        <f t="shared" si="0"/>
        <v>42212</v>
      </c>
      <c r="T17" s="9">
        <f t="shared" si="0"/>
        <v>63556.200000000004</v>
      </c>
      <c r="U17" s="9">
        <f t="shared" si="0"/>
        <v>571491.31787499983</v>
      </c>
      <c r="V17" s="9">
        <f t="shared" si="0"/>
        <v>550311611843.04004</v>
      </c>
      <c r="W17" s="11">
        <f t="shared" si="0"/>
        <v>3575967</v>
      </c>
      <c r="X17" s="17">
        <f>ROUND(V17/W17,2)</f>
        <v>153891.69</v>
      </c>
      <c r="Y17" s="1"/>
      <c r="Z17" s="11">
        <f>SUM(Z27:Z195)</f>
        <v>15064763</v>
      </c>
      <c r="AA17" s="11"/>
      <c r="AB17" s="20">
        <f>SUM(AB27:AB195)</f>
        <v>21.989735000000007</v>
      </c>
      <c r="AC17" s="20">
        <f>SUM(AC27:AC195)</f>
        <v>41.583909999999982</v>
      </c>
      <c r="AD17" s="20"/>
      <c r="AE17" s="20"/>
      <c r="AF17" s="11">
        <f>SUM(AF27:AF195)</f>
        <v>23451</v>
      </c>
      <c r="AI17" s="11">
        <f>SUM(AI27:AI195)</f>
        <v>1889721</v>
      </c>
      <c r="AJ17" s="11">
        <f>SUM(AJ27:AJ195)</f>
        <v>2347793431</v>
      </c>
      <c r="AK17" s="11">
        <f>SUM(AK27:AK195)</f>
        <v>2349683152</v>
      </c>
      <c r="AL17" s="11">
        <f t="shared" ref="AL17:AM17" si="1">SUM(AL27:AL195)</f>
        <v>2017587098</v>
      </c>
      <c r="AM17" s="11">
        <f t="shared" si="1"/>
        <v>537710562</v>
      </c>
      <c r="AN17" s="11"/>
      <c r="AO17" s="11">
        <f>SUM(AO27:AO195)</f>
        <v>2054638032</v>
      </c>
      <c r="AP17" s="11">
        <f t="shared" ref="AP17:AR17" si="2">SUM(AP27:AP195)</f>
        <v>54924536.891000003</v>
      </c>
      <c r="AQ17" s="11">
        <f t="shared" si="2"/>
        <v>2092434880.3746006</v>
      </c>
      <c r="AR17" s="11">
        <f t="shared" si="2"/>
        <v>2093587192.0988004</v>
      </c>
      <c r="AS17" s="45"/>
      <c r="AT17" s="44"/>
      <c r="AU17" s="46"/>
      <c r="AV17" s="46"/>
      <c r="AW17" s="11"/>
      <c r="AX17" s="11"/>
      <c r="AZ17" s="11"/>
      <c r="BA17" s="11"/>
      <c r="BE17" s="11"/>
      <c r="BF17" s="11"/>
      <c r="BG17" s="11"/>
      <c r="BH17" s="11"/>
      <c r="BI17" s="11"/>
    </row>
    <row r="18" spans="1:61" x14ac:dyDescent="0.4">
      <c r="I18" s="11"/>
      <c r="J18" s="11"/>
      <c r="K18" s="8" t="s">
        <v>14</v>
      </c>
      <c r="L18" s="8"/>
      <c r="M18" s="8"/>
      <c r="N18" s="22" t="s">
        <v>15</v>
      </c>
      <c r="O18" s="22"/>
      <c r="P18" s="22"/>
      <c r="Q18" s="22"/>
      <c r="R18" s="22"/>
      <c r="S18" s="22"/>
      <c r="T18" s="23" t="s">
        <v>16</v>
      </c>
      <c r="U18" s="23" t="s">
        <v>17</v>
      </c>
      <c r="V18" s="23" t="s">
        <v>18</v>
      </c>
      <c r="W18" s="23" t="s">
        <v>19</v>
      </c>
      <c r="X18" s="23" t="s">
        <v>20</v>
      </c>
      <c r="Y18" s="23" t="s">
        <v>21</v>
      </c>
      <c r="Z18" s="22" t="s">
        <v>22</v>
      </c>
      <c r="AA18" s="22" t="s">
        <v>23</v>
      </c>
      <c r="AB18" s="22" t="s">
        <v>24</v>
      </c>
      <c r="AC18" s="22" t="s">
        <v>25</v>
      </c>
      <c r="AD18" s="22" t="s">
        <v>26</v>
      </c>
      <c r="AE18" s="22" t="s">
        <v>27</v>
      </c>
      <c r="AF18" s="23" t="s">
        <v>26</v>
      </c>
      <c r="AG18" s="23" t="s">
        <v>27</v>
      </c>
      <c r="AH18" s="23" t="s">
        <v>28</v>
      </c>
      <c r="AI18" s="23" t="s">
        <v>29</v>
      </c>
      <c r="AJ18" s="23" t="s">
        <v>30</v>
      </c>
      <c r="AK18" s="23" t="s">
        <v>31</v>
      </c>
      <c r="AL18" s="23"/>
      <c r="AM18" s="23"/>
      <c r="AN18" s="23"/>
      <c r="AO18" s="23" t="s">
        <v>32</v>
      </c>
      <c r="AP18" s="23"/>
      <c r="AQ18" s="23"/>
      <c r="AR18" s="23"/>
      <c r="AS18" s="48"/>
      <c r="AT18" s="69"/>
      <c r="AU18" s="49"/>
      <c r="AV18" s="50"/>
      <c r="AW18" s="23"/>
      <c r="BF18" s="51"/>
      <c r="BG18" s="51"/>
      <c r="BH18" s="51"/>
      <c r="BI18" s="51"/>
    </row>
    <row r="19" spans="1:61" x14ac:dyDescent="0.4">
      <c r="I19" s="11"/>
      <c r="J19" s="11"/>
      <c r="U19" s="1"/>
      <c r="X19" s="24" t="s">
        <v>33</v>
      </c>
      <c r="Y19" s="24" t="s">
        <v>34</v>
      </c>
      <c r="Z19" s="24" t="s">
        <v>33</v>
      </c>
      <c r="AA19" s="24" t="s">
        <v>35</v>
      </c>
      <c r="AB19" s="24"/>
      <c r="AC19" s="25" t="s">
        <v>36</v>
      </c>
      <c r="AD19" s="25"/>
      <c r="AE19" s="25"/>
      <c r="AJ19" s="24" t="s">
        <v>37</v>
      </c>
      <c r="AK19" s="1"/>
      <c r="AL19" s="1"/>
      <c r="AM19" s="1"/>
      <c r="AN19" s="1"/>
      <c r="AO19" s="1"/>
      <c r="AP19" s="1"/>
      <c r="AQ19" s="1"/>
      <c r="AR19" s="1"/>
      <c r="AS19" s="52"/>
      <c r="AT19" s="53"/>
      <c r="AU19" s="54"/>
      <c r="AV19" s="54"/>
      <c r="AW19" s="1"/>
    </row>
    <row r="20" spans="1:61" x14ac:dyDescent="0.4">
      <c r="I20" s="11"/>
      <c r="J20" s="11"/>
      <c r="N20" s="25" t="s">
        <v>38</v>
      </c>
      <c r="O20" s="25"/>
      <c r="P20" s="25"/>
      <c r="Q20" s="25"/>
      <c r="R20" s="25"/>
      <c r="S20" s="25"/>
      <c r="X20" s="26">
        <f>MEDIAN(X27:X195)</f>
        <v>138296.42000000001</v>
      </c>
      <c r="Y20" s="24" t="s">
        <v>39</v>
      </c>
      <c r="Z20" s="27">
        <f>MEDIAN(Z27:Z195)</f>
        <v>85296</v>
      </c>
      <c r="AA20" s="24" t="s">
        <v>39</v>
      </c>
      <c r="AB20" s="8" t="s">
        <v>40</v>
      </c>
      <c r="AC20" s="8" t="s">
        <v>41</v>
      </c>
      <c r="AD20" s="8"/>
      <c r="AE20" s="8"/>
      <c r="AH20" s="8" t="s">
        <v>42</v>
      </c>
      <c r="AJ20" s="28" t="s">
        <v>43</v>
      </c>
      <c r="AK20" s="8"/>
      <c r="AL20" s="8"/>
      <c r="AM20" s="8"/>
      <c r="AN20" s="8"/>
      <c r="AO20" s="8"/>
      <c r="AP20" s="8"/>
      <c r="AQ20" s="8"/>
      <c r="AR20" s="8"/>
      <c r="AS20" s="55"/>
      <c r="AT20" s="56"/>
      <c r="AU20" s="57"/>
      <c r="AV20" s="57"/>
      <c r="AW20" s="8"/>
    </row>
    <row r="21" spans="1:61" x14ac:dyDescent="0.4">
      <c r="K21" s="8"/>
      <c r="L21" s="8"/>
      <c r="M21" s="8"/>
      <c r="N21" s="29" t="s">
        <v>44</v>
      </c>
      <c r="O21" s="29"/>
      <c r="P21" s="29"/>
      <c r="Q21" s="29"/>
      <c r="R21" s="29"/>
      <c r="S21" s="29"/>
      <c r="T21" s="1"/>
      <c r="V21" s="8" t="s">
        <v>45</v>
      </c>
      <c r="X21" s="8"/>
      <c r="Y21" s="30">
        <f>ROUND(X20*$T$3,2)</f>
        <v>186700.17</v>
      </c>
      <c r="Z21" s="8" t="s">
        <v>46</v>
      </c>
      <c r="AA21" s="30">
        <f>ROUND(Z20*$T$3,2)</f>
        <v>115149.6</v>
      </c>
      <c r="AB21" s="8" t="s">
        <v>47</v>
      </c>
      <c r="AC21" s="8" t="s">
        <v>48</v>
      </c>
      <c r="AD21" s="8"/>
      <c r="AE21" s="8"/>
      <c r="AF21" s="8" t="s">
        <v>49</v>
      </c>
      <c r="AG21" s="8" t="s">
        <v>50</v>
      </c>
      <c r="AH21" s="8" t="s">
        <v>51</v>
      </c>
      <c r="AI21" s="8" t="s">
        <v>42</v>
      </c>
      <c r="AJ21" s="31">
        <f>T8</f>
        <v>11525</v>
      </c>
      <c r="AM21" s="8" t="s">
        <v>309</v>
      </c>
      <c r="AQ21" s="23" t="s">
        <v>329</v>
      </c>
      <c r="AR21" s="23"/>
      <c r="AU21" s="43"/>
      <c r="AV21" s="43"/>
    </row>
    <row r="22" spans="1:61" x14ac:dyDescent="0.4">
      <c r="K22" s="25" t="s">
        <v>38</v>
      </c>
      <c r="L22" s="25"/>
      <c r="M22" s="25"/>
      <c r="N22" s="29" t="s">
        <v>52</v>
      </c>
      <c r="O22" s="29"/>
      <c r="P22" s="29" t="s">
        <v>301</v>
      </c>
      <c r="Q22" s="29"/>
      <c r="R22" s="29"/>
      <c r="S22" s="29"/>
      <c r="T22" s="32" t="s">
        <v>53</v>
      </c>
      <c r="U22" s="8" t="s">
        <v>54</v>
      </c>
      <c r="V22" s="8" t="s">
        <v>55</v>
      </c>
      <c r="X22" s="8" t="s">
        <v>56</v>
      </c>
      <c r="Y22" s="24" t="s">
        <v>57</v>
      </c>
      <c r="Z22" s="8" t="s">
        <v>58</v>
      </c>
      <c r="AA22" s="24" t="s">
        <v>57</v>
      </c>
      <c r="AB22" s="8" t="s">
        <v>59</v>
      </c>
      <c r="AC22" s="8" t="s">
        <v>60</v>
      </c>
      <c r="AD22" s="8"/>
      <c r="AE22" s="8"/>
      <c r="AF22" s="8" t="s">
        <v>61</v>
      </c>
      <c r="AG22" s="8" t="s">
        <v>42</v>
      </c>
      <c r="AH22" s="8" t="s">
        <v>62</v>
      </c>
      <c r="AI22" s="8" t="s">
        <v>51</v>
      </c>
      <c r="AJ22" s="8" t="s">
        <v>63</v>
      </c>
      <c r="AK22" s="8" t="s">
        <v>64</v>
      </c>
      <c r="AL22" s="8"/>
      <c r="AM22" s="25" t="s">
        <v>47</v>
      </c>
      <c r="AN22" s="8" t="s">
        <v>64</v>
      </c>
      <c r="AO22" s="1"/>
      <c r="AP22" s="1"/>
      <c r="AQ22" s="22" t="s">
        <v>330</v>
      </c>
      <c r="AR22" s="22"/>
      <c r="AS22" s="52"/>
      <c r="AT22" s="58"/>
      <c r="AU22" s="54"/>
      <c r="AV22" s="54"/>
      <c r="AW22" s="1"/>
    </row>
    <row r="23" spans="1:61" x14ac:dyDescent="0.4">
      <c r="A23" s="1"/>
      <c r="B23" s="32"/>
      <c r="C23" s="8"/>
      <c r="D23" s="8" t="s">
        <v>65</v>
      </c>
      <c r="E23" s="8"/>
      <c r="F23" s="8" t="s">
        <v>66</v>
      </c>
      <c r="G23" s="8"/>
      <c r="K23" s="8" t="s">
        <v>67</v>
      </c>
      <c r="L23" s="8"/>
      <c r="M23" s="8"/>
      <c r="N23" s="29" t="s">
        <v>68</v>
      </c>
      <c r="O23" s="29"/>
      <c r="P23" s="29" t="s">
        <v>302</v>
      </c>
      <c r="Q23" s="29" t="s">
        <v>295</v>
      </c>
      <c r="R23" s="29"/>
      <c r="S23" s="29"/>
      <c r="T23" s="8" t="s">
        <v>69</v>
      </c>
      <c r="U23" s="8" t="s">
        <v>49</v>
      </c>
      <c r="V23" s="8" t="s">
        <v>70</v>
      </c>
      <c r="W23" s="8" t="s">
        <v>71</v>
      </c>
      <c r="X23" s="8" t="s">
        <v>72</v>
      </c>
      <c r="Y23" s="8" t="s">
        <v>73</v>
      </c>
      <c r="Z23" s="8" t="s">
        <v>74</v>
      </c>
      <c r="AA23" s="8" t="s">
        <v>75</v>
      </c>
      <c r="AB23" s="22" t="s">
        <v>76</v>
      </c>
      <c r="AC23" s="25" t="s">
        <v>77</v>
      </c>
      <c r="AD23" s="25"/>
      <c r="AE23" s="25"/>
      <c r="AF23" s="8" t="s">
        <v>42</v>
      </c>
      <c r="AG23" s="8" t="s">
        <v>51</v>
      </c>
      <c r="AH23" s="8" t="s">
        <v>78</v>
      </c>
      <c r="AI23" s="8" t="s">
        <v>78</v>
      </c>
      <c r="AJ23" s="8" t="s">
        <v>79</v>
      </c>
      <c r="AK23" s="25" t="s">
        <v>80</v>
      </c>
      <c r="AL23" s="25" t="s">
        <v>81</v>
      </c>
      <c r="AM23" s="22" t="s">
        <v>310</v>
      </c>
      <c r="AN23" s="25" t="s">
        <v>313</v>
      </c>
      <c r="AO23" s="25" t="s">
        <v>305</v>
      </c>
      <c r="AP23" s="25"/>
      <c r="AQ23" s="25" t="s">
        <v>304</v>
      </c>
      <c r="AR23" s="23" t="s">
        <v>329</v>
      </c>
      <c r="AS23" s="59"/>
      <c r="AT23" s="60"/>
      <c r="AU23" s="61"/>
      <c r="AV23" s="61"/>
      <c r="AW23" s="25"/>
    </row>
    <row r="24" spans="1:61" x14ac:dyDescent="0.4">
      <c r="B24" s="8" t="s">
        <v>82</v>
      </c>
      <c r="C24" s="25" t="s">
        <v>65</v>
      </c>
      <c r="D24" s="25" t="s">
        <v>83</v>
      </c>
      <c r="E24" s="25" t="s">
        <v>84</v>
      </c>
      <c r="F24" s="25" t="s">
        <v>40</v>
      </c>
      <c r="G24" s="25" t="s">
        <v>296</v>
      </c>
      <c r="H24" s="8" t="s">
        <v>85</v>
      </c>
      <c r="I24" s="3" t="s">
        <v>85</v>
      </c>
      <c r="K24" s="8" t="s">
        <v>49</v>
      </c>
      <c r="L24" s="8"/>
      <c r="M24" s="8"/>
      <c r="N24" s="29" t="s">
        <v>86</v>
      </c>
      <c r="O24" s="29"/>
      <c r="P24" s="29"/>
      <c r="Q24" s="29" t="s">
        <v>297</v>
      </c>
      <c r="R24" s="29"/>
      <c r="S24" s="29" t="s">
        <v>87</v>
      </c>
      <c r="T24" s="25" t="s">
        <v>88</v>
      </c>
      <c r="U24" s="8" t="s">
        <v>89</v>
      </c>
      <c r="V24" s="8" t="s">
        <v>90</v>
      </c>
      <c r="W24" s="8" t="s">
        <v>91</v>
      </c>
      <c r="X24" s="22" t="s">
        <v>92</v>
      </c>
      <c r="Y24" s="8" t="s">
        <v>93</v>
      </c>
      <c r="Z24" s="8" t="s">
        <v>94</v>
      </c>
      <c r="AA24" s="8" t="s">
        <v>95</v>
      </c>
      <c r="AB24" s="33" t="s">
        <v>96</v>
      </c>
      <c r="AC24" s="8" t="s">
        <v>48</v>
      </c>
      <c r="AD24" s="8"/>
      <c r="AE24" s="8"/>
      <c r="AF24" s="8" t="s">
        <v>51</v>
      </c>
      <c r="AG24" s="8" t="s">
        <v>97</v>
      </c>
      <c r="AH24" s="25" t="s">
        <v>98</v>
      </c>
      <c r="AI24" s="25" t="s">
        <v>99</v>
      </c>
      <c r="AJ24" s="25" t="s">
        <v>100</v>
      </c>
      <c r="AK24" s="22" t="s">
        <v>101</v>
      </c>
      <c r="AL24" s="22" t="s">
        <v>102</v>
      </c>
      <c r="AM24" s="25" t="s">
        <v>312</v>
      </c>
      <c r="AN24" s="22" t="s">
        <v>314</v>
      </c>
      <c r="AO24" s="22" t="s">
        <v>102</v>
      </c>
      <c r="AP24" s="22" t="s">
        <v>327</v>
      </c>
      <c r="AQ24" s="22" t="s">
        <v>331</v>
      </c>
      <c r="AR24" s="22" t="s">
        <v>330</v>
      </c>
      <c r="AS24" s="62"/>
      <c r="AT24" s="63"/>
      <c r="AU24" s="64"/>
      <c r="AV24" s="64"/>
      <c r="AW24" s="22"/>
    </row>
    <row r="25" spans="1:61" x14ac:dyDescent="0.4">
      <c r="A25" s="8" t="s">
        <v>103</v>
      </c>
      <c r="B25" s="8" t="s">
        <v>104</v>
      </c>
      <c r="C25" s="25" t="s">
        <v>104</v>
      </c>
      <c r="D25" s="25" t="s">
        <v>84</v>
      </c>
      <c r="E25" s="25" t="s">
        <v>104</v>
      </c>
      <c r="F25" s="8" t="s">
        <v>105</v>
      </c>
      <c r="G25" s="8" t="s">
        <v>306</v>
      </c>
      <c r="H25" s="8" t="s">
        <v>106</v>
      </c>
      <c r="I25" s="3" t="s">
        <v>107</v>
      </c>
      <c r="K25" s="25" t="s">
        <v>307</v>
      </c>
      <c r="L25" s="25"/>
      <c r="M25" s="25"/>
      <c r="N25" s="29">
        <v>2019</v>
      </c>
      <c r="O25" s="29"/>
      <c r="P25" s="29"/>
      <c r="Q25" s="29" t="s">
        <v>298</v>
      </c>
      <c r="R25" s="29"/>
      <c r="S25" s="29">
        <v>2019</v>
      </c>
      <c r="T25" s="8" t="s">
        <v>108</v>
      </c>
      <c r="U25" s="8" t="s">
        <v>299</v>
      </c>
      <c r="V25" s="25" t="s">
        <v>308</v>
      </c>
      <c r="W25" s="8">
        <v>2017</v>
      </c>
      <c r="X25" s="25" t="s">
        <v>109</v>
      </c>
      <c r="Y25" s="25" t="s">
        <v>110</v>
      </c>
      <c r="Z25" s="8">
        <v>2017</v>
      </c>
      <c r="AA25" s="25" t="s">
        <v>110</v>
      </c>
      <c r="AB25" s="25" t="s">
        <v>111</v>
      </c>
      <c r="AC25" s="8" t="s">
        <v>112</v>
      </c>
      <c r="AD25" s="8"/>
      <c r="AE25" s="8"/>
      <c r="AF25" s="25" t="s">
        <v>307</v>
      </c>
      <c r="AG25" s="25" t="s">
        <v>307</v>
      </c>
      <c r="AH25" s="8" t="s">
        <v>113</v>
      </c>
      <c r="AI25" s="25" t="s">
        <v>114</v>
      </c>
      <c r="AJ25" s="8" t="s">
        <v>115</v>
      </c>
      <c r="AK25" s="25" t="s">
        <v>116</v>
      </c>
      <c r="AL25" s="25" t="s">
        <v>300</v>
      </c>
      <c r="AM25" s="33" t="s">
        <v>311</v>
      </c>
      <c r="AN25" s="23" t="s">
        <v>315</v>
      </c>
      <c r="AO25" s="25" t="s">
        <v>304</v>
      </c>
      <c r="AP25" s="25" t="s">
        <v>328</v>
      </c>
      <c r="AQ25" s="25" t="s">
        <v>332</v>
      </c>
      <c r="AR25" s="25" t="s">
        <v>304</v>
      </c>
      <c r="AS25" s="59"/>
      <c r="AT25" s="60"/>
      <c r="AU25" s="61"/>
      <c r="AV25" s="61"/>
      <c r="AW25" s="25"/>
    </row>
    <row r="26" spans="1:61" x14ac:dyDescent="0.4">
      <c r="C26" s="5"/>
      <c r="D26" s="5"/>
      <c r="E26" s="5"/>
      <c r="F26" s="5"/>
      <c r="G26" s="5"/>
      <c r="Q26" s="3" t="s">
        <v>303</v>
      </c>
      <c r="AU26" s="43"/>
      <c r="AV26" s="43"/>
    </row>
    <row r="27" spans="1:61" x14ac:dyDescent="0.4">
      <c r="A27" s="8" t="s">
        <v>117</v>
      </c>
      <c r="B27" s="8"/>
      <c r="C27" s="25"/>
      <c r="D27" s="25"/>
      <c r="E27" s="25"/>
      <c r="F27" s="1">
        <v>7</v>
      </c>
      <c r="G27" s="39">
        <v>91</v>
      </c>
      <c r="H27" s="8">
        <v>1</v>
      </c>
      <c r="I27" s="3" t="s">
        <v>118</v>
      </c>
      <c r="J27" s="70"/>
      <c r="K27" s="39">
        <v>425.44</v>
      </c>
      <c r="L27" s="75"/>
      <c r="M27" s="34"/>
      <c r="N27" s="39">
        <v>87</v>
      </c>
      <c r="O27" s="65">
        <f t="shared" ref="O27:O90" si="3">N27/K27</f>
        <v>0.20449417074088003</v>
      </c>
      <c r="P27" s="65">
        <f t="shared" ref="P27:P90" si="4">IF(O27&gt;0.75,+O27-0.75,0)</f>
        <v>0</v>
      </c>
      <c r="Q27" s="35">
        <f t="shared" ref="Q27:Q90" si="5">P27*K27</f>
        <v>0</v>
      </c>
      <c r="R27" s="35">
        <f>Q27*0.05</f>
        <v>0</v>
      </c>
      <c r="S27" s="39">
        <v>7</v>
      </c>
      <c r="T27" s="36">
        <f t="shared" ref="T27:T58" si="6">ROUND(N27*$T$2,2)</f>
        <v>26.1</v>
      </c>
      <c r="U27" s="9">
        <f t="shared" ref="U27:U58" si="7">K27+T27+0.15*S27+0.05*Q27</f>
        <v>452.59000000000003</v>
      </c>
      <c r="V27" s="39">
        <v>374330136.32999998</v>
      </c>
      <c r="W27" s="39">
        <v>3248</v>
      </c>
      <c r="X27" s="17">
        <f t="shared" ref="X27:X90" si="8">ROUND(V27/W27,2)</f>
        <v>115249.43</v>
      </c>
      <c r="Y27" s="37">
        <f t="shared" ref="Y27:Y90" si="9">(ROUND(X27/$Y$21,6))</f>
        <v>0.61729699999999998</v>
      </c>
      <c r="Z27" s="35">
        <v>100507</v>
      </c>
      <c r="AA27" s="37">
        <f t="shared" ref="AA27:AA90" si="10">(ROUND(Z27/$AA$21,6))</f>
        <v>0.872838</v>
      </c>
      <c r="AB27" s="37">
        <f t="shared" ref="AB27:AB90" si="11">ROUND(1-((Y27*$T$4)+(AA27*$T$5)),6)</f>
        <v>0.30604100000000001</v>
      </c>
      <c r="AC27" s="71">
        <f t="shared" ref="AC27:AC58" si="12">IF(C27=1,MAX($T$7,AB27),MAX($T$6,AB27))</f>
        <v>0.30604100000000001</v>
      </c>
      <c r="AD27" s="38">
        <f>IF(G27&gt;=1,IF(G27&lt;=5,0.06,IF(G27&lt;=10,0.05,IF(G27&lt;=15,0.04,IF(G27&lt;=19,0.03,0)))),0)</f>
        <v>0</v>
      </c>
      <c r="AE27" s="74">
        <f>+AD27+AC27</f>
        <v>0.30604100000000001</v>
      </c>
      <c r="AF27" s="39">
        <v>260</v>
      </c>
      <c r="AG27" s="39">
        <v>6</v>
      </c>
      <c r="AH27" s="9">
        <f t="shared" ref="AH27:AH90" si="13">ROUND((AG27/13)*100,2)</f>
        <v>46.15</v>
      </c>
      <c r="AI27" s="11">
        <f t="shared" ref="AI27:AI90" si="14">ROUND(AF27*AH27,0)</f>
        <v>11999</v>
      </c>
      <c r="AJ27" s="11">
        <f t="shared" ref="AJ27:AJ90" si="15">ROUND(U27*AE27*$AJ$21,0)</f>
        <v>1596340</v>
      </c>
      <c r="AK27" s="11">
        <f t="shared" ref="AK27:AK90" si="16">IF(AJ27=0, 0,AI27+AJ27)</f>
        <v>1608339</v>
      </c>
      <c r="AL27" s="35">
        <v>2331185</v>
      </c>
      <c r="AM27" s="11">
        <f>ABS(SUM(AL27,-AK27))</f>
        <v>722846</v>
      </c>
      <c r="AN27" s="72" t="str">
        <f>IF(AK27&gt;AL27,"Yes","No")</f>
        <v>No</v>
      </c>
      <c r="AO27" s="35">
        <v>2064995</v>
      </c>
      <c r="AP27" s="35">
        <f t="shared" ref="AP27:AP58" si="17">IF(AN27="Yes",+AM27*$L$9,+AM27*$L$10)</f>
        <v>60213.071799999998</v>
      </c>
      <c r="AQ27" s="35">
        <f t="shared" ref="AQ27:AQ58" si="18">IF(AN27="Yes",+AO27+AP27,+AO27-AP27)</f>
        <v>2004781.9282</v>
      </c>
      <c r="AR27" s="35">
        <f t="shared" ref="AR27:AR58" si="19">IF(C27=1,MAX(AQ27,AL27),AQ27)</f>
        <v>2004781.9282</v>
      </c>
      <c r="AS27" s="66"/>
      <c r="AT27" s="67"/>
      <c r="AU27" s="35"/>
      <c r="AV27" s="68"/>
      <c r="AW27" s="35"/>
      <c r="AX27" s="21"/>
      <c r="AZ27" s="21"/>
      <c r="BA27" s="21"/>
      <c r="BE27" s="21"/>
      <c r="BF27" s="21"/>
      <c r="BG27" s="21"/>
      <c r="BH27" s="21"/>
      <c r="BI27" s="21"/>
    </row>
    <row r="28" spans="1:61" x14ac:dyDescent="0.4">
      <c r="A28" s="8" t="s">
        <v>119</v>
      </c>
      <c r="B28" s="40"/>
      <c r="C28" s="25">
        <v>1</v>
      </c>
      <c r="D28" s="25">
        <v>1</v>
      </c>
      <c r="E28" s="25"/>
      <c r="F28" s="1">
        <v>10</v>
      </c>
      <c r="G28" s="39">
        <v>9</v>
      </c>
      <c r="H28" s="8">
        <v>2</v>
      </c>
      <c r="I28" s="3" t="s">
        <v>120</v>
      </c>
      <c r="J28" s="70"/>
      <c r="K28" s="39">
        <v>2456.41</v>
      </c>
      <c r="L28" s="76"/>
      <c r="M28" s="34"/>
      <c r="N28" s="39">
        <v>1613</v>
      </c>
      <c r="O28" s="65">
        <f t="shared" si="3"/>
        <v>0.65664933785483692</v>
      </c>
      <c r="P28" s="65">
        <f t="shared" si="4"/>
        <v>0</v>
      </c>
      <c r="Q28" s="35">
        <f t="shared" si="5"/>
        <v>0</v>
      </c>
      <c r="R28" s="35">
        <f t="shared" ref="R28:R91" si="20">Q28*0.05</f>
        <v>0</v>
      </c>
      <c r="S28" s="39">
        <v>121</v>
      </c>
      <c r="T28" s="36">
        <f t="shared" si="6"/>
        <v>483.9</v>
      </c>
      <c r="U28" s="9">
        <f t="shared" si="7"/>
        <v>2958.46</v>
      </c>
      <c r="V28" s="39">
        <v>1406216743.6700001</v>
      </c>
      <c r="W28" s="39">
        <v>18813</v>
      </c>
      <c r="X28" s="17">
        <f t="shared" si="8"/>
        <v>74747.08</v>
      </c>
      <c r="Y28" s="37">
        <f t="shared" si="9"/>
        <v>0.40035900000000002</v>
      </c>
      <c r="Z28" s="35">
        <v>45563</v>
      </c>
      <c r="AA28" s="37">
        <f t="shared" si="10"/>
        <v>0.39568500000000001</v>
      </c>
      <c r="AB28" s="37">
        <f t="shared" si="11"/>
        <v>0.60104299999999999</v>
      </c>
      <c r="AC28" s="71">
        <f t="shared" si="12"/>
        <v>0.60104299999999999</v>
      </c>
      <c r="AD28" s="38">
        <f t="shared" ref="AD28:AD91" si="21">IF(G28&gt;=1,IF(G28&lt;=5,0.06,IF(G28&lt;=10,0.05,IF(G28&lt;=15,0.04,IF(G28&lt;=19,0.03,0)))),0)</f>
        <v>0.05</v>
      </c>
      <c r="AE28" s="74">
        <f t="shared" ref="AE28:AE91" si="22">+AD28+AC28</f>
        <v>0.65104300000000004</v>
      </c>
      <c r="AF28" s="39">
        <v>0</v>
      </c>
      <c r="AG28" s="39">
        <v>0</v>
      </c>
      <c r="AH28" s="9">
        <f t="shared" si="13"/>
        <v>0</v>
      </c>
      <c r="AI28" s="11">
        <f t="shared" si="14"/>
        <v>0</v>
      </c>
      <c r="AJ28" s="11">
        <f t="shared" si="15"/>
        <v>22198126</v>
      </c>
      <c r="AK28" s="11">
        <f t="shared" si="16"/>
        <v>22198126</v>
      </c>
      <c r="AL28" s="35">
        <v>16473543</v>
      </c>
      <c r="AM28" s="11">
        <f t="shared" ref="AM28:AM91" si="23">ABS(SUM(AL28,-AK28))</f>
        <v>5724583</v>
      </c>
      <c r="AN28" s="72" t="str">
        <f t="shared" ref="AN28:AN91" si="24">IF(AK28&gt;AL28,"Yes","No")</f>
        <v>Yes</v>
      </c>
      <c r="AO28" s="35">
        <v>17328187</v>
      </c>
      <c r="AP28" s="35">
        <f t="shared" si="17"/>
        <v>610240.54780000006</v>
      </c>
      <c r="AQ28" s="35">
        <f t="shared" si="18"/>
        <v>17938427.547800001</v>
      </c>
      <c r="AR28" s="35">
        <f t="shared" si="19"/>
        <v>17938427.547800001</v>
      </c>
      <c r="AS28" s="66"/>
      <c r="AT28" s="67"/>
      <c r="AU28" s="35"/>
      <c r="AV28" s="68"/>
      <c r="AW28" s="35"/>
      <c r="AX28" s="21"/>
      <c r="AZ28" s="21"/>
      <c r="BA28" s="21"/>
      <c r="BE28" s="21"/>
      <c r="BF28" s="21"/>
      <c r="BG28" s="21"/>
      <c r="BH28" s="21"/>
      <c r="BI28" s="21"/>
    </row>
    <row r="29" spans="1:61" x14ac:dyDescent="0.4">
      <c r="A29" s="8" t="s">
        <v>121</v>
      </c>
      <c r="B29" s="8"/>
      <c r="C29" s="25"/>
      <c r="D29" s="25"/>
      <c r="E29" s="25"/>
      <c r="F29" s="1">
        <v>8</v>
      </c>
      <c r="G29" s="39">
        <v>45</v>
      </c>
      <c r="H29" s="8">
        <v>3</v>
      </c>
      <c r="I29" s="3" t="s">
        <v>122</v>
      </c>
      <c r="J29" s="70"/>
      <c r="K29" s="39">
        <v>544.82000000000005</v>
      </c>
      <c r="L29" s="76"/>
      <c r="M29" s="34"/>
      <c r="N29" s="39">
        <v>206</v>
      </c>
      <c r="O29" s="65">
        <f t="shared" si="3"/>
        <v>0.37810653059726146</v>
      </c>
      <c r="P29" s="65">
        <f t="shared" si="4"/>
        <v>0</v>
      </c>
      <c r="Q29" s="35">
        <f t="shared" si="5"/>
        <v>0</v>
      </c>
      <c r="R29" s="35">
        <f t="shared" si="20"/>
        <v>0</v>
      </c>
      <c r="S29" s="39">
        <v>6</v>
      </c>
      <c r="T29" s="36">
        <f t="shared" si="6"/>
        <v>61.8</v>
      </c>
      <c r="U29" s="9">
        <f t="shared" si="7"/>
        <v>607.52</v>
      </c>
      <c r="V29" s="39">
        <v>440762339.32999998</v>
      </c>
      <c r="W29" s="39">
        <v>4244</v>
      </c>
      <c r="X29" s="17">
        <f t="shared" si="8"/>
        <v>103855.41</v>
      </c>
      <c r="Y29" s="37">
        <f t="shared" si="9"/>
        <v>0.55626799999999998</v>
      </c>
      <c r="Z29" s="35">
        <v>68846</v>
      </c>
      <c r="AA29" s="37">
        <f t="shared" si="10"/>
        <v>0.59788300000000005</v>
      </c>
      <c r="AB29" s="37">
        <f t="shared" si="11"/>
        <v>0.43124800000000002</v>
      </c>
      <c r="AC29" s="71">
        <f t="shared" si="12"/>
        <v>0.43124800000000002</v>
      </c>
      <c r="AD29" s="38">
        <f t="shared" si="21"/>
        <v>0</v>
      </c>
      <c r="AE29" s="74">
        <f t="shared" si="22"/>
        <v>0.43124800000000002</v>
      </c>
      <c r="AF29" s="39">
        <v>171</v>
      </c>
      <c r="AG29" s="39">
        <v>4</v>
      </c>
      <c r="AH29" s="9">
        <f t="shared" si="13"/>
        <v>30.77</v>
      </c>
      <c r="AI29" s="11">
        <f t="shared" si="14"/>
        <v>5262</v>
      </c>
      <c r="AJ29" s="11">
        <f t="shared" si="15"/>
        <v>3019455</v>
      </c>
      <c r="AK29" s="11">
        <f t="shared" si="16"/>
        <v>3024717</v>
      </c>
      <c r="AL29" s="35">
        <v>3859564</v>
      </c>
      <c r="AM29" s="11">
        <f t="shared" si="23"/>
        <v>834847</v>
      </c>
      <c r="AN29" s="72" t="str">
        <f t="shared" si="24"/>
        <v>No</v>
      </c>
      <c r="AO29" s="35">
        <v>3528605</v>
      </c>
      <c r="AP29" s="35">
        <f t="shared" si="17"/>
        <v>69542.755099999995</v>
      </c>
      <c r="AQ29" s="35">
        <f t="shared" si="18"/>
        <v>3459062.2448999998</v>
      </c>
      <c r="AR29" s="35">
        <f t="shared" si="19"/>
        <v>3459062.2448999998</v>
      </c>
      <c r="AS29" s="66"/>
      <c r="AT29" s="67"/>
      <c r="AU29" s="35"/>
      <c r="AV29" s="68"/>
      <c r="AW29" s="35"/>
      <c r="AX29" s="21"/>
      <c r="AZ29" s="21"/>
      <c r="BA29" s="21"/>
      <c r="BE29" s="21"/>
      <c r="BF29" s="21"/>
      <c r="BG29" s="21"/>
      <c r="BH29" s="21"/>
      <c r="BI29" s="21"/>
    </row>
    <row r="30" spans="1:61" x14ac:dyDescent="0.4">
      <c r="A30" s="8" t="s">
        <v>123</v>
      </c>
      <c r="B30" s="8"/>
      <c r="C30" s="25"/>
      <c r="D30" s="25"/>
      <c r="E30" s="25"/>
      <c r="F30" s="1">
        <v>2</v>
      </c>
      <c r="G30" s="39">
        <v>152</v>
      </c>
      <c r="H30" s="8">
        <v>4</v>
      </c>
      <c r="I30" s="3" t="s">
        <v>124</v>
      </c>
      <c r="J30" s="70"/>
      <c r="K30" s="39">
        <v>3184.37</v>
      </c>
      <c r="L30" s="75"/>
      <c r="M30" s="34"/>
      <c r="N30" s="39">
        <v>245</v>
      </c>
      <c r="O30" s="65">
        <f t="shared" si="3"/>
        <v>7.6938295487019415E-2</v>
      </c>
      <c r="P30" s="65">
        <f t="shared" si="4"/>
        <v>0</v>
      </c>
      <c r="Q30" s="35">
        <f t="shared" si="5"/>
        <v>0</v>
      </c>
      <c r="R30" s="35">
        <f t="shared" si="20"/>
        <v>0</v>
      </c>
      <c r="S30" s="39">
        <v>93</v>
      </c>
      <c r="T30" s="36">
        <f t="shared" si="6"/>
        <v>73.5</v>
      </c>
      <c r="U30" s="9">
        <f t="shared" si="7"/>
        <v>3271.8199999999997</v>
      </c>
      <c r="V30" s="39">
        <v>3699970563</v>
      </c>
      <c r="W30" s="39">
        <v>18352</v>
      </c>
      <c r="X30" s="17">
        <f t="shared" si="8"/>
        <v>201611.3</v>
      </c>
      <c r="Y30" s="37">
        <f t="shared" si="9"/>
        <v>1.0798669999999999</v>
      </c>
      <c r="Z30" s="35">
        <v>125536</v>
      </c>
      <c r="AA30" s="37">
        <f t="shared" si="10"/>
        <v>1.0901989999999999</v>
      </c>
      <c r="AB30" s="37">
        <f t="shared" si="11"/>
        <v>-8.2966999999999999E-2</v>
      </c>
      <c r="AC30" s="71">
        <f t="shared" si="12"/>
        <v>0.01</v>
      </c>
      <c r="AD30" s="38">
        <f t="shared" si="21"/>
        <v>0</v>
      </c>
      <c r="AE30" s="74">
        <f t="shared" si="22"/>
        <v>0.01</v>
      </c>
      <c r="AF30" s="39">
        <v>0</v>
      </c>
      <c r="AG30" s="39">
        <v>0</v>
      </c>
      <c r="AH30" s="9">
        <f t="shared" si="13"/>
        <v>0</v>
      </c>
      <c r="AI30" s="11">
        <f t="shared" si="14"/>
        <v>0</v>
      </c>
      <c r="AJ30" s="11">
        <f t="shared" si="15"/>
        <v>377077</v>
      </c>
      <c r="AK30" s="11">
        <f t="shared" si="16"/>
        <v>377077</v>
      </c>
      <c r="AL30" s="35">
        <v>731456</v>
      </c>
      <c r="AM30" s="11">
        <f t="shared" si="23"/>
        <v>354379</v>
      </c>
      <c r="AN30" s="72" t="str">
        <f t="shared" si="24"/>
        <v>No</v>
      </c>
      <c r="AO30" s="35">
        <v>613536</v>
      </c>
      <c r="AP30" s="35">
        <f t="shared" si="17"/>
        <v>29519.770700000001</v>
      </c>
      <c r="AQ30" s="35">
        <f t="shared" si="18"/>
        <v>584016.22930000001</v>
      </c>
      <c r="AR30" s="35">
        <f t="shared" si="19"/>
        <v>584016.22930000001</v>
      </c>
      <c r="AS30" s="66"/>
      <c r="AT30" s="67"/>
      <c r="AU30" s="35"/>
      <c r="AV30" s="68"/>
      <c r="AW30" s="35"/>
      <c r="AX30" s="21"/>
      <c r="AZ30" s="21"/>
      <c r="BA30" s="21"/>
      <c r="BE30" s="21"/>
      <c r="BF30" s="21"/>
      <c r="BG30" s="21"/>
      <c r="BH30" s="21"/>
      <c r="BI30" s="21"/>
    </row>
    <row r="31" spans="1:61" x14ac:dyDescent="0.4">
      <c r="A31" s="8" t="s">
        <v>117</v>
      </c>
      <c r="B31" s="8"/>
      <c r="C31" s="25"/>
      <c r="D31" s="25"/>
      <c r="E31" s="25"/>
      <c r="F31" s="1">
        <v>5</v>
      </c>
      <c r="G31" s="39">
        <v>69</v>
      </c>
      <c r="H31" s="8">
        <v>5</v>
      </c>
      <c r="I31" s="3" t="s">
        <v>125</v>
      </c>
      <c r="J31" s="70"/>
      <c r="K31" s="39">
        <v>491.97</v>
      </c>
      <c r="L31" s="75"/>
      <c r="M31" s="34"/>
      <c r="N31" s="39">
        <v>89</v>
      </c>
      <c r="O31" s="65">
        <f t="shared" si="3"/>
        <v>0.1809053397564892</v>
      </c>
      <c r="P31" s="65">
        <f t="shared" si="4"/>
        <v>0</v>
      </c>
      <c r="Q31" s="35">
        <f t="shared" si="5"/>
        <v>0</v>
      </c>
      <c r="R31" s="35">
        <f t="shared" si="20"/>
        <v>0</v>
      </c>
      <c r="S31" s="39">
        <v>1</v>
      </c>
      <c r="T31" s="36">
        <f t="shared" si="6"/>
        <v>26.7</v>
      </c>
      <c r="U31" s="9">
        <f t="shared" si="7"/>
        <v>518.82000000000005</v>
      </c>
      <c r="V31" s="39">
        <v>522099049</v>
      </c>
      <c r="W31" s="39">
        <v>3651</v>
      </c>
      <c r="X31" s="17">
        <f t="shared" si="8"/>
        <v>143001.66</v>
      </c>
      <c r="Y31" s="37">
        <f t="shared" si="9"/>
        <v>0.76594300000000004</v>
      </c>
      <c r="Z31" s="35">
        <v>111198</v>
      </c>
      <c r="AA31" s="37">
        <f t="shared" si="10"/>
        <v>0.96568299999999996</v>
      </c>
      <c r="AB31" s="37">
        <f t="shared" si="11"/>
        <v>0.17413500000000001</v>
      </c>
      <c r="AC31" s="71">
        <f t="shared" si="12"/>
        <v>0.17413500000000001</v>
      </c>
      <c r="AD31" s="38">
        <f t="shared" si="21"/>
        <v>0</v>
      </c>
      <c r="AE31" s="74">
        <f t="shared" si="22"/>
        <v>0.17413500000000001</v>
      </c>
      <c r="AF31" s="39">
        <v>278</v>
      </c>
      <c r="AG31" s="39">
        <v>6</v>
      </c>
      <c r="AH31" s="9">
        <f t="shared" si="13"/>
        <v>46.15</v>
      </c>
      <c r="AI31" s="11">
        <f t="shared" si="14"/>
        <v>12830</v>
      </c>
      <c r="AJ31" s="11">
        <f t="shared" si="15"/>
        <v>1041223</v>
      </c>
      <c r="AK31" s="11">
        <f t="shared" si="16"/>
        <v>1054053</v>
      </c>
      <c r="AL31" s="35">
        <v>1633686</v>
      </c>
      <c r="AM31" s="11">
        <f t="shared" si="23"/>
        <v>579633</v>
      </c>
      <c r="AN31" s="72" t="str">
        <f t="shared" si="24"/>
        <v>No</v>
      </c>
      <c r="AO31" s="35">
        <v>1542525</v>
      </c>
      <c r="AP31" s="35">
        <f t="shared" si="17"/>
        <v>48283.428899999999</v>
      </c>
      <c r="AQ31" s="35">
        <f t="shared" si="18"/>
        <v>1494241.5711000001</v>
      </c>
      <c r="AR31" s="35">
        <f t="shared" si="19"/>
        <v>1494241.5711000001</v>
      </c>
      <c r="AS31" s="66"/>
      <c r="AT31" s="67"/>
      <c r="AU31" s="35"/>
      <c r="AV31" s="68"/>
      <c r="AW31" s="35"/>
      <c r="AX31" s="21"/>
      <c r="AZ31" s="21"/>
      <c r="BA31" s="21"/>
      <c r="BE31" s="21"/>
      <c r="BF31" s="21"/>
      <c r="BG31" s="21"/>
      <c r="BH31" s="21"/>
      <c r="BI31" s="21"/>
    </row>
    <row r="32" spans="1:61" x14ac:dyDescent="0.4">
      <c r="A32" s="8" t="s">
        <v>121</v>
      </c>
      <c r="B32" s="8"/>
      <c r="C32" s="25"/>
      <c r="D32" s="25"/>
      <c r="E32" s="25"/>
      <c r="F32" s="1">
        <v>7</v>
      </c>
      <c r="G32" s="39">
        <v>47</v>
      </c>
      <c r="H32" s="8">
        <v>6</v>
      </c>
      <c r="I32" s="3" t="s">
        <v>126</v>
      </c>
      <c r="J32" s="70"/>
      <c r="K32" s="39">
        <v>786.31</v>
      </c>
      <c r="L32" s="76"/>
      <c r="M32" s="34"/>
      <c r="N32" s="39">
        <v>208</v>
      </c>
      <c r="O32" s="65">
        <f t="shared" si="3"/>
        <v>0.26452671338276257</v>
      </c>
      <c r="P32" s="65">
        <f t="shared" si="4"/>
        <v>0</v>
      </c>
      <c r="Q32" s="35">
        <f t="shared" si="5"/>
        <v>0</v>
      </c>
      <c r="R32" s="35">
        <f t="shared" si="20"/>
        <v>0</v>
      </c>
      <c r="S32" s="39">
        <v>13</v>
      </c>
      <c r="T32" s="36">
        <f t="shared" si="6"/>
        <v>62.4</v>
      </c>
      <c r="U32" s="9">
        <f t="shared" si="7"/>
        <v>850.66</v>
      </c>
      <c r="V32" s="39">
        <v>694719877.66999996</v>
      </c>
      <c r="W32" s="39">
        <v>6168</v>
      </c>
      <c r="X32" s="17">
        <f t="shared" si="8"/>
        <v>112632.92</v>
      </c>
      <c r="Y32" s="37">
        <f t="shared" si="9"/>
        <v>0.60328199999999998</v>
      </c>
      <c r="Z32" s="35">
        <v>88355</v>
      </c>
      <c r="AA32" s="37">
        <f t="shared" si="10"/>
        <v>0.76730600000000004</v>
      </c>
      <c r="AB32" s="37">
        <f t="shared" si="11"/>
        <v>0.34751100000000001</v>
      </c>
      <c r="AC32" s="71">
        <f t="shared" si="12"/>
        <v>0.34751100000000001</v>
      </c>
      <c r="AD32" s="38">
        <f t="shared" si="21"/>
        <v>0</v>
      </c>
      <c r="AE32" s="74">
        <f t="shared" si="22"/>
        <v>0.34751100000000001</v>
      </c>
      <c r="AF32" s="39">
        <v>779</v>
      </c>
      <c r="AG32" s="39">
        <v>13</v>
      </c>
      <c r="AH32" s="9">
        <f t="shared" si="13"/>
        <v>100</v>
      </c>
      <c r="AI32" s="11">
        <f t="shared" si="14"/>
        <v>77900</v>
      </c>
      <c r="AJ32" s="11">
        <f t="shared" si="15"/>
        <v>3406948</v>
      </c>
      <c r="AK32" s="11">
        <f t="shared" si="16"/>
        <v>3484848</v>
      </c>
      <c r="AL32" s="35">
        <v>4067920</v>
      </c>
      <c r="AM32" s="11">
        <f t="shared" si="23"/>
        <v>583072</v>
      </c>
      <c r="AN32" s="72" t="str">
        <f t="shared" si="24"/>
        <v>No</v>
      </c>
      <c r="AO32" s="35">
        <v>3995130</v>
      </c>
      <c r="AP32" s="35">
        <f t="shared" si="17"/>
        <v>48569.897599999997</v>
      </c>
      <c r="AQ32" s="35">
        <f t="shared" si="18"/>
        <v>3946560.1024000002</v>
      </c>
      <c r="AR32" s="35">
        <f t="shared" si="19"/>
        <v>3946560.1024000002</v>
      </c>
      <c r="AS32" s="66"/>
      <c r="AT32" s="67"/>
      <c r="AU32" s="35"/>
      <c r="AV32" s="68"/>
      <c r="AW32" s="35"/>
      <c r="AX32" s="21"/>
      <c r="AZ32" s="21"/>
      <c r="BA32" s="21"/>
      <c r="BE32" s="21"/>
      <c r="BF32" s="21"/>
      <c r="BG32" s="21"/>
      <c r="BH32" s="21"/>
      <c r="BI32" s="21"/>
    </row>
    <row r="33" spans="1:61" x14ac:dyDescent="0.4">
      <c r="A33" s="8" t="s">
        <v>127</v>
      </c>
      <c r="B33" s="8"/>
      <c r="C33" s="25"/>
      <c r="D33" s="25"/>
      <c r="E33" s="25"/>
      <c r="F33" s="1">
        <v>4</v>
      </c>
      <c r="G33" s="39">
        <v>93</v>
      </c>
      <c r="H33" s="8">
        <v>7</v>
      </c>
      <c r="I33" s="3" t="s">
        <v>128</v>
      </c>
      <c r="J33" s="70"/>
      <c r="K33" s="39">
        <v>2796.21</v>
      </c>
      <c r="L33" s="75"/>
      <c r="M33" s="34"/>
      <c r="N33" s="39">
        <v>544</v>
      </c>
      <c r="O33" s="65">
        <f t="shared" si="3"/>
        <v>0.19454905032168543</v>
      </c>
      <c r="P33" s="65">
        <f t="shared" si="4"/>
        <v>0</v>
      </c>
      <c r="Q33" s="35">
        <f t="shared" si="5"/>
        <v>0</v>
      </c>
      <c r="R33" s="35">
        <f t="shared" si="20"/>
        <v>0</v>
      </c>
      <c r="S33" s="39">
        <v>87</v>
      </c>
      <c r="T33" s="36">
        <f t="shared" si="6"/>
        <v>163.19999999999999</v>
      </c>
      <c r="U33" s="9">
        <f t="shared" si="7"/>
        <v>2972.46</v>
      </c>
      <c r="V33" s="39">
        <v>3300442307.3299999</v>
      </c>
      <c r="W33" s="39">
        <v>20505</v>
      </c>
      <c r="X33" s="17">
        <f t="shared" si="8"/>
        <v>160957.93</v>
      </c>
      <c r="Y33" s="37">
        <f t="shared" si="9"/>
        <v>0.86212</v>
      </c>
      <c r="Z33" s="35">
        <v>93328</v>
      </c>
      <c r="AA33" s="37">
        <f t="shared" si="10"/>
        <v>0.81049300000000002</v>
      </c>
      <c r="AB33" s="37">
        <f t="shared" si="11"/>
        <v>0.153368</v>
      </c>
      <c r="AC33" s="71">
        <f t="shared" si="12"/>
        <v>0.153368</v>
      </c>
      <c r="AD33" s="38">
        <f t="shared" si="21"/>
        <v>0</v>
      </c>
      <c r="AE33" s="74">
        <f t="shared" si="22"/>
        <v>0.153368</v>
      </c>
      <c r="AF33" s="39">
        <v>0</v>
      </c>
      <c r="AG33" s="39">
        <v>0</v>
      </c>
      <c r="AH33" s="9">
        <f t="shared" si="13"/>
        <v>0</v>
      </c>
      <c r="AI33" s="11">
        <f t="shared" si="14"/>
        <v>0</v>
      </c>
      <c r="AJ33" s="11">
        <f t="shared" si="15"/>
        <v>5254020</v>
      </c>
      <c r="AK33" s="11">
        <f t="shared" si="16"/>
        <v>5254020</v>
      </c>
      <c r="AL33" s="35">
        <v>6215712</v>
      </c>
      <c r="AM33" s="11">
        <f t="shared" si="23"/>
        <v>961692</v>
      </c>
      <c r="AN33" s="72" t="str">
        <f t="shared" si="24"/>
        <v>No</v>
      </c>
      <c r="AO33" s="35">
        <v>5950709</v>
      </c>
      <c r="AP33" s="35">
        <f t="shared" si="17"/>
        <v>80108.943599999999</v>
      </c>
      <c r="AQ33" s="35">
        <f t="shared" si="18"/>
        <v>5870600.0564000001</v>
      </c>
      <c r="AR33" s="35">
        <f t="shared" si="19"/>
        <v>5870600.0564000001</v>
      </c>
      <c r="AS33" s="66"/>
      <c r="AT33" s="67"/>
      <c r="AU33" s="35"/>
      <c r="AV33" s="68"/>
      <c r="AW33" s="35"/>
      <c r="AX33" s="21"/>
      <c r="AZ33" s="21"/>
      <c r="BA33" s="21"/>
      <c r="BE33" s="21"/>
      <c r="BF33" s="21"/>
      <c r="BG33" s="21"/>
      <c r="BH33" s="21"/>
      <c r="BI33" s="21"/>
    </row>
    <row r="34" spans="1:61" x14ac:dyDescent="0.4">
      <c r="A34" s="8" t="s">
        <v>117</v>
      </c>
      <c r="B34" s="8"/>
      <c r="C34" s="25"/>
      <c r="D34" s="25"/>
      <c r="E34" s="25"/>
      <c r="F34" s="1">
        <v>3</v>
      </c>
      <c r="G34" s="39">
        <v>110</v>
      </c>
      <c r="H34" s="8">
        <v>8</v>
      </c>
      <c r="I34" s="3" t="s">
        <v>129</v>
      </c>
      <c r="J34" s="70"/>
      <c r="K34" s="39">
        <v>764.63</v>
      </c>
      <c r="L34" s="75"/>
      <c r="M34" s="34"/>
      <c r="N34" s="39">
        <v>87</v>
      </c>
      <c r="O34" s="65">
        <f t="shared" si="3"/>
        <v>0.11378052129788263</v>
      </c>
      <c r="P34" s="65">
        <f t="shared" si="4"/>
        <v>0</v>
      </c>
      <c r="Q34" s="35">
        <f t="shared" si="5"/>
        <v>0</v>
      </c>
      <c r="R34" s="35">
        <f t="shared" si="20"/>
        <v>0</v>
      </c>
      <c r="S34" s="39">
        <v>11</v>
      </c>
      <c r="T34" s="36">
        <f t="shared" si="6"/>
        <v>26.1</v>
      </c>
      <c r="U34" s="9">
        <f t="shared" si="7"/>
        <v>792.38</v>
      </c>
      <c r="V34" s="39">
        <v>834733328.33000004</v>
      </c>
      <c r="W34" s="39">
        <v>5497</v>
      </c>
      <c r="X34" s="17">
        <f t="shared" si="8"/>
        <v>151852.51999999999</v>
      </c>
      <c r="Y34" s="37">
        <f t="shared" si="9"/>
        <v>0.81335000000000002</v>
      </c>
      <c r="Z34" s="35">
        <v>109844</v>
      </c>
      <c r="AA34" s="37">
        <f t="shared" si="10"/>
        <v>0.95392399999999999</v>
      </c>
      <c r="AB34" s="37">
        <f t="shared" si="11"/>
        <v>0.144478</v>
      </c>
      <c r="AC34" s="71">
        <f t="shared" si="12"/>
        <v>0.144478</v>
      </c>
      <c r="AD34" s="38">
        <f t="shared" si="21"/>
        <v>0</v>
      </c>
      <c r="AE34" s="74">
        <f t="shared" si="22"/>
        <v>0.144478</v>
      </c>
      <c r="AF34" s="39">
        <v>397</v>
      </c>
      <c r="AG34" s="39">
        <v>6</v>
      </c>
      <c r="AH34" s="9">
        <f t="shared" si="13"/>
        <v>46.15</v>
      </c>
      <c r="AI34" s="11">
        <f t="shared" si="14"/>
        <v>18322</v>
      </c>
      <c r="AJ34" s="11">
        <f t="shared" si="15"/>
        <v>1319399</v>
      </c>
      <c r="AK34" s="11">
        <f t="shared" si="16"/>
        <v>1337721</v>
      </c>
      <c r="AL34" s="35">
        <v>2000209</v>
      </c>
      <c r="AM34" s="11">
        <f t="shared" si="23"/>
        <v>662488</v>
      </c>
      <c r="AN34" s="72" t="str">
        <f t="shared" si="24"/>
        <v>No</v>
      </c>
      <c r="AO34" s="35">
        <v>1819759</v>
      </c>
      <c r="AP34" s="35">
        <f t="shared" si="17"/>
        <v>55185.250399999997</v>
      </c>
      <c r="AQ34" s="35">
        <f t="shared" si="18"/>
        <v>1764573.7496</v>
      </c>
      <c r="AR34" s="35">
        <f t="shared" si="19"/>
        <v>1764573.7496</v>
      </c>
      <c r="AS34" s="66"/>
      <c r="AT34" s="67"/>
      <c r="AU34" s="35"/>
      <c r="AV34" s="68"/>
      <c r="AW34" s="35"/>
      <c r="AX34" s="21"/>
      <c r="AZ34" s="21"/>
      <c r="BA34" s="21"/>
      <c r="BE34" s="21"/>
      <c r="BF34" s="21"/>
      <c r="BG34" s="21"/>
      <c r="BH34" s="21"/>
      <c r="BI34" s="21"/>
    </row>
    <row r="35" spans="1:61" x14ac:dyDescent="0.4">
      <c r="A35" s="8" t="s">
        <v>127</v>
      </c>
      <c r="B35" s="8"/>
      <c r="C35" s="25"/>
      <c r="D35" s="25"/>
      <c r="E35" s="25"/>
      <c r="F35" s="1">
        <v>4</v>
      </c>
      <c r="G35" s="39">
        <v>81</v>
      </c>
      <c r="H35" s="8">
        <v>9</v>
      </c>
      <c r="I35" s="3" t="s">
        <v>130</v>
      </c>
      <c r="J35" s="70"/>
      <c r="K35" s="39">
        <v>3118.16</v>
      </c>
      <c r="L35" s="75"/>
      <c r="M35" s="34"/>
      <c r="N35" s="39">
        <v>977</v>
      </c>
      <c r="O35" s="65">
        <f t="shared" si="3"/>
        <v>0.31332580752751626</v>
      </c>
      <c r="P35" s="65">
        <f t="shared" si="4"/>
        <v>0</v>
      </c>
      <c r="Q35" s="35">
        <f t="shared" si="5"/>
        <v>0</v>
      </c>
      <c r="R35" s="35">
        <f t="shared" si="20"/>
        <v>0</v>
      </c>
      <c r="S35" s="39">
        <v>208</v>
      </c>
      <c r="T35" s="36">
        <f t="shared" si="6"/>
        <v>293.10000000000002</v>
      </c>
      <c r="U35" s="9">
        <f t="shared" si="7"/>
        <v>3442.4599999999996</v>
      </c>
      <c r="V35" s="39">
        <v>2857037313</v>
      </c>
      <c r="W35" s="39">
        <v>19802</v>
      </c>
      <c r="X35" s="17">
        <f t="shared" si="8"/>
        <v>144280.24</v>
      </c>
      <c r="Y35" s="37">
        <f t="shared" si="9"/>
        <v>0.77279100000000001</v>
      </c>
      <c r="Z35" s="35">
        <v>97289</v>
      </c>
      <c r="AA35" s="37">
        <f t="shared" si="10"/>
        <v>0.84489199999999998</v>
      </c>
      <c r="AB35" s="37">
        <f t="shared" si="11"/>
        <v>0.20557900000000001</v>
      </c>
      <c r="AC35" s="71">
        <f t="shared" si="12"/>
        <v>0.20557900000000001</v>
      </c>
      <c r="AD35" s="38">
        <f t="shared" si="21"/>
        <v>0</v>
      </c>
      <c r="AE35" s="74">
        <f t="shared" si="22"/>
        <v>0.20557900000000001</v>
      </c>
      <c r="AF35" s="39">
        <v>0</v>
      </c>
      <c r="AG35" s="39">
        <v>0</v>
      </c>
      <c r="AH35" s="9">
        <f t="shared" si="13"/>
        <v>0</v>
      </c>
      <c r="AI35" s="11">
        <f t="shared" si="14"/>
        <v>0</v>
      </c>
      <c r="AJ35" s="11">
        <f t="shared" si="15"/>
        <v>8156214</v>
      </c>
      <c r="AK35" s="11">
        <f t="shared" si="16"/>
        <v>8156214</v>
      </c>
      <c r="AL35" s="35">
        <v>8087732</v>
      </c>
      <c r="AM35" s="11">
        <f t="shared" si="23"/>
        <v>68482</v>
      </c>
      <c r="AN35" s="72" t="str">
        <f t="shared" si="24"/>
        <v>Yes</v>
      </c>
      <c r="AO35" s="35">
        <v>7873429</v>
      </c>
      <c r="AP35" s="35">
        <f t="shared" si="17"/>
        <v>7300.1812</v>
      </c>
      <c r="AQ35" s="35">
        <f t="shared" si="18"/>
        <v>7880729.1812000005</v>
      </c>
      <c r="AR35" s="35">
        <f t="shared" si="19"/>
        <v>7880729.1812000005</v>
      </c>
      <c r="AS35" s="66"/>
      <c r="AT35" s="67"/>
      <c r="AU35" s="35"/>
      <c r="AV35" s="68"/>
      <c r="AW35" s="35"/>
      <c r="AX35" s="21"/>
      <c r="AZ35" s="21"/>
      <c r="BA35" s="21"/>
      <c r="BE35" s="21"/>
      <c r="BF35" s="21"/>
      <c r="BG35" s="21"/>
      <c r="BH35" s="21"/>
      <c r="BI35" s="21"/>
    </row>
    <row r="36" spans="1:61" x14ac:dyDescent="0.4">
      <c r="A36" s="8" t="s">
        <v>117</v>
      </c>
      <c r="B36" s="8"/>
      <c r="C36" s="25"/>
      <c r="D36" s="25"/>
      <c r="E36" s="25"/>
      <c r="F36" s="1">
        <v>5</v>
      </c>
      <c r="G36" s="39">
        <v>118</v>
      </c>
      <c r="H36" s="8">
        <v>10</v>
      </c>
      <c r="I36" s="3" t="s">
        <v>131</v>
      </c>
      <c r="J36" s="70"/>
      <c r="K36" s="39">
        <v>357.43</v>
      </c>
      <c r="L36" s="75"/>
      <c r="M36" s="34"/>
      <c r="N36" s="39">
        <v>82</v>
      </c>
      <c r="O36" s="65">
        <f t="shared" si="3"/>
        <v>0.2294155498978821</v>
      </c>
      <c r="P36" s="65">
        <f t="shared" si="4"/>
        <v>0</v>
      </c>
      <c r="Q36" s="35">
        <f t="shared" si="5"/>
        <v>0</v>
      </c>
      <c r="R36" s="35">
        <f t="shared" si="20"/>
        <v>0</v>
      </c>
      <c r="S36" s="39">
        <v>1</v>
      </c>
      <c r="T36" s="36">
        <f t="shared" si="6"/>
        <v>24.6</v>
      </c>
      <c r="U36" s="9">
        <f t="shared" si="7"/>
        <v>382.18</v>
      </c>
      <c r="V36" s="39">
        <v>513990235.32999998</v>
      </c>
      <c r="W36" s="39">
        <v>3439</v>
      </c>
      <c r="X36" s="17">
        <f t="shared" si="8"/>
        <v>149459.21</v>
      </c>
      <c r="Y36" s="37">
        <f t="shared" si="9"/>
        <v>0.80053099999999999</v>
      </c>
      <c r="Z36" s="35">
        <v>91712</v>
      </c>
      <c r="AA36" s="37">
        <f t="shared" si="10"/>
        <v>0.79645999999999995</v>
      </c>
      <c r="AB36" s="37">
        <f t="shared" si="11"/>
        <v>0.20069000000000001</v>
      </c>
      <c r="AC36" s="71">
        <f t="shared" si="12"/>
        <v>0.20069000000000001</v>
      </c>
      <c r="AD36" s="38">
        <f t="shared" si="21"/>
        <v>0</v>
      </c>
      <c r="AE36" s="74">
        <f t="shared" si="22"/>
        <v>0.20069000000000001</v>
      </c>
      <c r="AF36" s="39">
        <v>354</v>
      </c>
      <c r="AG36" s="39">
        <v>13</v>
      </c>
      <c r="AH36" s="9">
        <f t="shared" si="13"/>
        <v>100</v>
      </c>
      <c r="AI36" s="11">
        <f t="shared" si="14"/>
        <v>35400</v>
      </c>
      <c r="AJ36" s="11">
        <f t="shared" si="15"/>
        <v>883964</v>
      </c>
      <c r="AK36" s="11">
        <f t="shared" si="16"/>
        <v>919364</v>
      </c>
      <c r="AL36" s="35">
        <v>1278838</v>
      </c>
      <c r="AM36" s="11">
        <f t="shared" si="23"/>
        <v>359474</v>
      </c>
      <c r="AN36" s="72" t="str">
        <f t="shared" si="24"/>
        <v>No</v>
      </c>
      <c r="AO36" s="35">
        <v>1158471</v>
      </c>
      <c r="AP36" s="35">
        <f t="shared" si="17"/>
        <v>29944.1842</v>
      </c>
      <c r="AQ36" s="35">
        <f t="shared" si="18"/>
        <v>1128526.8158</v>
      </c>
      <c r="AR36" s="35">
        <f t="shared" si="19"/>
        <v>1128526.8158</v>
      </c>
      <c r="AS36" s="66"/>
      <c r="AT36" s="67"/>
      <c r="AU36" s="35"/>
      <c r="AV36" s="68"/>
      <c r="AW36" s="35"/>
      <c r="AX36" s="21"/>
      <c r="AZ36" s="21"/>
      <c r="BA36" s="21"/>
      <c r="BE36" s="21"/>
      <c r="BF36" s="21"/>
      <c r="BG36" s="21"/>
      <c r="BH36" s="21"/>
      <c r="BI36" s="21"/>
    </row>
    <row r="37" spans="1:61" x14ac:dyDescent="0.4">
      <c r="A37" s="8" t="s">
        <v>132</v>
      </c>
      <c r="B37" s="8"/>
      <c r="C37" s="25">
        <v>1</v>
      </c>
      <c r="D37" s="25">
        <v>1</v>
      </c>
      <c r="E37" s="25"/>
      <c r="F37" s="1">
        <v>6</v>
      </c>
      <c r="G37" s="39">
        <v>36</v>
      </c>
      <c r="H37" s="8">
        <v>11</v>
      </c>
      <c r="I37" s="3" t="s">
        <v>133</v>
      </c>
      <c r="J37" s="70"/>
      <c r="K37" s="39">
        <v>2335.6999999999998</v>
      </c>
      <c r="L37" s="76"/>
      <c r="M37" s="34"/>
      <c r="N37" s="39">
        <v>1318</v>
      </c>
      <c r="O37" s="65">
        <f t="shared" si="3"/>
        <v>0.56428479684891042</v>
      </c>
      <c r="P37" s="65">
        <f t="shared" si="4"/>
        <v>0</v>
      </c>
      <c r="Q37" s="35">
        <f t="shared" si="5"/>
        <v>0</v>
      </c>
      <c r="R37" s="35">
        <f t="shared" si="20"/>
        <v>0</v>
      </c>
      <c r="S37" s="39">
        <v>63</v>
      </c>
      <c r="T37" s="36">
        <f t="shared" si="6"/>
        <v>395.4</v>
      </c>
      <c r="U37" s="9">
        <f t="shared" si="7"/>
        <v>2740.5499999999997</v>
      </c>
      <c r="V37" s="39">
        <v>3028045743.3299999</v>
      </c>
      <c r="W37" s="39">
        <v>21406</v>
      </c>
      <c r="X37" s="17">
        <f t="shared" si="8"/>
        <v>141457.79999999999</v>
      </c>
      <c r="Y37" s="37">
        <f t="shared" si="9"/>
        <v>0.75767399999999996</v>
      </c>
      <c r="Z37" s="35">
        <v>73593</v>
      </c>
      <c r="AA37" s="37">
        <f t="shared" si="10"/>
        <v>0.63910800000000001</v>
      </c>
      <c r="AB37" s="37">
        <f t="shared" si="11"/>
        <v>0.27789599999999998</v>
      </c>
      <c r="AC37" s="71">
        <f t="shared" si="12"/>
        <v>0.27789599999999998</v>
      </c>
      <c r="AD37" s="38">
        <f t="shared" si="21"/>
        <v>0</v>
      </c>
      <c r="AE37" s="74">
        <f t="shared" si="22"/>
        <v>0.27789599999999998</v>
      </c>
      <c r="AF37" s="39">
        <v>0</v>
      </c>
      <c r="AG37" s="39">
        <v>0</v>
      </c>
      <c r="AH37" s="9">
        <f t="shared" si="13"/>
        <v>0</v>
      </c>
      <c r="AI37" s="11">
        <f t="shared" si="14"/>
        <v>0</v>
      </c>
      <c r="AJ37" s="11">
        <f t="shared" si="15"/>
        <v>8777300</v>
      </c>
      <c r="AK37" s="11">
        <f t="shared" si="16"/>
        <v>8777300</v>
      </c>
      <c r="AL37" s="35">
        <v>6160837</v>
      </c>
      <c r="AM37" s="11">
        <f t="shared" si="23"/>
        <v>2616463</v>
      </c>
      <c r="AN37" s="72" t="str">
        <f t="shared" si="24"/>
        <v>Yes</v>
      </c>
      <c r="AO37" s="35">
        <v>6421768</v>
      </c>
      <c r="AP37" s="35">
        <f t="shared" si="17"/>
        <v>278914.9558</v>
      </c>
      <c r="AQ37" s="35">
        <f t="shared" si="18"/>
        <v>6700682.9557999996</v>
      </c>
      <c r="AR37" s="35">
        <f t="shared" si="19"/>
        <v>6700682.9557999996</v>
      </c>
      <c r="AS37" s="66"/>
      <c r="AT37" s="67"/>
      <c r="AU37" s="35"/>
      <c r="AV37" s="68"/>
      <c r="AW37" s="35"/>
      <c r="AX37" s="21"/>
      <c r="AZ37" s="21"/>
      <c r="BA37" s="21"/>
      <c r="BE37" s="21"/>
      <c r="BF37" s="21"/>
      <c r="BG37" s="21"/>
      <c r="BH37" s="21"/>
      <c r="BI37" s="21"/>
    </row>
    <row r="38" spans="1:61" x14ac:dyDescent="0.4">
      <c r="A38" s="8" t="s">
        <v>117</v>
      </c>
      <c r="B38" s="8"/>
      <c r="C38" s="25"/>
      <c r="D38" s="25"/>
      <c r="E38" s="25"/>
      <c r="F38" s="1">
        <v>5</v>
      </c>
      <c r="G38" s="39">
        <v>116</v>
      </c>
      <c r="H38" s="8">
        <v>12</v>
      </c>
      <c r="I38" s="3" t="s">
        <v>134</v>
      </c>
      <c r="J38" s="70"/>
      <c r="K38" s="39">
        <v>714.56</v>
      </c>
      <c r="L38" s="75"/>
      <c r="M38" s="34"/>
      <c r="N38" s="39">
        <v>134</v>
      </c>
      <c r="O38" s="65">
        <f t="shared" si="3"/>
        <v>0.18752798925212719</v>
      </c>
      <c r="P38" s="65">
        <f t="shared" si="4"/>
        <v>0</v>
      </c>
      <c r="Q38" s="35">
        <f t="shared" si="5"/>
        <v>0</v>
      </c>
      <c r="R38" s="35">
        <f t="shared" si="20"/>
        <v>0</v>
      </c>
      <c r="S38" s="39">
        <v>6</v>
      </c>
      <c r="T38" s="36">
        <f t="shared" si="6"/>
        <v>40.200000000000003</v>
      </c>
      <c r="U38" s="9">
        <f t="shared" si="7"/>
        <v>755.66</v>
      </c>
      <c r="V38" s="39">
        <v>630105313</v>
      </c>
      <c r="W38" s="39">
        <v>4916</v>
      </c>
      <c r="X38" s="17">
        <f t="shared" si="8"/>
        <v>128174.39</v>
      </c>
      <c r="Y38" s="37">
        <f t="shared" si="9"/>
        <v>0.68652500000000005</v>
      </c>
      <c r="Z38" s="35">
        <v>101667</v>
      </c>
      <c r="AA38" s="37">
        <f t="shared" si="10"/>
        <v>0.88291200000000003</v>
      </c>
      <c r="AB38" s="37">
        <f t="shared" si="11"/>
        <v>0.25455899999999998</v>
      </c>
      <c r="AC38" s="71">
        <f t="shared" si="12"/>
        <v>0.25455899999999998</v>
      </c>
      <c r="AD38" s="38">
        <f t="shared" si="21"/>
        <v>0</v>
      </c>
      <c r="AE38" s="74">
        <f t="shared" si="22"/>
        <v>0.25455899999999998</v>
      </c>
      <c r="AF38" s="39">
        <v>0</v>
      </c>
      <c r="AG38" s="39">
        <v>0</v>
      </c>
      <c r="AH38" s="9">
        <f t="shared" si="13"/>
        <v>0</v>
      </c>
      <c r="AI38" s="11">
        <f t="shared" si="14"/>
        <v>0</v>
      </c>
      <c r="AJ38" s="11">
        <f t="shared" si="15"/>
        <v>2216950</v>
      </c>
      <c r="AK38" s="11">
        <f t="shared" si="16"/>
        <v>2216950</v>
      </c>
      <c r="AL38" s="35">
        <v>2983350</v>
      </c>
      <c r="AM38" s="11">
        <f t="shared" si="23"/>
        <v>766400</v>
      </c>
      <c r="AN38" s="72" t="str">
        <f t="shared" si="24"/>
        <v>No</v>
      </c>
      <c r="AO38" s="35">
        <v>2747057</v>
      </c>
      <c r="AP38" s="35">
        <f t="shared" si="17"/>
        <v>63841.120000000003</v>
      </c>
      <c r="AQ38" s="35">
        <f t="shared" si="18"/>
        <v>2683215.88</v>
      </c>
      <c r="AR38" s="35">
        <f t="shared" si="19"/>
        <v>2683215.88</v>
      </c>
      <c r="AS38" s="66"/>
      <c r="AT38" s="67"/>
      <c r="AU38" s="35"/>
      <c r="AV38" s="68"/>
      <c r="AW38" s="35"/>
      <c r="AX38" s="21"/>
      <c r="AZ38" s="21"/>
      <c r="BA38" s="21"/>
      <c r="BE38" s="21"/>
      <c r="BF38" s="21"/>
      <c r="BG38" s="21"/>
      <c r="BH38" s="21"/>
      <c r="BI38" s="21"/>
    </row>
    <row r="39" spans="1:61" x14ac:dyDescent="0.4">
      <c r="A39" s="8" t="s">
        <v>121</v>
      </c>
      <c r="B39" s="8"/>
      <c r="C39" s="25"/>
      <c r="D39" s="25"/>
      <c r="E39" s="25"/>
      <c r="F39" s="1">
        <v>7</v>
      </c>
      <c r="G39" s="39">
        <v>55</v>
      </c>
      <c r="H39" s="8">
        <v>13</v>
      </c>
      <c r="I39" s="3" t="s">
        <v>135</v>
      </c>
      <c r="J39" s="70"/>
      <c r="K39" s="39">
        <v>267.95</v>
      </c>
      <c r="L39" s="75"/>
      <c r="M39" s="34"/>
      <c r="N39" s="39">
        <v>93</v>
      </c>
      <c r="O39" s="65">
        <f t="shared" si="3"/>
        <v>0.34707967904459791</v>
      </c>
      <c r="P39" s="65">
        <f t="shared" si="4"/>
        <v>0</v>
      </c>
      <c r="Q39" s="35">
        <f t="shared" si="5"/>
        <v>0</v>
      </c>
      <c r="R39" s="35">
        <f t="shared" si="20"/>
        <v>0</v>
      </c>
      <c r="S39" s="39">
        <v>4</v>
      </c>
      <c r="T39" s="36">
        <f t="shared" si="6"/>
        <v>27.9</v>
      </c>
      <c r="U39" s="9">
        <f t="shared" si="7"/>
        <v>296.45</v>
      </c>
      <c r="V39" s="39">
        <v>333806423</v>
      </c>
      <c r="W39" s="39">
        <v>2563</v>
      </c>
      <c r="X39" s="17">
        <f t="shared" si="8"/>
        <v>130240.51</v>
      </c>
      <c r="Y39" s="37">
        <f t="shared" si="9"/>
        <v>0.69759199999999999</v>
      </c>
      <c r="Z39" s="35">
        <v>82500</v>
      </c>
      <c r="AA39" s="37">
        <f t="shared" si="10"/>
        <v>0.71645899999999996</v>
      </c>
      <c r="AB39" s="37">
        <f t="shared" si="11"/>
        <v>0.29674800000000001</v>
      </c>
      <c r="AC39" s="71">
        <f t="shared" si="12"/>
        <v>0.29674800000000001</v>
      </c>
      <c r="AD39" s="38">
        <f t="shared" si="21"/>
        <v>0</v>
      </c>
      <c r="AE39" s="74">
        <f t="shared" si="22"/>
        <v>0.29674800000000001</v>
      </c>
      <c r="AF39" s="39">
        <v>0</v>
      </c>
      <c r="AG39" s="39">
        <v>0</v>
      </c>
      <c r="AH39" s="9">
        <f t="shared" si="13"/>
        <v>0</v>
      </c>
      <c r="AI39" s="11">
        <f t="shared" si="14"/>
        <v>0</v>
      </c>
      <c r="AJ39" s="11">
        <f t="shared" si="15"/>
        <v>1013865</v>
      </c>
      <c r="AK39" s="11">
        <f t="shared" si="16"/>
        <v>1013865</v>
      </c>
      <c r="AL39" s="35">
        <v>1223830</v>
      </c>
      <c r="AM39" s="11">
        <f t="shared" si="23"/>
        <v>209965</v>
      </c>
      <c r="AN39" s="72" t="str">
        <f t="shared" si="24"/>
        <v>No</v>
      </c>
      <c r="AO39" s="35">
        <v>1207585</v>
      </c>
      <c r="AP39" s="35">
        <f t="shared" si="17"/>
        <v>17490.084500000001</v>
      </c>
      <c r="AQ39" s="35">
        <f t="shared" si="18"/>
        <v>1190094.9154999999</v>
      </c>
      <c r="AR39" s="35">
        <f t="shared" si="19"/>
        <v>1190094.9154999999</v>
      </c>
      <c r="AS39" s="66"/>
      <c r="AT39" s="67"/>
      <c r="AU39" s="35"/>
      <c r="AV39" s="68"/>
      <c r="AW39" s="35"/>
      <c r="AX39" s="21"/>
      <c r="AZ39" s="21"/>
      <c r="BA39" s="21"/>
      <c r="BE39" s="21"/>
      <c r="BF39" s="21"/>
      <c r="BG39" s="21"/>
      <c r="BH39" s="21"/>
      <c r="BI39" s="21"/>
    </row>
    <row r="40" spans="1:61" x14ac:dyDescent="0.4">
      <c r="A40" s="8" t="s">
        <v>127</v>
      </c>
      <c r="B40" s="8"/>
      <c r="C40" s="25"/>
      <c r="D40" s="25"/>
      <c r="E40" s="25"/>
      <c r="F40" s="1">
        <v>4</v>
      </c>
      <c r="G40" s="39">
        <v>104</v>
      </c>
      <c r="H40" s="8">
        <v>14</v>
      </c>
      <c r="I40" s="3" t="s">
        <v>136</v>
      </c>
      <c r="J40" s="70"/>
      <c r="K40" s="39">
        <v>2829.03</v>
      </c>
      <c r="L40" s="75"/>
      <c r="M40" s="34"/>
      <c r="N40" s="39">
        <v>991</v>
      </c>
      <c r="O40" s="65">
        <f t="shared" si="3"/>
        <v>0.35029674482066286</v>
      </c>
      <c r="P40" s="65">
        <f t="shared" si="4"/>
        <v>0</v>
      </c>
      <c r="Q40" s="35">
        <f t="shared" si="5"/>
        <v>0</v>
      </c>
      <c r="R40" s="35">
        <f t="shared" si="20"/>
        <v>0</v>
      </c>
      <c r="S40" s="39">
        <v>152</v>
      </c>
      <c r="T40" s="36">
        <f t="shared" si="6"/>
        <v>297.3</v>
      </c>
      <c r="U40" s="9">
        <f t="shared" si="7"/>
        <v>3149.1300000000006</v>
      </c>
      <c r="V40" s="39">
        <v>5306354915</v>
      </c>
      <c r="W40" s="39">
        <v>28111</v>
      </c>
      <c r="X40" s="17">
        <f t="shared" si="8"/>
        <v>188764.36</v>
      </c>
      <c r="Y40" s="37">
        <f t="shared" si="9"/>
        <v>1.011056</v>
      </c>
      <c r="Z40" s="35">
        <v>75366</v>
      </c>
      <c r="AA40" s="37">
        <f t="shared" si="10"/>
        <v>0.654505</v>
      </c>
      <c r="AB40" s="37">
        <f t="shared" si="11"/>
        <v>9.5908999999999994E-2</v>
      </c>
      <c r="AC40" s="71">
        <f t="shared" si="12"/>
        <v>9.5908999999999994E-2</v>
      </c>
      <c r="AD40" s="38">
        <f t="shared" si="21"/>
        <v>0</v>
      </c>
      <c r="AE40" s="74">
        <f t="shared" si="22"/>
        <v>9.5908999999999994E-2</v>
      </c>
      <c r="AF40" s="39">
        <v>0</v>
      </c>
      <c r="AG40" s="39">
        <v>0</v>
      </c>
      <c r="AH40" s="9">
        <f t="shared" si="13"/>
        <v>0</v>
      </c>
      <c r="AI40" s="11">
        <f t="shared" si="14"/>
        <v>0</v>
      </c>
      <c r="AJ40" s="11">
        <f t="shared" si="15"/>
        <v>3480895</v>
      </c>
      <c r="AK40" s="11">
        <f t="shared" si="16"/>
        <v>3480895</v>
      </c>
      <c r="AL40" s="35">
        <v>2211848</v>
      </c>
      <c r="AM40" s="11">
        <f t="shared" si="23"/>
        <v>1269047</v>
      </c>
      <c r="AN40" s="72" t="str">
        <f t="shared" si="24"/>
        <v>Yes</v>
      </c>
      <c r="AO40" s="35">
        <v>2483807</v>
      </c>
      <c r="AP40" s="35">
        <f t="shared" si="17"/>
        <v>135280.41020000001</v>
      </c>
      <c r="AQ40" s="35">
        <f t="shared" si="18"/>
        <v>2619087.4101999998</v>
      </c>
      <c r="AR40" s="35">
        <f t="shared" si="19"/>
        <v>2619087.4101999998</v>
      </c>
      <c r="AS40" s="66"/>
      <c r="AT40" s="67"/>
      <c r="AU40" s="35"/>
      <c r="AV40" s="68"/>
      <c r="AW40" s="35"/>
      <c r="AX40" s="21"/>
      <c r="AZ40" s="21"/>
      <c r="BA40" s="21"/>
      <c r="BE40" s="21"/>
      <c r="BF40" s="21"/>
      <c r="BG40" s="21"/>
      <c r="BH40" s="21"/>
      <c r="BI40" s="21"/>
    </row>
    <row r="41" spans="1:61" x14ac:dyDescent="0.4">
      <c r="A41" s="8" t="s">
        <v>137</v>
      </c>
      <c r="B41" s="8">
        <v>1</v>
      </c>
      <c r="C41" s="25">
        <v>1</v>
      </c>
      <c r="D41" s="25">
        <v>0</v>
      </c>
      <c r="E41" s="25">
        <v>1</v>
      </c>
      <c r="F41" s="1">
        <v>10</v>
      </c>
      <c r="G41" s="39">
        <v>4</v>
      </c>
      <c r="H41" s="8">
        <v>15</v>
      </c>
      <c r="I41" s="3" t="s">
        <v>138</v>
      </c>
      <c r="J41" s="70"/>
      <c r="K41" s="39">
        <v>20066.78</v>
      </c>
      <c r="L41" s="76"/>
      <c r="M41" s="34"/>
      <c r="N41" s="39">
        <v>14397</v>
      </c>
      <c r="O41" s="65">
        <f t="shared" si="3"/>
        <v>0.71745441969264634</v>
      </c>
      <c r="P41" s="65">
        <f t="shared" si="4"/>
        <v>0</v>
      </c>
      <c r="Q41" s="35">
        <f t="shared" si="5"/>
        <v>0</v>
      </c>
      <c r="R41" s="35">
        <f t="shared" si="20"/>
        <v>0</v>
      </c>
      <c r="S41" s="39">
        <v>4158</v>
      </c>
      <c r="T41" s="36">
        <f t="shared" si="6"/>
        <v>4319.1000000000004</v>
      </c>
      <c r="U41" s="9">
        <f t="shared" si="7"/>
        <v>25009.579999999998</v>
      </c>
      <c r="V41" s="39">
        <v>9352629810.6700001</v>
      </c>
      <c r="W41" s="39">
        <v>146579</v>
      </c>
      <c r="X41" s="17">
        <f t="shared" si="8"/>
        <v>63806.07</v>
      </c>
      <c r="Y41" s="37">
        <f t="shared" si="9"/>
        <v>0.34175699999999998</v>
      </c>
      <c r="Z41" s="35">
        <v>44841</v>
      </c>
      <c r="AA41" s="37">
        <f t="shared" si="10"/>
        <v>0.38941500000000001</v>
      </c>
      <c r="AB41" s="37">
        <f t="shared" si="11"/>
        <v>0.64394600000000002</v>
      </c>
      <c r="AC41" s="71">
        <f t="shared" si="12"/>
        <v>0.64394600000000002</v>
      </c>
      <c r="AD41" s="38">
        <f t="shared" si="21"/>
        <v>0.06</v>
      </c>
      <c r="AE41" s="74">
        <f t="shared" si="22"/>
        <v>0.70394599999999996</v>
      </c>
      <c r="AF41" s="39">
        <v>0</v>
      </c>
      <c r="AG41" s="39">
        <v>0</v>
      </c>
      <c r="AH41" s="9">
        <f t="shared" si="13"/>
        <v>0</v>
      </c>
      <c r="AI41" s="11">
        <f t="shared" si="14"/>
        <v>0</v>
      </c>
      <c r="AJ41" s="11">
        <f t="shared" si="15"/>
        <v>202902164</v>
      </c>
      <c r="AK41" s="11">
        <f t="shared" si="16"/>
        <v>202902164</v>
      </c>
      <c r="AL41" s="35">
        <v>181105390</v>
      </c>
      <c r="AM41" s="11">
        <f t="shared" si="23"/>
        <v>21796774</v>
      </c>
      <c r="AN41" s="72" t="str">
        <f t="shared" si="24"/>
        <v>Yes</v>
      </c>
      <c r="AO41" s="35">
        <v>185090842</v>
      </c>
      <c r="AP41" s="35">
        <f t="shared" si="17"/>
        <v>2323536.1083999998</v>
      </c>
      <c r="AQ41" s="35">
        <f t="shared" si="18"/>
        <v>187414378.10839999</v>
      </c>
      <c r="AR41" s="35">
        <f t="shared" si="19"/>
        <v>187414378.10839999</v>
      </c>
      <c r="AS41" s="66"/>
      <c r="AT41" s="67"/>
      <c r="AU41" s="35"/>
      <c r="AV41" s="68"/>
      <c r="AW41" s="35"/>
      <c r="AX41" s="21"/>
      <c r="AZ41" s="21"/>
      <c r="BA41" s="21"/>
      <c r="BE41" s="21"/>
      <c r="BF41" s="21"/>
      <c r="BG41" s="21"/>
      <c r="BH41" s="21"/>
      <c r="BI41" s="21"/>
    </row>
    <row r="42" spans="1:61" x14ac:dyDescent="0.4">
      <c r="A42" s="8" t="s">
        <v>117</v>
      </c>
      <c r="B42" s="8"/>
      <c r="C42" s="25"/>
      <c r="D42" s="25"/>
      <c r="E42" s="25"/>
      <c r="F42" s="1">
        <v>2</v>
      </c>
      <c r="G42" s="39">
        <v>159</v>
      </c>
      <c r="H42" s="8">
        <v>16</v>
      </c>
      <c r="I42" s="3" t="s">
        <v>139</v>
      </c>
      <c r="J42" s="70"/>
      <c r="K42" s="39">
        <v>118.76</v>
      </c>
      <c r="L42" s="75"/>
      <c r="M42" s="34"/>
      <c r="N42" s="39">
        <v>12</v>
      </c>
      <c r="O42" s="65">
        <f t="shared" si="3"/>
        <v>0.10104412260020208</v>
      </c>
      <c r="P42" s="65">
        <f t="shared" si="4"/>
        <v>0</v>
      </c>
      <c r="Q42" s="35">
        <f t="shared" si="5"/>
        <v>0</v>
      </c>
      <c r="R42" s="35">
        <f t="shared" si="20"/>
        <v>0</v>
      </c>
      <c r="S42" s="39">
        <v>0</v>
      </c>
      <c r="T42" s="36">
        <f t="shared" si="6"/>
        <v>3.6</v>
      </c>
      <c r="U42" s="9">
        <f t="shared" si="7"/>
        <v>122.36</v>
      </c>
      <c r="V42" s="39">
        <v>542878070</v>
      </c>
      <c r="W42" s="39">
        <v>1644</v>
      </c>
      <c r="X42" s="17">
        <f t="shared" si="8"/>
        <v>330217.8</v>
      </c>
      <c r="Y42" s="37">
        <f t="shared" si="9"/>
        <v>1.7687059999999999</v>
      </c>
      <c r="Z42" s="35">
        <v>102250</v>
      </c>
      <c r="AA42" s="37">
        <f t="shared" si="10"/>
        <v>0.88797499999999996</v>
      </c>
      <c r="AB42" s="37">
        <f t="shared" si="11"/>
        <v>-0.50448700000000002</v>
      </c>
      <c r="AC42" s="71">
        <f t="shared" si="12"/>
        <v>0.01</v>
      </c>
      <c r="AD42" s="38">
        <f t="shared" si="21"/>
        <v>0</v>
      </c>
      <c r="AE42" s="74">
        <f t="shared" si="22"/>
        <v>0.01</v>
      </c>
      <c r="AF42" s="39">
        <v>117</v>
      </c>
      <c r="AG42" s="39">
        <v>13</v>
      </c>
      <c r="AH42" s="9">
        <f t="shared" si="13"/>
        <v>100</v>
      </c>
      <c r="AI42" s="11">
        <f t="shared" si="14"/>
        <v>11700</v>
      </c>
      <c r="AJ42" s="11">
        <f t="shared" si="15"/>
        <v>14102</v>
      </c>
      <c r="AK42" s="11">
        <f t="shared" si="16"/>
        <v>25802</v>
      </c>
      <c r="AL42" s="35">
        <v>23014</v>
      </c>
      <c r="AM42" s="11">
        <f t="shared" si="23"/>
        <v>2788</v>
      </c>
      <c r="AN42" s="72" t="str">
        <f t="shared" si="24"/>
        <v>Yes</v>
      </c>
      <c r="AO42" s="35">
        <v>23267</v>
      </c>
      <c r="AP42" s="35">
        <f t="shared" si="17"/>
        <v>297.20080000000002</v>
      </c>
      <c r="AQ42" s="35">
        <f t="shared" si="18"/>
        <v>23564.200799999999</v>
      </c>
      <c r="AR42" s="35">
        <f t="shared" si="19"/>
        <v>23564.200799999999</v>
      </c>
      <c r="AS42" s="66"/>
      <c r="AT42" s="67"/>
      <c r="AU42" s="35"/>
      <c r="AV42" s="68"/>
      <c r="AW42" s="35"/>
      <c r="AX42" s="21"/>
      <c r="AZ42" s="21"/>
      <c r="BA42" s="21"/>
      <c r="BE42" s="21"/>
      <c r="BF42" s="21"/>
      <c r="BG42" s="21"/>
      <c r="BH42" s="21"/>
      <c r="BI42" s="21"/>
    </row>
    <row r="43" spans="1:61" x14ac:dyDescent="0.4">
      <c r="A43" s="8" t="s">
        <v>132</v>
      </c>
      <c r="B43" s="8"/>
      <c r="C43" s="25">
        <v>1</v>
      </c>
      <c r="D43" s="25">
        <v>1</v>
      </c>
      <c r="E43" s="25"/>
      <c r="F43" s="1">
        <v>9</v>
      </c>
      <c r="G43" s="39">
        <v>16</v>
      </c>
      <c r="H43" s="8">
        <v>17</v>
      </c>
      <c r="I43" s="3" t="s">
        <v>140</v>
      </c>
      <c r="J43" s="70"/>
      <c r="K43" s="39">
        <v>8210.36</v>
      </c>
      <c r="L43" s="76"/>
      <c r="M43" s="34"/>
      <c r="N43" s="39">
        <v>4410</v>
      </c>
      <c r="O43" s="65">
        <f t="shared" si="3"/>
        <v>0.53712626486536519</v>
      </c>
      <c r="P43" s="65">
        <f t="shared" si="4"/>
        <v>0</v>
      </c>
      <c r="Q43" s="35">
        <f t="shared" si="5"/>
        <v>0</v>
      </c>
      <c r="R43" s="35">
        <f t="shared" si="20"/>
        <v>0</v>
      </c>
      <c r="S43" s="39">
        <v>434</v>
      </c>
      <c r="T43" s="36">
        <f t="shared" si="6"/>
        <v>1323</v>
      </c>
      <c r="U43" s="9">
        <f t="shared" si="7"/>
        <v>9598.4600000000009</v>
      </c>
      <c r="V43" s="39">
        <v>5778563027.3299999</v>
      </c>
      <c r="W43" s="39">
        <v>60223</v>
      </c>
      <c r="X43" s="17">
        <f t="shared" si="8"/>
        <v>95952.76</v>
      </c>
      <c r="Y43" s="37">
        <f t="shared" si="9"/>
        <v>0.51393999999999995</v>
      </c>
      <c r="Z43" s="35">
        <v>64586</v>
      </c>
      <c r="AA43" s="37">
        <f t="shared" si="10"/>
        <v>0.56088800000000005</v>
      </c>
      <c r="AB43" s="37">
        <f t="shared" si="11"/>
        <v>0.47197600000000001</v>
      </c>
      <c r="AC43" s="71">
        <f t="shared" si="12"/>
        <v>0.47197600000000001</v>
      </c>
      <c r="AD43" s="38">
        <f t="shared" si="21"/>
        <v>0.03</v>
      </c>
      <c r="AE43" s="74">
        <f t="shared" si="22"/>
        <v>0.50197599999999998</v>
      </c>
      <c r="AF43" s="39">
        <v>0</v>
      </c>
      <c r="AG43" s="39">
        <v>0</v>
      </c>
      <c r="AH43" s="9">
        <f t="shared" si="13"/>
        <v>0</v>
      </c>
      <c r="AI43" s="11">
        <f t="shared" si="14"/>
        <v>0</v>
      </c>
      <c r="AJ43" s="11">
        <f t="shared" si="15"/>
        <v>55529715</v>
      </c>
      <c r="AK43" s="11">
        <f t="shared" si="16"/>
        <v>55529715</v>
      </c>
      <c r="AL43" s="35">
        <v>44853676</v>
      </c>
      <c r="AM43" s="11">
        <f t="shared" si="23"/>
        <v>10676039</v>
      </c>
      <c r="AN43" s="72" t="str">
        <f t="shared" si="24"/>
        <v>Yes</v>
      </c>
      <c r="AO43" s="35">
        <v>46286500</v>
      </c>
      <c r="AP43" s="35">
        <f t="shared" si="17"/>
        <v>1138065.7574</v>
      </c>
      <c r="AQ43" s="35">
        <f t="shared" si="18"/>
        <v>47424565.757399999</v>
      </c>
      <c r="AR43" s="35">
        <f t="shared" si="19"/>
        <v>47424565.757399999</v>
      </c>
      <c r="AS43" s="66"/>
      <c r="AT43" s="67"/>
      <c r="AU43" s="35"/>
      <c r="AV43" s="68"/>
      <c r="AW43" s="35"/>
      <c r="AX43" s="21"/>
      <c r="AZ43" s="21"/>
      <c r="BA43" s="21"/>
      <c r="BE43" s="21"/>
      <c r="BF43" s="21"/>
      <c r="BG43" s="21"/>
      <c r="BH43" s="21"/>
      <c r="BI43" s="21"/>
    </row>
    <row r="44" spans="1:61" x14ac:dyDescent="0.4">
      <c r="A44" s="8" t="s">
        <v>123</v>
      </c>
      <c r="B44" s="8"/>
      <c r="C44" s="25"/>
      <c r="D44" s="25"/>
      <c r="E44" s="25"/>
      <c r="F44" s="1">
        <v>2</v>
      </c>
      <c r="G44" s="39">
        <v>123</v>
      </c>
      <c r="H44" s="8">
        <v>18</v>
      </c>
      <c r="I44" s="3" t="s">
        <v>141</v>
      </c>
      <c r="J44" s="70"/>
      <c r="K44" s="39">
        <v>2677.72</v>
      </c>
      <c r="L44" s="75"/>
      <c r="M44" s="34"/>
      <c r="N44" s="39">
        <v>551</v>
      </c>
      <c r="O44" s="65">
        <f t="shared" si="3"/>
        <v>0.2057720747501606</v>
      </c>
      <c r="P44" s="65">
        <f t="shared" si="4"/>
        <v>0</v>
      </c>
      <c r="Q44" s="35">
        <f t="shared" si="5"/>
        <v>0</v>
      </c>
      <c r="R44" s="35">
        <f t="shared" si="20"/>
        <v>0</v>
      </c>
      <c r="S44" s="39">
        <v>115</v>
      </c>
      <c r="T44" s="36">
        <f t="shared" si="6"/>
        <v>165.3</v>
      </c>
      <c r="U44" s="9">
        <f t="shared" si="7"/>
        <v>2860.27</v>
      </c>
      <c r="V44" s="39">
        <v>3321806343.6700001</v>
      </c>
      <c r="W44" s="39">
        <v>17133</v>
      </c>
      <c r="X44" s="17">
        <f t="shared" si="8"/>
        <v>193883.51999999999</v>
      </c>
      <c r="Y44" s="37">
        <f t="shared" si="9"/>
        <v>1.038475</v>
      </c>
      <c r="Z44" s="35">
        <v>113009</v>
      </c>
      <c r="AA44" s="37">
        <f t="shared" si="10"/>
        <v>0.98141</v>
      </c>
      <c r="AB44" s="37">
        <f t="shared" si="11"/>
        <v>-2.1354999999999999E-2</v>
      </c>
      <c r="AC44" s="71">
        <f t="shared" si="12"/>
        <v>0.01</v>
      </c>
      <c r="AD44" s="38">
        <f t="shared" si="21"/>
        <v>0</v>
      </c>
      <c r="AE44" s="74">
        <f t="shared" si="22"/>
        <v>0.01</v>
      </c>
      <c r="AF44" s="39">
        <v>0</v>
      </c>
      <c r="AG44" s="39">
        <v>0</v>
      </c>
      <c r="AH44" s="9">
        <f t="shared" si="13"/>
        <v>0</v>
      </c>
      <c r="AI44" s="11">
        <f t="shared" si="14"/>
        <v>0</v>
      </c>
      <c r="AJ44" s="11">
        <f t="shared" si="15"/>
        <v>329646</v>
      </c>
      <c r="AK44" s="11">
        <f t="shared" si="16"/>
        <v>329646</v>
      </c>
      <c r="AL44" s="35">
        <v>1417583</v>
      </c>
      <c r="AM44" s="11">
        <f t="shared" si="23"/>
        <v>1087937</v>
      </c>
      <c r="AN44" s="72" t="str">
        <f t="shared" si="24"/>
        <v>No</v>
      </c>
      <c r="AO44" s="35">
        <v>1052942</v>
      </c>
      <c r="AP44" s="35">
        <f t="shared" si="17"/>
        <v>90625.152099999992</v>
      </c>
      <c r="AQ44" s="35">
        <f t="shared" si="18"/>
        <v>962316.84790000005</v>
      </c>
      <c r="AR44" s="35">
        <f t="shared" si="19"/>
        <v>962316.84790000005</v>
      </c>
      <c r="AS44" s="66"/>
      <c r="AT44" s="67"/>
      <c r="AU44" s="35"/>
      <c r="AV44" s="68"/>
      <c r="AW44" s="35"/>
      <c r="AX44" s="21"/>
      <c r="AZ44" s="21"/>
      <c r="BA44" s="21"/>
      <c r="BE44" s="21"/>
      <c r="BF44" s="21"/>
      <c r="BG44" s="21"/>
      <c r="BH44" s="21"/>
      <c r="BI44" s="21"/>
    </row>
    <row r="45" spans="1:61" x14ac:dyDescent="0.4">
      <c r="A45" s="8" t="s">
        <v>121</v>
      </c>
      <c r="B45" s="8"/>
      <c r="C45" s="25"/>
      <c r="D45" s="25"/>
      <c r="E45" s="25"/>
      <c r="F45" s="1">
        <v>9</v>
      </c>
      <c r="G45" s="39">
        <v>42</v>
      </c>
      <c r="H45" s="8">
        <v>19</v>
      </c>
      <c r="I45" s="3" t="s">
        <v>142</v>
      </c>
      <c r="J45" s="70"/>
      <c r="K45" s="39">
        <v>1255.5</v>
      </c>
      <c r="L45" s="76"/>
      <c r="M45" s="34"/>
      <c r="N45" s="39">
        <v>416</v>
      </c>
      <c r="O45" s="65">
        <f t="shared" si="3"/>
        <v>0.33134209478295501</v>
      </c>
      <c r="P45" s="65">
        <f t="shared" si="4"/>
        <v>0</v>
      </c>
      <c r="Q45" s="35">
        <f t="shared" si="5"/>
        <v>0</v>
      </c>
      <c r="R45" s="35">
        <f t="shared" si="20"/>
        <v>0</v>
      </c>
      <c r="S45" s="39">
        <v>16</v>
      </c>
      <c r="T45" s="36">
        <f t="shared" si="6"/>
        <v>124.8</v>
      </c>
      <c r="U45" s="9">
        <f t="shared" si="7"/>
        <v>1382.7</v>
      </c>
      <c r="V45" s="39">
        <v>853243505</v>
      </c>
      <c r="W45" s="39">
        <v>8208</v>
      </c>
      <c r="X45" s="17">
        <f t="shared" si="8"/>
        <v>103952.67</v>
      </c>
      <c r="Y45" s="37">
        <f t="shared" si="9"/>
        <v>0.55678899999999998</v>
      </c>
      <c r="Z45" s="35">
        <v>75000</v>
      </c>
      <c r="AA45" s="37">
        <f t="shared" si="10"/>
        <v>0.65132699999999999</v>
      </c>
      <c r="AB45" s="37">
        <f t="shared" si="11"/>
        <v>0.41485</v>
      </c>
      <c r="AC45" s="71">
        <f t="shared" si="12"/>
        <v>0.41485</v>
      </c>
      <c r="AD45" s="38">
        <f t="shared" si="21"/>
        <v>0</v>
      </c>
      <c r="AE45" s="74">
        <f t="shared" si="22"/>
        <v>0.41485</v>
      </c>
      <c r="AF45" s="39">
        <v>0</v>
      </c>
      <c r="AG45" s="39">
        <v>0</v>
      </c>
      <c r="AH45" s="9">
        <f t="shared" si="13"/>
        <v>0</v>
      </c>
      <c r="AI45" s="11">
        <f t="shared" si="14"/>
        <v>0</v>
      </c>
      <c r="AJ45" s="11">
        <f t="shared" si="15"/>
        <v>6610891</v>
      </c>
      <c r="AK45" s="11">
        <f t="shared" si="16"/>
        <v>6610891</v>
      </c>
      <c r="AL45" s="35">
        <v>6975373</v>
      </c>
      <c r="AM45" s="11">
        <f t="shared" si="23"/>
        <v>364482</v>
      </c>
      <c r="AN45" s="72" t="str">
        <f t="shared" si="24"/>
        <v>No</v>
      </c>
      <c r="AO45" s="35">
        <v>6956456</v>
      </c>
      <c r="AP45" s="35">
        <f t="shared" si="17"/>
        <v>30361.350599999998</v>
      </c>
      <c r="AQ45" s="35">
        <f t="shared" si="18"/>
        <v>6926094.6494000005</v>
      </c>
      <c r="AR45" s="35">
        <f t="shared" si="19"/>
        <v>6926094.6494000005</v>
      </c>
      <c r="AS45" s="66"/>
      <c r="AT45" s="67"/>
      <c r="AU45" s="35"/>
      <c r="AV45" s="68"/>
      <c r="AW45" s="35"/>
      <c r="AX45" s="21"/>
      <c r="AZ45" s="21"/>
      <c r="BA45" s="21"/>
      <c r="BE45" s="21"/>
      <c r="BF45" s="21"/>
      <c r="BG45" s="21"/>
      <c r="BH45" s="21"/>
      <c r="BI45" s="21"/>
    </row>
    <row r="46" spans="1:61" x14ac:dyDescent="0.4">
      <c r="A46" s="8" t="s">
        <v>117</v>
      </c>
      <c r="B46" s="8"/>
      <c r="C46" s="25"/>
      <c r="D46" s="25"/>
      <c r="E46" s="25"/>
      <c r="F46" s="1">
        <v>3</v>
      </c>
      <c r="G46" s="39">
        <v>127</v>
      </c>
      <c r="H46" s="8">
        <v>20</v>
      </c>
      <c r="I46" s="3" t="s">
        <v>143</v>
      </c>
      <c r="J46" s="70"/>
      <c r="K46" s="39">
        <v>1532.48</v>
      </c>
      <c r="L46" s="75"/>
      <c r="M46" s="34"/>
      <c r="N46" s="39">
        <v>173</v>
      </c>
      <c r="O46" s="65">
        <f t="shared" si="3"/>
        <v>0.11288891209020673</v>
      </c>
      <c r="P46" s="65">
        <f t="shared" si="4"/>
        <v>0</v>
      </c>
      <c r="Q46" s="35">
        <f t="shared" si="5"/>
        <v>0</v>
      </c>
      <c r="R46" s="35">
        <f t="shared" si="20"/>
        <v>0</v>
      </c>
      <c r="S46" s="39">
        <v>30</v>
      </c>
      <c r="T46" s="36">
        <f t="shared" si="6"/>
        <v>51.9</v>
      </c>
      <c r="U46" s="9">
        <f t="shared" si="7"/>
        <v>1588.88</v>
      </c>
      <c r="V46" s="39">
        <v>1333177472.6700001</v>
      </c>
      <c r="W46" s="39">
        <v>9640</v>
      </c>
      <c r="X46" s="17">
        <f t="shared" si="8"/>
        <v>138296.42000000001</v>
      </c>
      <c r="Y46" s="37">
        <f t="shared" si="9"/>
        <v>0.74074099999999998</v>
      </c>
      <c r="Z46" s="35">
        <v>121635</v>
      </c>
      <c r="AA46" s="37">
        <f t="shared" si="10"/>
        <v>1.056322</v>
      </c>
      <c r="AB46" s="37">
        <f t="shared" si="11"/>
        <v>0.16458500000000001</v>
      </c>
      <c r="AC46" s="71">
        <f t="shared" si="12"/>
        <v>0.16458500000000001</v>
      </c>
      <c r="AD46" s="38">
        <f t="shared" si="21"/>
        <v>0</v>
      </c>
      <c r="AE46" s="74">
        <f t="shared" si="22"/>
        <v>0.16458500000000001</v>
      </c>
      <c r="AF46" s="39">
        <v>1534</v>
      </c>
      <c r="AG46" s="39">
        <v>13</v>
      </c>
      <c r="AH46" s="9">
        <f t="shared" si="13"/>
        <v>100</v>
      </c>
      <c r="AI46" s="11">
        <f t="shared" si="14"/>
        <v>153400</v>
      </c>
      <c r="AJ46" s="11">
        <f t="shared" si="15"/>
        <v>3013855</v>
      </c>
      <c r="AK46" s="11">
        <f t="shared" si="16"/>
        <v>3167255</v>
      </c>
      <c r="AL46" s="35">
        <v>4359350</v>
      </c>
      <c r="AM46" s="11">
        <f t="shared" si="23"/>
        <v>1192095</v>
      </c>
      <c r="AN46" s="72" t="str">
        <f t="shared" si="24"/>
        <v>No</v>
      </c>
      <c r="AO46" s="35">
        <v>4022950</v>
      </c>
      <c r="AP46" s="35">
        <f t="shared" si="17"/>
        <v>99301.513500000001</v>
      </c>
      <c r="AQ46" s="35">
        <f t="shared" si="18"/>
        <v>3923648.4865000001</v>
      </c>
      <c r="AR46" s="35">
        <f t="shared" si="19"/>
        <v>3923648.4865000001</v>
      </c>
      <c r="AS46" s="66"/>
      <c r="AT46" s="67"/>
      <c r="AU46" s="35"/>
      <c r="AV46" s="68"/>
      <c r="AW46" s="35"/>
      <c r="AX46" s="21"/>
      <c r="AZ46" s="21"/>
      <c r="BA46" s="21"/>
      <c r="BE46" s="21"/>
      <c r="BF46" s="21"/>
      <c r="BG46" s="21"/>
      <c r="BH46" s="21"/>
      <c r="BI46" s="21"/>
    </row>
    <row r="47" spans="1:61" x14ac:dyDescent="0.4">
      <c r="A47" s="8" t="s">
        <v>121</v>
      </c>
      <c r="B47" s="8"/>
      <c r="C47" s="25"/>
      <c r="D47" s="25"/>
      <c r="E47" s="25"/>
      <c r="F47" s="1">
        <v>4</v>
      </c>
      <c r="G47" s="39">
        <v>138</v>
      </c>
      <c r="H47" s="8">
        <v>21</v>
      </c>
      <c r="I47" s="3" t="s">
        <v>144</v>
      </c>
      <c r="J47" s="70"/>
      <c r="K47" s="39">
        <v>108.4</v>
      </c>
      <c r="L47" s="75"/>
      <c r="M47" s="34"/>
      <c r="N47" s="39">
        <v>48</v>
      </c>
      <c r="O47" s="65">
        <f t="shared" si="3"/>
        <v>0.44280442804428044</v>
      </c>
      <c r="P47" s="65">
        <f t="shared" si="4"/>
        <v>0</v>
      </c>
      <c r="Q47" s="35">
        <f t="shared" si="5"/>
        <v>0</v>
      </c>
      <c r="R47" s="35">
        <f t="shared" si="20"/>
        <v>0</v>
      </c>
      <c r="S47" s="39">
        <v>2</v>
      </c>
      <c r="T47" s="36">
        <f t="shared" si="6"/>
        <v>14.4</v>
      </c>
      <c r="U47" s="9">
        <f t="shared" si="7"/>
        <v>123.10000000000001</v>
      </c>
      <c r="V47" s="39">
        <v>241884585</v>
      </c>
      <c r="W47" s="39">
        <v>1062</v>
      </c>
      <c r="X47" s="17">
        <f t="shared" si="8"/>
        <v>227763.26</v>
      </c>
      <c r="Y47" s="37">
        <f t="shared" si="9"/>
        <v>1.2199409999999999</v>
      </c>
      <c r="Z47" s="35">
        <v>77417</v>
      </c>
      <c r="AA47" s="37">
        <f t="shared" si="10"/>
        <v>0.67231700000000005</v>
      </c>
      <c r="AB47" s="37">
        <f t="shared" si="11"/>
        <v>-5.5654000000000002E-2</v>
      </c>
      <c r="AC47" s="71">
        <f t="shared" si="12"/>
        <v>0.01</v>
      </c>
      <c r="AD47" s="38">
        <f t="shared" si="21"/>
        <v>0</v>
      </c>
      <c r="AE47" s="74">
        <f t="shared" si="22"/>
        <v>0.01</v>
      </c>
      <c r="AF47" s="39">
        <v>44</v>
      </c>
      <c r="AG47" s="39">
        <v>4</v>
      </c>
      <c r="AH47" s="9">
        <f t="shared" si="13"/>
        <v>30.77</v>
      </c>
      <c r="AI47" s="11">
        <f t="shared" si="14"/>
        <v>1354</v>
      </c>
      <c r="AJ47" s="11">
        <f t="shared" si="15"/>
        <v>14187</v>
      </c>
      <c r="AK47" s="11">
        <f t="shared" si="16"/>
        <v>15541</v>
      </c>
      <c r="AL47" s="35">
        <v>177216</v>
      </c>
      <c r="AM47" s="11">
        <f t="shared" si="23"/>
        <v>161675</v>
      </c>
      <c r="AN47" s="72" t="str">
        <f t="shared" si="24"/>
        <v>No</v>
      </c>
      <c r="AO47" s="35">
        <v>139220</v>
      </c>
      <c r="AP47" s="35">
        <f t="shared" si="17"/>
        <v>13467.5275</v>
      </c>
      <c r="AQ47" s="35">
        <f t="shared" si="18"/>
        <v>125752.4725</v>
      </c>
      <c r="AR47" s="35">
        <f t="shared" si="19"/>
        <v>125752.4725</v>
      </c>
      <c r="AS47" s="66"/>
      <c r="AT47" s="67"/>
      <c r="AU47" s="35"/>
      <c r="AV47" s="68"/>
      <c r="AW47" s="35"/>
      <c r="AX47" s="21"/>
      <c r="AZ47" s="21"/>
      <c r="BA47" s="21"/>
      <c r="BE47" s="21"/>
      <c r="BF47" s="21"/>
      <c r="BG47" s="21"/>
      <c r="BH47" s="21"/>
      <c r="BI47" s="21"/>
    </row>
    <row r="48" spans="1:61" x14ac:dyDescent="0.4">
      <c r="A48" s="8" t="s">
        <v>145</v>
      </c>
      <c r="B48" s="8"/>
      <c r="C48" s="25"/>
      <c r="D48" s="25"/>
      <c r="E48" s="25"/>
      <c r="F48" s="1">
        <v>8</v>
      </c>
      <c r="G48" s="39">
        <v>66</v>
      </c>
      <c r="H48" s="8">
        <v>22</v>
      </c>
      <c r="I48" s="3" t="s">
        <v>146</v>
      </c>
      <c r="J48" s="70"/>
      <c r="K48" s="39">
        <v>648.02</v>
      </c>
      <c r="L48" s="75"/>
      <c r="M48" s="34"/>
      <c r="N48" s="39">
        <v>202</v>
      </c>
      <c r="O48" s="65">
        <f t="shared" si="3"/>
        <v>0.31171877411191012</v>
      </c>
      <c r="P48" s="65">
        <f t="shared" si="4"/>
        <v>0</v>
      </c>
      <c r="Q48" s="35">
        <f t="shared" si="5"/>
        <v>0</v>
      </c>
      <c r="R48" s="35">
        <f t="shared" si="20"/>
        <v>0</v>
      </c>
      <c r="S48" s="39">
        <v>0</v>
      </c>
      <c r="T48" s="36">
        <f t="shared" si="6"/>
        <v>60.6</v>
      </c>
      <c r="U48" s="9">
        <f t="shared" si="7"/>
        <v>708.62</v>
      </c>
      <c r="V48" s="39">
        <v>527164825.32999998</v>
      </c>
      <c r="W48" s="39">
        <v>5075</v>
      </c>
      <c r="X48" s="17">
        <f t="shared" si="8"/>
        <v>103874.84</v>
      </c>
      <c r="Y48" s="37">
        <f t="shared" si="9"/>
        <v>0.55637199999999998</v>
      </c>
      <c r="Z48" s="35">
        <v>89213</v>
      </c>
      <c r="AA48" s="37">
        <f t="shared" si="10"/>
        <v>0.77475700000000003</v>
      </c>
      <c r="AB48" s="37">
        <f t="shared" si="11"/>
        <v>0.37811299999999998</v>
      </c>
      <c r="AC48" s="71">
        <f t="shared" si="12"/>
        <v>0.37811299999999998</v>
      </c>
      <c r="AD48" s="38">
        <f t="shared" si="21"/>
        <v>0</v>
      </c>
      <c r="AE48" s="74">
        <f t="shared" si="22"/>
        <v>0.37811299999999998</v>
      </c>
      <c r="AF48" s="39">
        <v>0</v>
      </c>
      <c r="AG48" s="39">
        <v>0</v>
      </c>
      <c r="AH48" s="9">
        <f t="shared" si="13"/>
        <v>0</v>
      </c>
      <c r="AI48" s="11">
        <f t="shared" si="14"/>
        <v>0</v>
      </c>
      <c r="AJ48" s="11">
        <f t="shared" si="15"/>
        <v>3087990</v>
      </c>
      <c r="AK48" s="11">
        <f t="shared" si="16"/>
        <v>3087990</v>
      </c>
      <c r="AL48" s="35">
        <v>4665608</v>
      </c>
      <c r="AM48" s="11">
        <f t="shared" si="23"/>
        <v>1577618</v>
      </c>
      <c r="AN48" s="72" t="str">
        <f t="shared" si="24"/>
        <v>No</v>
      </c>
      <c r="AO48" s="35">
        <v>4136251</v>
      </c>
      <c r="AP48" s="35">
        <f t="shared" si="17"/>
        <v>131415.57939999999</v>
      </c>
      <c r="AQ48" s="35">
        <f t="shared" si="18"/>
        <v>4004835.4205999998</v>
      </c>
      <c r="AR48" s="35">
        <f t="shared" si="19"/>
        <v>4004835.4205999998</v>
      </c>
      <c r="AS48" s="66"/>
      <c r="AT48" s="67"/>
      <c r="AU48" s="35"/>
      <c r="AV48" s="68"/>
      <c r="AW48" s="35"/>
      <c r="AX48" s="21"/>
      <c r="AZ48" s="21"/>
      <c r="BA48" s="21"/>
      <c r="BE48" s="21"/>
      <c r="BF48" s="21"/>
      <c r="BG48" s="21"/>
      <c r="BH48" s="21"/>
      <c r="BI48" s="21"/>
    </row>
    <row r="49" spans="1:61" x14ac:dyDescent="0.4">
      <c r="A49" s="8" t="s">
        <v>117</v>
      </c>
      <c r="B49" s="8"/>
      <c r="C49" s="25"/>
      <c r="D49" s="25"/>
      <c r="E49" s="25"/>
      <c r="F49" s="1">
        <v>4</v>
      </c>
      <c r="G49" s="39">
        <v>133</v>
      </c>
      <c r="H49" s="8">
        <v>23</v>
      </c>
      <c r="I49" s="3" t="s">
        <v>147</v>
      </c>
      <c r="J49" s="70"/>
      <c r="K49" s="39">
        <v>1570.88</v>
      </c>
      <c r="L49" s="75"/>
      <c r="M49" s="34"/>
      <c r="N49" s="39">
        <v>188</v>
      </c>
      <c r="O49" s="65">
        <f t="shared" si="3"/>
        <v>0.11967814218781829</v>
      </c>
      <c r="P49" s="65">
        <f t="shared" si="4"/>
        <v>0</v>
      </c>
      <c r="Q49" s="35">
        <f t="shared" si="5"/>
        <v>0</v>
      </c>
      <c r="R49" s="35">
        <f t="shared" si="20"/>
        <v>0</v>
      </c>
      <c r="S49" s="39">
        <v>14</v>
      </c>
      <c r="T49" s="36">
        <f t="shared" si="6"/>
        <v>56.4</v>
      </c>
      <c r="U49" s="9">
        <f t="shared" si="7"/>
        <v>1629.38</v>
      </c>
      <c r="V49" s="39">
        <v>1571558876.6700001</v>
      </c>
      <c r="W49" s="39">
        <v>10298</v>
      </c>
      <c r="X49" s="17">
        <f t="shared" si="8"/>
        <v>152608.16</v>
      </c>
      <c r="Y49" s="37">
        <f t="shared" si="9"/>
        <v>0.81739700000000004</v>
      </c>
      <c r="Z49" s="35">
        <v>90594</v>
      </c>
      <c r="AA49" s="37">
        <f t="shared" si="10"/>
        <v>0.78674999999999995</v>
      </c>
      <c r="AB49" s="37">
        <f t="shared" si="11"/>
        <v>0.191797</v>
      </c>
      <c r="AC49" s="71">
        <f t="shared" si="12"/>
        <v>0.191797</v>
      </c>
      <c r="AD49" s="38">
        <f t="shared" si="21"/>
        <v>0</v>
      </c>
      <c r="AE49" s="74">
        <f t="shared" si="22"/>
        <v>0.191797</v>
      </c>
      <c r="AF49" s="39">
        <v>0</v>
      </c>
      <c r="AG49" s="39">
        <v>0</v>
      </c>
      <c r="AH49" s="9">
        <f t="shared" si="13"/>
        <v>0</v>
      </c>
      <c r="AI49" s="11">
        <f t="shared" si="14"/>
        <v>0</v>
      </c>
      <c r="AJ49" s="11">
        <f t="shared" si="15"/>
        <v>3601680</v>
      </c>
      <c r="AK49" s="11">
        <f t="shared" si="16"/>
        <v>3601680</v>
      </c>
      <c r="AL49" s="35">
        <v>3403900</v>
      </c>
      <c r="AM49" s="11">
        <f t="shared" si="23"/>
        <v>197780</v>
      </c>
      <c r="AN49" s="72" t="str">
        <f t="shared" si="24"/>
        <v>Yes</v>
      </c>
      <c r="AO49" s="35">
        <v>3402125</v>
      </c>
      <c r="AP49" s="35">
        <f t="shared" si="17"/>
        <v>21083.348000000002</v>
      </c>
      <c r="AQ49" s="35">
        <f t="shared" si="18"/>
        <v>3423208.3480000002</v>
      </c>
      <c r="AR49" s="35">
        <f t="shared" si="19"/>
        <v>3423208.3480000002</v>
      </c>
      <c r="AS49" s="66"/>
      <c r="AT49" s="67"/>
      <c r="AU49" s="35"/>
      <c r="AV49" s="68"/>
      <c r="AW49" s="35"/>
      <c r="AX49" s="21"/>
      <c r="AZ49" s="21"/>
      <c r="BA49" s="21"/>
      <c r="BE49" s="21"/>
      <c r="BF49" s="21"/>
      <c r="BG49" s="21"/>
      <c r="BH49" s="21"/>
      <c r="BI49" s="21"/>
    </row>
    <row r="50" spans="1:61" x14ac:dyDescent="0.4">
      <c r="A50" s="8" t="s">
        <v>121</v>
      </c>
      <c r="B50" s="8"/>
      <c r="C50" s="25"/>
      <c r="D50" s="25"/>
      <c r="E50" s="25"/>
      <c r="F50" s="1">
        <v>9</v>
      </c>
      <c r="G50" s="39">
        <v>29</v>
      </c>
      <c r="H50" s="8">
        <v>24</v>
      </c>
      <c r="I50" s="3" t="s">
        <v>148</v>
      </c>
      <c r="J50" s="70"/>
      <c r="K50" s="39">
        <v>239.6</v>
      </c>
      <c r="L50" s="76"/>
      <c r="M50" s="34"/>
      <c r="N50" s="39">
        <v>101</v>
      </c>
      <c r="O50" s="65">
        <f t="shared" si="3"/>
        <v>0.4215358931552588</v>
      </c>
      <c r="P50" s="65">
        <f t="shared" si="4"/>
        <v>0</v>
      </c>
      <c r="Q50" s="35">
        <f t="shared" si="5"/>
        <v>0</v>
      </c>
      <c r="R50" s="35">
        <f t="shared" si="20"/>
        <v>0</v>
      </c>
      <c r="S50" s="39">
        <v>7</v>
      </c>
      <c r="T50" s="36">
        <f t="shared" si="6"/>
        <v>30.3</v>
      </c>
      <c r="U50" s="9">
        <f t="shared" si="7"/>
        <v>270.95</v>
      </c>
      <c r="V50" s="39">
        <v>268482585.67000002</v>
      </c>
      <c r="W50" s="39">
        <v>2241</v>
      </c>
      <c r="X50" s="17">
        <f t="shared" si="8"/>
        <v>119804.81</v>
      </c>
      <c r="Y50" s="37">
        <f t="shared" si="9"/>
        <v>0.64169600000000004</v>
      </c>
      <c r="Z50" s="35">
        <v>76932</v>
      </c>
      <c r="AA50" s="37">
        <f t="shared" si="10"/>
        <v>0.66810499999999995</v>
      </c>
      <c r="AB50" s="37">
        <f t="shared" si="11"/>
        <v>0.350381</v>
      </c>
      <c r="AC50" s="71">
        <f t="shared" si="12"/>
        <v>0.350381</v>
      </c>
      <c r="AD50" s="38">
        <f t="shared" si="21"/>
        <v>0</v>
      </c>
      <c r="AE50" s="74">
        <f t="shared" si="22"/>
        <v>0.350381</v>
      </c>
      <c r="AF50" s="39">
        <v>99</v>
      </c>
      <c r="AG50" s="39">
        <v>6</v>
      </c>
      <c r="AH50" s="9">
        <f t="shared" si="13"/>
        <v>46.15</v>
      </c>
      <c r="AI50" s="11">
        <f t="shared" si="14"/>
        <v>4569</v>
      </c>
      <c r="AJ50" s="11">
        <f t="shared" si="15"/>
        <v>1094134</v>
      </c>
      <c r="AK50" s="11">
        <f t="shared" si="16"/>
        <v>1098703</v>
      </c>
      <c r="AL50" s="35">
        <v>1856992</v>
      </c>
      <c r="AM50" s="11">
        <f t="shared" si="23"/>
        <v>758289</v>
      </c>
      <c r="AN50" s="72" t="str">
        <f t="shared" si="24"/>
        <v>No</v>
      </c>
      <c r="AO50" s="35">
        <v>1715312</v>
      </c>
      <c r="AP50" s="35">
        <f t="shared" si="17"/>
        <v>63165.473700000002</v>
      </c>
      <c r="AQ50" s="35">
        <f t="shared" si="18"/>
        <v>1652146.5263</v>
      </c>
      <c r="AR50" s="35">
        <f t="shared" si="19"/>
        <v>1652146.5263</v>
      </c>
      <c r="AS50" s="66"/>
      <c r="AT50" s="67"/>
      <c r="AU50" s="35"/>
      <c r="AV50" s="68"/>
      <c r="AW50" s="35"/>
      <c r="AX50" s="21"/>
      <c r="AZ50" s="21"/>
      <c r="BA50" s="21"/>
      <c r="BE50" s="21"/>
      <c r="BF50" s="21"/>
      <c r="BG50" s="21"/>
      <c r="BH50" s="21"/>
      <c r="BI50" s="21"/>
    </row>
    <row r="51" spans="1:61" x14ac:dyDescent="0.4">
      <c r="A51" s="8" t="s">
        <v>123</v>
      </c>
      <c r="B51" s="8"/>
      <c r="C51" s="25"/>
      <c r="D51" s="25"/>
      <c r="E51" s="25"/>
      <c r="F51" s="1">
        <v>4</v>
      </c>
      <c r="G51" s="39">
        <v>125</v>
      </c>
      <c r="H51" s="8">
        <v>25</v>
      </c>
      <c r="I51" s="3" t="s">
        <v>149</v>
      </c>
      <c r="J51" s="70"/>
      <c r="K51" s="39">
        <v>4152.42</v>
      </c>
      <c r="L51" s="75"/>
      <c r="M51" s="34"/>
      <c r="N51" s="39">
        <v>604</v>
      </c>
      <c r="O51" s="65">
        <f t="shared" si="3"/>
        <v>0.14545734776347286</v>
      </c>
      <c r="P51" s="65">
        <f t="shared" si="4"/>
        <v>0</v>
      </c>
      <c r="Q51" s="35">
        <f t="shared" si="5"/>
        <v>0</v>
      </c>
      <c r="R51" s="35">
        <f t="shared" si="20"/>
        <v>0</v>
      </c>
      <c r="S51" s="39">
        <v>55</v>
      </c>
      <c r="T51" s="36">
        <f t="shared" si="6"/>
        <v>181.2</v>
      </c>
      <c r="U51" s="9">
        <f t="shared" si="7"/>
        <v>4341.87</v>
      </c>
      <c r="V51" s="39">
        <v>4117091921</v>
      </c>
      <c r="W51" s="39">
        <v>29330</v>
      </c>
      <c r="X51" s="17">
        <f t="shared" si="8"/>
        <v>140371.35999999999</v>
      </c>
      <c r="Y51" s="37">
        <f t="shared" si="9"/>
        <v>0.75185400000000002</v>
      </c>
      <c r="Z51" s="35">
        <v>107579</v>
      </c>
      <c r="AA51" s="37">
        <f t="shared" si="10"/>
        <v>0.93425400000000003</v>
      </c>
      <c r="AB51" s="37">
        <f t="shared" si="11"/>
        <v>0.19342599999999999</v>
      </c>
      <c r="AC51" s="71">
        <f t="shared" si="12"/>
        <v>0.19342599999999999</v>
      </c>
      <c r="AD51" s="38">
        <f t="shared" si="21"/>
        <v>0</v>
      </c>
      <c r="AE51" s="74">
        <f t="shared" si="22"/>
        <v>0.19342599999999999</v>
      </c>
      <c r="AF51" s="39">
        <v>0</v>
      </c>
      <c r="AG51" s="39">
        <v>0</v>
      </c>
      <c r="AH51" s="9">
        <f t="shared" si="13"/>
        <v>0</v>
      </c>
      <c r="AI51" s="11">
        <f t="shared" si="14"/>
        <v>0</v>
      </c>
      <c r="AJ51" s="11">
        <f t="shared" si="15"/>
        <v>9679047</v>
      </c>
      <c r="AK51" s="11">
        <f t="shared" si="16"/>
        <v>9679047</v>
      </c>
      <c r="AL51" s="35">
        <v>9436665</v>
      </c>
      <c r="AM51" s="11">
        <f t="shared" si="23"/>
        <v>242382</v>
      </c>
      <c r="AN51" s="72" t="str">
        <f t="shared" si="24"/>
        <v>Yes</v>
      </c>
      <c r="AO51" s="35">
        <v>9313574</v>
      </c>
      <c r="AP51" s="35">
        <f t="shared" si="17"/>
        <v>25837.921200000001</v>
      </c>
      <c r="AQ51" s="35">
        <f t="shared" si="18"/>
        <v>9339411.9211999997</v>
      </c>
      <c r="AR51" s="35">
        <f t="shared" si="19"/>
        <v>9339411.9211999997</v>
      </c>
      <c r="AS51" s="66"/>
      <c r="AT51" s="67"/>
      <c r="AU51" s="35"/>
      <c r="AV51" s="68"/>
      <c r="AW51" s="35"/>
      <c r="AX51" s="21"/>
      <c r="AZ51" s="21"/>
      <c r="BA51" s="21"/>
      <c r="BE51" s="21"/>
      <c r="BF51" s="21"/>
      <c r="BG51" s="21"/>
      <c r="BH51" s="21"/>
      <c r="BI51" s="21"/>
    </row>
    <row r="52" spans="1:61" x14ac:dyDescent="0.4">
      <c r="A52" s="8" t="s">
        <v>121</v>
      </c>
      <c r="B52" s="8"/>
      <c r="C52" s="25"/>
      <c r="D52" s="25"/>
      <c r="E52" s="25"/>
      <c r="F52" s="1">
        <v>4</v>
      </c>
      <c r="G52" s="39">
        <v>134</v>
      </c>
      <c r="H52" s="8">
        <v>26</v>
      </c>
      <c r="I52" s="3" t="s">
        <v>150</v>
      </c>
      <c r="J52" s="70"/>
      <c r="K52" s="39">
        <v>405.43</v>
      </c>
      <c r="L52" s="75"/>
      <c r="M52" s="34"/>
      <c r="N52" s="39">
        <v>86</v>
      </c>
      <c r="O52" s="65">
        <f t="shared" si="3"/>
        <v>0.2121204646918087</v>
      </c>
      <c r="P52" s="65">
        <f t="shared" si="4"/>
        <v>0</v>
      </c>
      <c r="Q52" s="35">
        <f t="shared" si="5"/>
        <v>0</v>
      </c>
      <c r="R52" s="35">
        <f t="shared" si="20"/>
        <v>0</v>
      </c>
      <c r="S52" s="39">
        <v>6</v>
      </c>
      <c r="T52" s="36">
        <f t="shared" si="6"/>
        <v>25.8</v>
      </c>
      <c r="U52" s="9">
        <f t="shared" si="7"/>
        <v>432.13</v>
      </c>
      <c r="V52" s="39">
        <v>652916383</v>
      </c>
      <c r="W52" s="39">
        <v>4254</v>
      </c>
      <c r="X52" s="17">
        <f t="shared" si="8"/>
        <v>153482.93</v>
      </c>
      <c r="Y52" s="37">
        <f t="shared" si="9"/>
        <v>0.82208199999999998</v>
      </c>
      <c r="Z52" s="35">
        <v>86675</v>
      </c>
      <c r="AA52" s="37">
        <f t="shared" si="10"/>
        <v>0.75271600000000005</v>
      </c>
      <c r="AB52" s="37">
        <f t="shared" si="11"/>
        <v>0.19872799999999999</v>
      </c>
      <c r="AC52" s="71">
        <f t="shared" si="12"/>
        <v>0.19872799999999999</v>
      </c>
      <c r="AD52" s="38">
        <f t="shared" si="21"/>
        <v>0</v>
      </c>
      <c r="AE52" s="74">
        <f t="shared" si="22"/>
        <v>0.19872799999999999</v>
      </c>
      <c r="AF52" s="39">
        <v>212</v>
      </c>
      <c r="AG52" s="39">
        <v>6</v>
      </c>
      <c r="AH52" s="9">
        <f t="shared" si="13"/>
        <v>46.15</v>
      </c>
      <c r="AI52" s="11">
        <f t="shared" si="14"/>
        <v>9784</v>
      </c>
      <c r="AJ52" s="11">
        <f t="shared" si="15"/>
        <v>989725</v>
      </c>
      <c r="AK52" s="11">
        <f t="shared" si="16"/>
        <v>999509</v>
      </c>
      <c r="AL52" s="35">
        <v>659216</v>
      </c>
      <c r="AM52" s="11">
        <f t="shared" si="23"/>
        <v>340293</v>
      </c>
      <c r="AN52" s="72" t="str">
        <f t="shared" si="24"/>
        <v>Yes</v>
      </c>
      <c r="AO52" s="35">
        <v>732016</v>
      </c>
      <c r="AP52" s="35">
        <f t="shared" si="17"/>
        <v>36275.233800000002</v>
      </c>
      <c r="AQ52" s="35">
        <f t="shared" si="18"/>
        <v>768291.23380000005</v>
      </c>
      <c r="AR52" s="35">
        <f t="shared" si="19"/>
        <v>768291.23380000005</v>
      </c>
      <c r="AS52" s="66"/>
      <c r="AT52" s="67"/>
      <c r="AU52" s="35"/>
      <c r="AV52" s="68"/>
      <c r="AW52" s="35"/>
      <c r="AX52" s="21"/>
      <c r="AZ52" s="21"/>
      <c r="BA52" s="21"/>
      <c r="BE52" s="21"/>
      <c r="BF52" s="21"/>
      <c r="BG52" s="21"/>
      <c r="BH52" s="21"/>
      <c r="BI52" s="21"/>
    </row>
    <row r="53" spans="1:61" x14ac:dyDescent="0.4">
      <c r="A53" s="8" t="s">
        <v>127</v>
      </c>
      <c r="B53" s="8"/>
      <c r="C53" s="25"/>
      <c r="D53" s="25"/>
      <c r="E53" s="25"/>
      <c r="F53" s="1">
        <v>5</v>
      </c>
      <c r="G53" s="39">
        <v>108</v>
      </c>
      <c r="H53" s="8">
        <v>27</v>
      </c>
      <c r="I53" s="3" t="s">
        <v>151</v>
      </c>
      <c r="J53" s="70"/>
      <c r="K53" s="39">
        <v>1685.81</v>
      </c>
      <c r="L53" s="75"/>
      <c r="M53" s="34"/>
      <c r="N53" s="39">
        <v>618</v>
      </c>
      <c r="O53" s="65">
        <f t="shared" si="3"/>
        <v>0.36658935467223475</v>
      </c>
      <c r="P53" s="65">
        <f t="shared" si="4"/>
        <v>0</v>
      </c>
      <c r="Q53" s="35">
        <f t="shared" si="5"/>
        <v>0</v>
      </c>
      <c r="R53" s="35">
        <f t="shared" si="20"/>
        <v>0</v>
      </c>
      <c r="S53" s="39">
        <v>103</v>
      </c>
      <c r="T53" s="36">
        <f t="shared" si="6"/>
        <v>185.4</v>
      </c>
      <c r="U53" s="9">
        <f t="shared" si="7"/>
        <v>1886.66</v>
      </c>
      <c r="V53" s="39">
        <v>2264369567.6700001</v>
      </c>
      <c r="W53" s="39">
        <v>12957</v>
      </c>
      <c r="X53" s="17">
        <f t="shared" si="8"/>
        <v>174760.33</v>
      </c>
      <c r="Y53" s="37">
        <f t="shared" si="9"/>
        <v>0.93604799999999999</v>
      </c>
      <c r="Z53" s="35">
        <v>76509</v>
      </c>
      <c r="AA53" s="37">
        <f t="shared" si="10"/>
        <v>0.66443099999999999</v>
      </c>
      <c r="AB53" s="37">
        <f t="shared" si="11"/>
        <v>0.14543700000000001</v>
      </c>
      <c r="AC53" s="71">
        <f t="shared" si="12"/>
        <v>0.14543700000000001</v>
      </c>
      <c r="AD53" s="38">
        <f t="shared" si="21"/>
        <v>0</v>
      </c>
      <c r="AE53" s="74">
        <f t="shared" si="22"/>
        <v>0.14543700000000001</v>
      </c>
      <c r="AF53" s="39">
        <v>0</v>
      </c>
      <c r="AG53" s="39">
        <v>0</v>
      </c>
      <c r="AH53" s="9">
        <f t="shared" si="13"/>
        <v>0</v>
      </c>
      <c r="AI53" s="11">
        <f t="shared" si="14"/>
        <v>0</v>
      </c>
      <c r="AJ53" s="11">
        <f t="shared" si="15"/>
        <v>3162347</v>
      </c>
      <c r="AK53" s="11">
        <f t="shared" si="16"/>
        <v>3162347</v>
      </c>
      <c r="AL53" s="35">
        <v>6326998</v>
      </c>
      <c r="AM53" s="11">
        <f t="shared" si="23"/>
        <v>3164651</v>
      </c>
      <c r="AN53" s="72" t="str">
        <f t="shared" si="24"/>
        <v>No</v>
      </c>
      <c r="AO53" s="35">
        <v>5455699</v>
      </c>
      <c r="AP53" s="35">
        <f t="shared" si="17"/>
        <v>263615.42829999997</v>
      </c>
      <c r="AQ53" s="35">
        <f t="shared" si="18"/>
        <v>5192083.5717000002</v>
      </c>
      <c r="AR53" s="35">
        <f t="shared" si="19"/>
        <v>5192083.5717000002</v>
      </c>
      <c r="AS53" s="66"/>
      <c r="AT53" s="67"/>
      <c r="AU53" s="35"/>
      <c r="AV53" s="68"/>
      <c r="AW53" s="35"/>
      <c r="AX53" s="21"/>
      <c r="AZ53" s="21"/>
      <c r="BA53" s="21"/>
      <c r="BE53" s="21"/>
      <c r="BF53" s="21"/>
      <c r="BG53" s="21"/>
      <c r="BH53" s="21"/>
      <c r="BI53" s="21"/>
    </row>
    <row r="54" spans="1:61" x14ac:dyDescent="0.4">
      <c r="A54" s="8" t="s">
        <v>127</v>
      </c>
      <c r="B54" s="8"/>
      <c r="C54" s="25"/>
      <c r="D54" s="25"/>
      <c r="E54" s="25"/>
      <c r="F54" s="1">
        <v>6</v>
      </c>
      <c r="G54" s="39">
        <v>62</v>
      </c>
      <c r="H54" s="8">
        <v>28</v>
      </c>
      <c r="I54" s="3" t="s">
        <v>152</v>
      </c>
      <c r="J54" s="70"/>
      <c r="K54" s="39">
        <v>2383.65</v>
      </c>
      <c r="L54" s="75"/>
      <c r="M54" s="34"/>
      <c r="N54" s="39">
        <v>562</v>
      </c>
      <c r="O54" s="65">
        <f t="shared" si="3"/>
        <v>0.23577286933903885</v>
      </c>
      <c r="P54" s="65">
        <f t="shared" si="4"/>
        <v>0</v>
      </c>
      <c r="Q54" s="35">
        <f t="shared" si="5"/>
        <v>0</v>
      </c>
      <c r="R54" s="35">
        <f t="shared" si="20"/>
        <v>0</v>
      </c>
      <c r="S54" s="39">
        <v>14</v>
      </c>
      <c r="T54" s="36">
        <f t="shared" si="6"/>
        <v>168.6</v>
      </c>
      <c r="U54" s="9">
        <f t="shared" si="7"/>
        <v>2554.35</v>
      </c>
      <c r="V54" s="39">
        <v>1744960350.6700001</v>
      </c>
      <c r="W54" s="39">
        <v>16029</v>
      </c>
      <c r="X54" s="17">
        <f t="shared" si="8"/>
        <v>108862.71</v>
      </c>
      <c r="Y54" s="37">
        <f t="shared" si="9"/>
        <v>0.58308800000000005</v>
      </c>
      <c r="Z54" s="35">
        <v>101031</v>
      </c>
      <c r="AA54" s="37">
        <f t="shared" si="10"/>
        <v>0.87738899999999997</v>
      </c>
      <c r="AB54" s="37">
        <f t="shared" si="11"/>
        <v>0.32862200000000003</v>
      </c>
      <c r="AC54" s="71">
        <f t="shared" si="12"/>
        <v>0.32862200000000003</v>
      </c>
      <c r="AD54" s="38">
        <f t="shared" si="21"/>
        <v>0</v>
      </c>
      <c r="AE54" s="74">
        <f t="shared" si="22"/>
        <v>0.32862200000000003</v>
      </c>
      <c r="AF54" s="39">
        <v>0</v>
      </c>
      <c r="AG54" s="39">
        <v>0</v>
      </c>
      <c r="AH54" s="9">
        <f t="shared" si="13"/>
        <v>0</v>
      </c>
      <c r="AI54" s="11">
        <f t="shared" si="14"/>
        <v>0</v>
      </c>
      <c r="AJ54" s="11">
        <f t="shared" si="15"/>
        <v>9674265</v>
      </c>
      <c r="AK54" s="11">
        <f t="shared" si="16"/>
        <v>9674265</v>
      </c>
      <c r="AL54" s="35">
        <v>13503310</v>
      </c>
      <c r="AM54" s="11">
        <f t="shared" si="23"/>
        <v>3829045</v>
      </c>
      <c r="AN54" s="72" t="str">
        <f t="shared" si="24"/>
        <v>No</v>
      </c>
      <c r="AO54" s="35">
        <v>12359177</v>
      </c>
      <c r="AP54" s="35">
        <f t="shared" si="17"/>
        <v>318959.4485</v>
      </c>
      <c r="AQ54" s="35">
        <f t="shared" si="18"/>
        <v>12040217.5515</v>
      </c>
      <c r="AR54" s="35">
        <f t="shared" si="19"/>
        <v>12040217.5515</v>
      </c>
      <c r="AS54" s="66"/>
      <c r="AT54" s="67"/>
      <c r="AU54" s="35"/>
      <c r="AV54" s="68"/>
      <c r="AW54" s="35"/>
      <c r="AX54" s="21"/>
      <c r="AZ54" s="21"/>
      <c r="BA54" s="21"/>
      <c r="BE54" s="21"/>
      <c r="BF54" s="21"/>
      <c r="BG54" s="21"/>
      <c r="BH54" s="21"/>
      <c r="BI54" s="21"/>
    </row>
    <row r="55" spans="1:61" x14ac:dyDescent="0.4">
      <c r="A55" s="8" t="s">
        <v>121</v>
      </c>
      <c r="B55" s="8"/>
      <c r="C55" s="25"/>
      <c r="D55" s="25"/>
      <c r="E55" s="25"/>
      <c r="F55" s="1">
        <v>5</v>
      </c>
      <c r="G55" s="39">
        <v>43</v>
      </c>
      <c r="H55" s="8">
        <v>29</v>
      </c>
      <c r="I55" s="3" t="s">
        <v>153</v>
      </c>
      <c r="J55" s="70"/>
      <c r="K55" s="39">
        <v>171.43</v>
      </c>
      <c r="L55" s="75"/>
      <c r="M55" s="34"/>
      <c r="N55" s="39">
        <v>44</v>
      </c>
      <c r="O55" s="65">
        <f t="shared" si="3"/>
        <v>0.25666452779560167</v>
      </c>
      <c r="P55" s="65">
        <f t="shared" si="4"/>
        <v>0</v>
      </c>
      <c r="Q55" s="35">
        <f t="shared" si="5"/>
        <v>0</v>
      </c>
      <c r="R55" s="35">
        <f t="shared" si="20"/>
        <v>0</v>
      </c>
      <c r="S55" s="39">
        <v>0</v>
      </c>
      <c r="T55" s="36">
        <f t="shared" si="6"/>
        <v>13.2</v>
      </c>
      <c r="U55" s="9">
        <f t="shared" si="7"/>
        <v>184.63</v>
      </c>
      <c r="V55" s="39">
        <v>258518762.33000001</v>
      </c>
      <c r="W55" s="39">
        <v>1413</v>
      </c>
      <c r="X55" s="17">
        <f t="shared" si="8"/>
        <v>182957.37</v>
      </c>
      <c r="Y55" s="37">
        <f t="shared" si="9"/>
        <v>0.97995299999999996</v>
      </c>
      <c r="Z55" s="35">
        <v>84583</v>
      </c>
      <c r="AA55" s="37">
        <f t="shared" si="10"/>
        <v>0.73454900000000001</v>
      </c>
      <c r="AB55" s="37">
        <f t="shared" si="11"/>
        <v>9.3668000000000001E-2</v>
      </c>
      <c r="AC55" s="71">
        <f t="shared" si="12"/>
        <v>9.3668000000000001E-2</v>
      </c>
      <c r="AD55" s="38">
        <f t="shared" si="21"/>
        <v>0</v>
      </c>
      <c r="AE55" s="74">
        <f t="shared" si="22"/>
        <v>9.3668000000000001E-2</v>
      </c>
      <c r="AF55" s="39">
        <v>90</v>
      </c>
      <c r="AG55" s="39">
        <v>6</v>
      </c>
      <c r="AH55" s="9">
        <f t="shared" si="13"/>
        <v>46.15</v>
      </c>
      <c r="AI55" s="11">
        <f t="shared" si="14"/>
        <v>4154</v>
      </c>
      <c r="AJ55" s="11">
        <f t="shared" si="15"/>
        <v>199312</v>
      </c>
      <c r="AK55" s="11">
        <f t="shared" si="16"/>
        <v>203466</v>
      </c>
      <c r="AL55" s="35">
        <v>491388</v>
      </c>
      <c r="AM55" s="11">
        <f t="shared" si="23"/>
        <v>287922</v>
      </c>
      <c r="AN55" s="72" t="str">
        <f t="shared" si="24"/>
        <v>No</v>
      </c>
      <c r="AO55" s="35">
        <v>427896</v>
      </c>
      <c r="AP55" s="35">
        <f t="shared" si="17"/>
        <v>23983.902600000001</v>
      </c>
      <c r="AQ55" s="35">
        <f t="shared" si="18"/>
        <v>403912.09739999997</v>
      </c>
      <c r="AR55" s="35">
        <f t="shared" si="19"/>
        <v>403912.09739999997</v>
      </c>
      <c r="AS55" s="66"/>
      <c r="AT55" s="67"/>
      <c r="AU55" s="35"/>
      <c r="AV55" s="68"/>
      <c r="AW55" s="35"/>
      <c r="AX55" s="21"/>
      <c r="AZ55" s="21"/>
      <c r="BA55" s="21"/>
      <c r="BE55" s="21"/>
      <c r="BF55" s="21"/>
      <c r="BG55" s="21"/>
      <c r="BH55" s="21"/>
      <c r="BI55" s="21"/>
    </row>
    <row r="56" spans="1:61" x14ac:dyDescent="0.4">
      <c r="A56" s="8" t="s">
        <v>117</v>
      </c>
      <c r="B56" s="8"/>
      <c r="C56" s="25"/>
      <c r="D56" s="25"/>
      <c r="E56" s="25"/>
      <c r="F56" s="1">
        <v>6</v>
      </c>
      <c r="G56" s="39">
        <v>90</v>
      </c>
      <c r="H56" s="8">
        <v>30</v>
      </c>
      <c r="I56" s="3" t="s">
        <v>154</v>
      </c>
      <c r="J56" s="70"/>
      <c r="K56" s="39">
        <v>620.04999999999995</v>
      </c>
      <c r="L56" s="75"/>
      <c r="M56" s="34"/>
      <c r="N56" s="39">
        <v>151</v>
      </c>
      <c r="O56" s="65">
        <f t="shared" si="3"/>
        <v>0.2435287476816386</v>
      </c>
      <c r="P56" s="65">
        <f t="shared" si="4"/>
        <v>0</v>
      </c>
      <c r="Q56" s="35">
        <f t="shared" si="5"/>
        <v>0</v>
      </c>
      <c r="R56" s="35">
        <f t="shared" si="20"/>
        <v>0</v>
      </c>
      <c r="S56" s="39">
        <v>6</v>
      </c>
      <c r="T56" s="36">
        <f t="shared" si="6"/>
        <v>45.3</v>
      </c>
      <c r="U56" s="9">
        <f t="shared" si="7"/>
        <v>666.24999999999989</v>
      </c>
      <c r="V56" s="39">
        <v>711493262.33000004</v>
      </c>
      <c r="W56" s="39">
        <v>5418</v>
      </c>
      <c r="X56" s="17">
        <f t="shared" si="8"/>
        <v>131320.28</v>
      </c>
      <c r="Y56" s="37">
        <f t="shared" si="9"/>
        <v>0.70337499999999997</v>
      </c>
      <c r="Z56" s="35">
        <v>100179</v>
      </c>
      <c r="AA56" s="37">
        <f t="shared" si="10"/>
        <v>0.86999000000000004</v>
      </c>
      <c r="AB56" s="37">
        <f t="shared" si="11"/>
        <v>0.246641</v>
      </c>
      <c r="AC56" s="71">
        <f t="shared" si="12"/>
        <v>0.246641</v>
      </c>
      <c r="AD56" s="38">
        <f t="shared" si="21"/>
        <v>0</v>
      </c>
      <c r="AE56" s="74">
        <f t="shared" si="22"/>
        <v>0.246641</v>
      </c>
      <c r="AF56" s="39">
        <v>0</v>
      </c>
      <c r="AG56" s="39">
        <v>0</v>
      </c>
      <c r="AH56" s="9">
        <f t="shared" si="13"/>
        <v>0</v>
      </c>
      <c r="AI56" s="11">
        <f t="shared" si="14"/>
        <v>0</v>
      </c>
      <c r="AJ56" s="11">
        <f t="shared" si="15"/>
        <v>1893841</v>
      </c>
      <c r="AK56" s="11">
        <f t="shared" si="16"/>
        <v>1893841</v>
      </c>
      <c r="AL56" s="35">
        <v>2523462</v>
      </c>
      <c r="AM56" s="11">
        <f t="shared" si="23"/>
        <v>629621</v>
      </c>
      <c r="AN56" s="72" t="str">
        <f t="shared" si="24"/>
        <v>No</v>
      </c>
      <c r="AO56" s="35">
        <v>2368637</v>
      </c>
      <c r="AP56" s="35">
        <f t="shared" si="17"/>
        <v>52447.429299999996</v>
      </c>
      <c r="AQ56" s="35">
        <f t="shared" si="18"/>
        <v>2316189.5707</v>
      </c>
      <c r="AR56" s="35">
        <f t="shared" si="19"/>
        <v>2316189.5707</v>
      </c>
      <c r="AS56" s="66"/>
      <c r="AT56" s="67"/>
      <c r="AU56" s="35"/>
      <c r="AV56" s="68"/>
      <c r="AW56" s="35"/>
      <c r="AX56" s="21"/>
      <c r="AZ56" s="21"/>
      <c r="BA56" s="21"/>
      <c r="BE56" s="21"/>
      <c r="BF56" s="21"/>
      <c r="BG56" s="21"/>
      <c r="BH56" s="21"/>
      <c r="BI56" s="21"/>
    </row>
    <row r="57" spans="1:61" x14ac:dyDescent="0.4">
      <c r="A57" s="8" t="s">
        <v>117</v>
      </c>
      <c r="B57" s="8"/>
      <c r="C57" s="25"/>
      <c r="D57" s="25"/>
      <c r="E57" s="25"/>
      <c r="F57" s="1">
        <v>1</v>
      </c>
      <c r="G57" s="39">
        <v>156</v>
      </c>
      <c r="H57" s="8">
        <v>31</v>
      </c>
      <c r="I57" s="3" t="s">
        <v>155</v>
      </c>
      <c r="J57" s="70"/>
      <c r="K57" s="39">
        <v>110.4</v>
      </c>
      <c r="L57" s="75"/>
      <c r="M57" s="34"/>
      <c r="N57" s="39">
        <v>28</v>
      </c>
      <c r="O57" s="65">
        <f t="shared" si="3"/>
        <v>0.25362318840579706</v>
      </c>
      <c r="P57" s="65">
        <f t="shared" si="4"/>
        <v>0</v>
      </c>
      <c r="Q57" s="35">
        <f t="shared" si="5"/>
        <v>0</v>
      </c>
      <c r="R57" s="35">
        <f t="shared" si="20"/>
        <v>0</v>
      </c>
      <c r="S57" s="39">
        <v>6</v>
      </c>
      <c r="T57" s="36">
        <f t="shared" si="6"/>
        <v>8.4</v>
      </c>
      <c r="U57" s="9">
        <f t="shared" si="7"/>
        <v>119.70000000000002</v>
      </c>
      <c r="V57" s="39">
        <v>552616679.66999996</v>
      </c>
      <c r="W57" s="39">
        <v>1376</v>
      </c>
      <c r="X57" s="17">
        <f t="shared" si="8"/>
        <v>401610.96</v>
      </c>
      <c r="Y57" s="37">
        <f t="shared" si="9"/>
        <v>2.1511010000000002</v>
      </c>
      <c r="Z57" s="35">
        <v>76563</v>
      </c>
      <c r="AA57" s="37">
        <f t="shared" si="10"/>
        <v>0.66490000000000005</v>
      </c>
      <c r="AB57" s="37">
        <f t="shared" si="11"/>
        <v>-0.70524100000000001</v>
      </c>
      <c r="AC57" s="71">
        <f t="shared" si="12"/>
        <v>0.01</v>
      </c>
      <c r="AD57" s="38">
        <f t="shared" si="21"/>
        <v>0</v>
      </c>
      <c r="AE57" s="74">
        <f t="shared" si="22"/>
        <v>0.01</v>
      </c>
      <c r="AF57" s="39">
        <v>34</v>
      </c>
      <c r="AG57" s="39">
        <v>4</v>
      </c>
      <c r="AH57" s="9">
        <f t="shared" si="13"/>
        <v>30.77</v>
      </c>
      <c r="AI57" s="11">
        <f t="shared" si="14"/>
        <v>1046</v>
      </c>
      <c r="AJ57" s="11">
        <f t="shared" si="15"/>
        <v>13795</v>
      </c>
      <c r="AK57" s="11">
        <f t="shared" si="16"/>
        <v>14841</v>
      </c>
      <c r="AL57" s="35">
        <v>6976</v>
      </c>
      <c r="AM57" s="11">
        <f t="shared" si="23"/>
        <v>7865</v>
      </c>
      <c r="AN57" s="72" t="str">
        <f t="shared" si="24"/>
        <v>Yes</v>
      </c>
      <c r="AO57" s="35">
        <v>8311</v>
      </c>
      <c r="AP57" s="35">
        <f t="shared" si="17"/>
        <v>838.40899999999999</v>
      </c>
      <c r="AQ57" s="35">
        <f t="shared" si="18"/>
        <v>9149.4089999999997</v>
      </c>
      <c r="AR57" s="35">
        <f t="shared" si="19"/>
        <v>9149.4089999999997</v>
      </c>
      <c r="AS57" s="66"/>
      <c r="AT57" s="67"/>
      <c r="AU57" s="35"/>
      <c r="AV57" s="68"/>
      <c r="AW57" s="35"/>
      <c r="AX57" s="21"/>
      <c r="AZ57" s="21"/>
      <c r="BA57" s="21"/>
      <c r="BE57" s="21"/>
      <c r="BF57" s="21"/>
      <c r="BG57" s="21"/>
      <c r="BH57" s="21"/>
      <c r="BI57" s="21"/>
    </row>
    <row r="58" spans="1:61" x14ac:dyDescent="0.4">
      <c r="A58" s="8" t="s">
        <v>121</v>
      </c>
      <c r="B58" s="8"/>
      <c r="C58" s="25"/>
      <c r="D58" s="25"/>
      <c r="E58" s="25"/>
      <c r="F58" s="1">
        <v>7</v>
      </c>
      <c r="G58" s="39">
        <v>94</v>
      </c>
      <c r="H58" s="8">
        <v>32</v>
      </c>
      <c r="I58" s="3" t="s">
        <v>156</v>
      </c>
      <c r="J58" s="70"/>
      <c r="K58" s="39">
        <v>1689.73</v>
      </c>
      <c r="L58" s="75"/>
      <c r="M58" s="34"/>
      <c r="N58" s="39">
        <v>442</v>
      </c>
      <c r="O58" s="65">
        <f t="shared" si="3"/>
        <v>0.26158025246637034</v>
      </c>
      <c r="P58" s="65">
        <f t="shared" si="4"/>
        <v>0</v>
      </c>
      <c r="Q58" s="35">
        <f t="shared" si="5"/>
        <v>0</v>
      </c>
      <c r="R58" s="35">
        <f t="shared" si="20"/>
        <v>0</v>
      </c>
      <c r="S58" s="39">
        <v>15</v>
      </c>
      <c r="T58" s="36">
        <f t="shared" si="6"/>
        <v>132.6</v>
      </c>
      <c r="U58" s="9">
        <f t="shared" si="7"/>
        <v>1824.58</v>
      </c>
      <c r="V58" s="39">
        <v>1454046208.3299999</v>
      </c>
      <c r="W58" s="39">
        <v>12439</v>
      </c>
      <c r="X58" s="17">
        <f t="shared" si="8"/>
        <v>116894.14</v>
      </c>
      <c r="Y58" s="37">
        <f t="shared" si="9"/>
        <v>0.62610600000000005</v>
      </c>
      <c r="Z58" s="35">
        <v>88562</v>
      </c>
      <c r="AA58" s="37">
        <f t="shared" si="10"/>
        <v>0.76910400000000001</v>
      </c>
      <c r="AB58" s="37">
        <f t="shared" si="11"/>
        <v>0.33099499999999998</v>
      </c>
      <c r="AC58" s="71">
        <f t="shared" si="12"/>
        <v>0.33099499999999998</v>
      </c>
      <c r="AD58" s="38">
        <f t="shared" si="21"/>
        <v>0</v>
      </c>
      <c r="AE58" s="74">
        <f t="shared" si="22"/>
        <v>0.33099499999999998</v>
      </c>
      <c r="AF58" s="39">
        <v>0</v>
      </c>
      <c r="AG58" s="39">
        <v>0</v>
      </c>
      <c r="AH58" s="9">
        <f t="shared" si="13"/>
        <v>0</v>
      </c>
      <c r="AI58" s="11">
        <f t="shared" si="14"/>
        <v>0</v>
      </c>
      <c r="AJ58" s="11">
        <f t="shared" si="15"/>
        <v>6960257</v>
      </c>
      <c r="AK58" s="11">
        <f t="shared" si="16"/>
        <v>6960257</v>
      </c>
      <c r="AL58" s="35">
        <v>8756165</v>
      </c>
      <c r="AM58" s="11">
        <f t="shared" si="23"/>
        <v>1795908</v>
      </c>
      <c r="AN58" s="72" t="str">
        <f t="shared" si="24"/>
        <v>No</v>
      </c>
      <c r="AO58" s="35">
        <v>8102510</v>
      </c>
      <c r="AP58" s="35">
        <f t="shared" si="17"/>
        <v>149599.13639999999</v>
      </c>
      <c r="AQ58" s="35">
        <f t="shared" si="18"/>
        <v>7952910.8635999998</v>
      </c>
      <c r="AR58" s="35">
        <f t="shared" si="19"/>
        <v>7952910.8635999998</v>
      </c>
      <c r="AS58" s="66"/>
      <c r="AT58" s="67"/>
      <c r="AU58" s="35"/>
      <c r="AV58" s="68"/>
      <c r="AW58" s="35"/>
      <c r="AX58" s="21"/>
      <c r="AZ58" s="21"/>
      <c r="BA58" s="21"/>
      <c r="BE58" s="21"/>
      <c r="BF58" s="21"/>
      <c r="BG58" s="21"/>
      <c r="BH58" s="21"/>
      <c r="BI58" s="21"/>
    </row>
    <row r="59" spans="1:61" x14ac:dyDescent="0.4">
      <c r="A59" s="8" t="s">
        <v>127</v>
      </c>
      <c r="B59" s="8"/>
      <c r="C59" s="25"/>
      <c r="D59" s="25"/>
      <c r="E59" s="25"/>
      <c r="F59" s="1">
        <v>6</v>
      </c>
      <c r="G59" s="39">
        <v>73</v>
      </c>
      <c r="H59" s="8">
        <v>33</v>
      </c>
      <c r="I59" s="3" t="s">
        <v>157</v>
      </c>
      <c r="J59" s="70"/>
      <c r="K59" s="39">
        <v>2061.83</v>
      </c>
      <c r="L59" s="75"/>
      <c r="M59" s="34"/>
      <c r="N59" s="39">
        <v>469</v>
      </c>
      <c r="O59" s="65">
        <f t="shared" si="3"/>
        <v>0.22746783197450809</v>
      </c>
      <c r="P59" s="65">
        <f t="shared" si="4"/>
        <v>0</v>
      </c>
      <c r="Q59" s="35">
        <f t="shared" si="5"/>
        <v>0</v>
      </c>
      <c r="R59" s="35">
        <f t="shared" si="20"/>
        <v>0</v>
      </c>
      <c r="S59" s="39">
        <v>92</v>
      </c>
      <c r="T59" s="36">
        <f t="shared" ref="T59:T90" si="25">ROUND(N59*$T$2,2)</f>
        <v>140.69999999999999</v>
      </c>
      <c r="U59" s="9">
        <f t="shared" ref="U59:U90" si="26">K59+T59+0.15*S59+0.05*Q59</f>
        <v>2216.33</v>
      </c>
      <c r="V59" s="39">
        <v>2019007346.6700001</v>
      </c>
      <c r="W59" s="39">
        <v>13956</v>
      </c>
      <c r="X59" s="17">
        <f t="shared" si="8"/>
        <v>144669.49</v>
      </c>
      <c r="Y59" s="37">
        <f t="shared" si="9"/>
        <v>0.77487600000000001</v>
      </c>
      <c r="Z59" s="35">
        <v>85856</v>
      </c>
      <c r="AA59" s="37">
        <f t="shared" si="10"/>
        <v>0.74560400000000004</v>
      </c>
      <c r="AB59" s="37">
        <f t="shared" si="11"/>
        <v>0.233906</v>
      </c>
      <c r="AC59" s="71">
        <f t="shared" ref="AC59:AC90" si="27">IF(C59=1,MAX($T$7,AB59),MAX($T$6,AB59))</f>
        <v>0.233906</v>
      </c>
      <c r="AD59" s="38">
        <f t="shared" si="21"/>
        <v>0</v>
      </c>
      <c r="AE59" s="74">
        <f t="shared" si="22"/>
        <v>0.233906</v>
      </c>
      <c r="AF59" s="39">
        <v>0</v>
      </c>
      <c r="AG59" s="39">
        <v>0</v>
      </c>
      <c r="AH59" s="9">
        <f t="shared" si="13"/>
        <v>0</v>
      </c>
      <c r="AI59" s="11">
        <f t="shared" si="14"/>
        <v>0</v>
      </c>
      <c r="AJ59" s="11">
        <f t="shared" si="15"/>
        <v>5974708</v>
      </c>
      <c r="AK59" s="11">
        <f t="shared" si="16"/>
        <v>5974708</v>
      </c>
      <c r="AL59" s="35">
        <v>4646922</v>
      </c>
      <c r="AM59" s="11">
        <f t="shared" si="23"/>
        <v>1327786</v>
      </c>
      <c r="AN59" s="72" t="str">
        <f t="shared" si="24"/>
        <v>Yes</v>
      </c>
      <c r="AO59" s="35">
        <v>4835861</v>
      </c>
      <c r="AP59" s="35">
        <f t="shared" ref="AP59:AP90" si="28">IF(AN59="Yes",+AM59*$L$9,+AM59*$L$10)</f>
        <v>141541.98759999999</v>
      </c>
      <c r="AQ59" s="35">
        <f t="shared" ref="AQ59:AQ90" si="29">IF(AN59="Yes",+AO59+AP59,+AO59-AP59)</f>
        <v>4977402.9875999996</v>
      </c>
      <c r="AR59" s="35">
        <f t="shared" ref="AR59:AR90" si="30">IF(C59=1,MAX(AQ59,AL59),AQ59)</f>
        <v>4977402.9875999996</v>
      </c>
      <c r="AS59" s="66"/>
      <c r="AT59" s="67"/>
      <c r="AU59" s="35"/>
      <c r="AV59" s="68"/>
      <c r="AW59" s="35"/>
      <c r="AX59" s="21"/>
      <c r="AZ59" s="21"/>
      <c r="BA59" s="21"/>
      <c r="BE59" s="21"/>
      <c r="BF59" s="21"/>
      <c r="BG59" s="21"/>
      <c r="BH59" s="21"/>
      <c r="BI59" s="21"/>
    </row>
    <row r="60" spans="1:61" x14ac:dyDescent="0.4">
      <c r="A60" s="8" t="s">
        <v>119</v>
      </c>
      <c r="B60" s="8">
        <v>1</v>
      </c>
      <c r="C60" s="25">
        <v>1</v>
      </c>
      <c r="D60" s="25">
        <v>1</v>
      </c>
      <c r="E60" s="25"/>
      <c r="F60" s="1">
        <v>8</v>
      </c>
      <c r="G60" s="39">
        <v>59</v>
      </c>
      <c r="H60" s="8">
        <v>34</v>
      </c>
      <c r="I60" s="3" t="s">
        <v>158</v>
      </c>
      <c r="J60" s="70"/>
      <c r="K60" s="39">
        <v>11729.03</v>
      </c>
      <c r="L60" s="75"/>
      <c r="M60" s="34"/>
      <c r="N60" s="39">
        <v>6202</v>
      </c>
      <c r="O60" s="65">
        <f t="shared" si="3"/>
        <v>0.52877347913680839</v>
      </c>
      <c r="P60" s="65">
        <f t="shared" si="4"/>
        <v>0</v>
      </c>
      <c r="Q60" s="35">
        <f t="shared" si="5"/>
        <v>0</v>
      </c>
      <c r="R60" s="35">
        <f t="shared" si="20"/>
        <v>0</v>
      </c>
      <c r="S60" s="39">
        <v>3328</v>
      </c>
      <c r="T60" s="36">
        <f t="shared" si="25"/>
        <v>1860.6</v>
      </c>
      <c r="U60" s="9">
        <f t="shared" si="26"/>
        <v>14088.830000000002</v>
      </c>
      <c r="V60" s="39">
        <v>10798677506.33</v>
      </c>
      <c r="W60" s="39">
        <v>85246</v>
      </c>
      <c r="X60" s="17">
        <f t="shared" si="8"/>
        <v>126676.65</v>
      </c>
      <c r="Y60" s="37">
        <f t="shared" si="9"/>
        <v>0.67850299999999997</v>
      </c>
      <c r="Z60" s="35">
        <v>68068</v>
      </c>
      <c r="AA60" s="37">
        <f t="shared" si="10"/>
        <v>0.59112699999999996</v>
      </c>
      <c r="AB60" s="37">
        <f t="shared" si="11"/>
        <v>0.34771000000000002</v>
      </c>
      <c r="AC60" s="71">
        <f t="shared" si="27"/>
        <v>0.34771000000000002</v>
      </c>
      <c r="AD60" s="38">
        <f t="shared" si="21"/>
        <v>0</v>
      </c>
      <c r="AE60" s="74">
        <f t="shared" si="22"/>
        <v>0.34771000000000002</v>
      </c>
      <c r="AF60" s="39">
        <v>0</v>
      </c>
      <c r="AG60" s="39">
        <v>0</v>
      </c>
      <c r="AH60" s="9">
        <f t="shared" si="13"/>
        <v>0</v>
      </c>
      <c r="AI60" s="11">
        <f t="shared" si="14"/>
        <v>0</v>
      </c>
      <c r="AJ60" s="11">
        <f t="shared" si="15"/>
        <v>56458982</v>
      </c>
      <c r="AK60" s="11">
        <f t="shared" si="16"/>
        <v>56458982</v>
      </c>
      <c r="AL60" s="35">
        <v>31290480</v>
      </c>
      <c r="AM60" s="11">
        <f t="shared" si="23"/>
        <v>25168502</v>
      </c>
      <c r="AN60" s="72" t="str">
        <f t="shared" si="24"/>
        <v>Yes</v>
      </c>
      <c r="AO60" s="35">
        <v>35015511</v>
      </c>
      <c r="AP60" s="35">
        <f t="shared" si="28"/>
        <v>2682962.3132000002</v>
      </c>
      <c r="AQ60" s="35">
        <f t="shared" si="29"/>
        <v>37698473.313199997</v>
      </c>
      <c r="AR60" s="35">
        <f t="shared" si="30"/>
        <v>37698473.313199997</v>
      </c>
      <c r="AS60" s="66"/>
      <c r="AT60" s="67"/>
      <c r="AU60" s="35"/>
      <c r="AV60" s="68"/>
      <c r="AW60" s="35"/>
      <c r="AX60" s="21"/>
      <c r="AZ60" s="21"/>
      <c r="BA60" s="21"/>
      <c r="BE60" s="21"/>
      <c r="BF60" s="21"/>
      <c r="BG60" s="21"/>
      <c r="BH60" s="21"/>
      <c r="BI60" s="21"/>
    </row>
    <row r="61" spans="1:61" x14ac:dyDescent="0.4">
      <c r="A61" s="8" t="s">
        <v>159</v>
      </c>
      <c r="B61" s="8"/>
      <c r="C61" s="25"/>
      <c r="D61" s="25"/>
      <c r="E61" s="25"/>
      <c r="F61" s="1">
        <v>1</v>
      </c>
      <c r="G61" s="39">
        <v>167</v>
      </c>
      <c r="H61" s="8">
        <v>35</v>
      </c>
      <c r="I61" s="3" t="s">
        <v>160</v>
      </c>
      <c r="J61" s="70"/>
      <c r="K61" s="39">
        <v>4729.12</v>
      </c>
      <c r="L61" s="75"/>
      <c r="M61" s="34"/>
      <c r="N61" s="39">
        <v>131</v>
      </c>
      <c r="O61" s="65">
        <f t="shared" si="3"/>
        <v>2.7700713874885815E-2</v>
      </c>
      <c r="P61" s="65">
        <f t="shared" si="4"/>
        <v>0</v>
      </c>
      <c r="Q61" s="35">
        <f t="shared" si="5"/>
        <v>0</v>
      </c>
      <c r="R61" s="35">
        <f t="shared" si="20"/>
        <v>0</v>
      </c>
      <c r="S61" s="39">
        <v>63</v>
      </c>
      <c r="T61" s="36">
        <f t="shared" si="25"/>
        <v>39.299999999999997</v>
      </c>
      <c r="U61" s="9">
        <f t="shared" si="26"/>
        <v>4777.87</v>
      </c>
      <c r="V61" s="39">
        <v>13317654544</v>
      </c>
      <c r="W61" s="39">
        <v>21887</v>
      </c>
      <c r="X61" s="17">
        <f t="shared" si="8"/>
        <v>608473.27</v>
      </c>
      <c r="Y61" s="37">
        <f t="shared" si="9"/>
        <v>3.259093</v>
      </c>
      <c r="Z61" s="35">
        <v>208848</v>
      </c>
      <c r="AA61" s="37">
        <f t="shared" si="10"/>
        <v>1.8137099999999999</v>
      </c>
      <c r="AB61" s="37">
        <f t="shared" si="11"/>
        <v>-1.8254779999999999</v>
      </c>
      <c r="AC61" s="71">
        <f t="shared" si="27"/>
        <v>0.01</v>
      </c>
      <c r="AD61" s="38">
        <f t="shared" si="21"/>
        <v>0</v>
      </c>
      <c r="AE61" s="74">
        <f t="shared" si="22"/>
        <v>0.01</v>
      </c>
      <c r="AF61" s="39">
        <v>0</v>
      </c>
      <c r="AG61" s="39">
        <v>0</v>
      </c>
      <c r="AH61" s="9">
        <f t="shared" si="13"/>
        <v>0</v>
      </c>
      <c r="AI61" s="11">
        <f t="shared" si="14"/>
        <v>0</v>
      </c>
      <c r="AJ61" s="11">
        <f t="shared" si="15"/>
        <v>550650</v>
      </c>
      <c r="AK61" s="11">
        <f t="shared" si="16"/>
        <v>550650</v>
      </c>
      <c r="AL61" s="35">
        <v>406683</v>
      </c>
      <c r="AM61" s="11">
        <f t="shared" si="23"/>
        <v>143967</v>
      </c>
      <c r="AN61" s="72" t="str">
        <f t="shared" si="24"/>
        <v>Yes</v>
      </c>
      <c r="AO61" s="35">
        <v>427881</v>
      </c>
      <c r="AP61" s="35">
        <f t="shared" si="28"/>
        <v>15346.8822</v>
      </c>
      <c r="AQ61" s="35">
        <f t="shared" si="29"/>
        <v>443227.88219999999</v>
      </c>
      <c r="AR61" s="35">
        <f t="shared" si="30"/>
        <v>443227.88219999999</v>
      </c>
      <c r="AS61" s="66"/>
      <c r="AT61" s="67"/>
      <c r="AU61" s="35"/>
      <c r="AV61" s="68"/>
      <c r="AW61" s="35"/>
      <c r="AX61" s="21"/>
      <c r="AZ61" s="21"/>
      <c r="BA61" s="21"/>
      <c r="BE61" s="21"/>
      <c r="BF61" s="21"/>
      <c r="BG61" s="21"/>
      <c r="BH61" s="21"/>
      <c r="BI61" s="21"/>
    </row>
    <row r="62" spans="1:61" x14ac:dyDescent="0.4">
      <c r="A62" s="8" t="s">
        <v>121</v>
      </c>
      <c r="B62" s="8"/>
      <c r="C62" s="25"/>
      <c r="D62" s="25"/>
      <c r="E62" s="25"/>
      <c r="F62" s="1">
        <v>6</v>
      </c>
      <c r="G62" s="39">
        <v>121</v>
      </c>
      <c r="H62" s="8">
        <v>36</v>
      </c>
      <c r="I62" s="3" t="s">
        <v>161</v>
      </c>
      <c r="J62" s="70"/>
      <c r="K62" s="39">
        <v>560.54999999999995</v>
      </c>
      <c r="L62" s="75"/>
      <c r="M62" s="34"/>
      <c r="N62" s="39">
        <v>184</v>
      </c>
      <c r="O62" s="65">
        <f t="shared" si="3"/>
        <v>0.32824904112032827</v>
      </c>
      <c r="P62" s="65">
        <f t="shared" si="4"/>
        <v>0</v>
      </c>
      <c r="Q62" s="35">
        <f t="shared" si="5"/>
        <v>0</v>
      </c>
      <c r="R62" s="35">
        <f t="shared" si="20"/>
        <v>0</v>
      </c>
      <c r="S62" s="39">
        <v>7</v>
      </c>
      <c r="T62" s="36">
        <f t="shared" si="25"/>
        <v>55.2</v>
      </c>
      <c r="U62" s="9">
        <f t="shared" si="26"/>
        <v>616.79999999999995</v>
      </c>
      <c r="V62" s="39">
        <v>710791131</v>
      </c>
      <c r="W62" s="39">
        <v>4494</v>
      </c>
      <c r="X62" s="17">
        <f t="shared" si="8"/>
        <v>158164.47</v>
      </c>
      <c r="Y62" s="37">
        <f t="shared" si="9"/>
        <v>0.84715799999999997</v>
      </c>
      <c r="Z62" s="35">
        <v>69028</v>
      </c>
      <c r="AA62" s="37">
        <f t="shared" si="10"/>
        <v>0.599464</v>
      </c>
      <c r="AB62" s="37">
        <f t="shared" si="11"/>
        <v>0.22714999999999999</v>
      </c>
      <c r="AC62" s="71">
        <f t="shared" si="27"/>
        <v>0.22714999999999999</v>
      </c>
      <c r="AD62" s="38">
        <f t="shared" si="21"/>
        <v>0</v>
      </c>
      <c r="AE62" s="74">
        <f t="shared" si="22"/>
        <v>0.22714999999999999</v>
      </c>
      <c r="AF62" s="39">
        <v>313</v>
      </c>
      <c r="AG62" s="39">
        <v>6</v>
      </c>
      <c r="AH62" s="9">
        <f t="shared" si="13"/>
        <v>46.15</v>
      </c>
      <c r="AI62" s="11">
        <f t="shared" si="14"/>
        <v>14445</v>
      </c>
      <c r="AJ62" s="11">
        <f t="shared" si="15"/>
        <v>1614723</v>
      </c>
      <c r="AK62" s="11">
        <f t="shared" si="16"/>
        <v>1629168</v>
      </c>
      <c r="AL62" s="35">
        <v>1675092</v>
      </c>
      <c r="AM62" s="11">
        <f t="shared" si="23"/>
        <v>45924</v>
      </c>
      <c r="AN62" s="72" t="str">
        <f t="shared" si="24"/>
        <v>No</v>
      </c>
      <c r="AO62" s="35">
        <v>1666695</v>
      </c>
      <c r="AP62" s="35">
        <f t="shared" si="28"/>
        <v>3825.4692</v>
      </c>
      <c r="AQ62" s="35">
        <f t="shared" si="29"/>
        <v>1662869.5308000001</v>
      </c>
      <c r="AR62" s="35">
        <f t="shared" si="30"/>
        <v>1662869.5308000001</v>
      </c>
      <c r="AS62" s="66"/>
      <c r="AT62" s="67"/>
      <c r="AU62" s="35"/>
      <c r="AV62" s="68"/>
      <c r="AW62" s="35"/>
      <c r="AX62" s="21"/>
      <c r="AZ62" s="21"/>
      <c r="BA62" s="21"/>
      <c r="BE62" s="21"/>
      <c r="BF62" s="21"/>
      <c r="BG62" s="21"/>
      <c r="BH62" s="21"/>
      <c r="BI62" s="21"/>
    </row>
    <row r="63" spans="1:61" x14ac:dyDescent="0.4">
      <c r="A63" s="8" t="s">
        <v>119</v>
      </c>
      <c r="B63" s="25">
        <v>1</v>
      </c>
      <c r="C63" s="25">
        <v>1</v>
      </c>
      <c r="D63" s="25">
        <v>1</v>
      </c>
      <c r="E63" s="25"/>
      <c r="F63" s="1">
        <v>10</v>
      </c>
      <c r="G63" s="39">
        <v>12</v>
      </c>
      <c r="H63" s="8">
        <v>37</v>
      </c>
      <c r="I63" s="3" t="s">
        <v>162</v>
      </c>
      <c r="J63" s="70"/>
      <c r="K63" s="39">
        <v>1431.66</v>
      </c>
      <c r="L63" s="76"/>
      <c r="M63" s="34"/>
      <c r="N63" s="39">
        <v>797</v>
      </c>
      <c r="O63" s="65">
        <f t="shared" si="3"/>
        <v>0.5566964223349119</v>
      </c>
      <c r="P63" s="65">
        <f t="shared" si="4"/>
        <v>0</v>
      </c>
      <c r="Q63" s="35">
        <f t="shared" si="5"/>
        <v>0</v>
      </c>
      <c r="R63" s="35">
        <f t="shared" si="20"/>
        <v>0</v>
      </c>
      <c r="S63" s="39">
        <v>31</v>
      </c>
      <c r="T63" s="36">
        <f t="shared" si="25"/>
        <v>239.1</v>
      </c>
      <c r="U63" s="9">
        <f t="shared" si="26"/>
        <v>1675.41</v>
      </c>
      <c r="V63" s="39">
        <v>1057769736.67</v>
      </c>
      <c r="W63" s="39">
        <v>12581</v>
      </c>
      <c r="X63" s="17">
        <f t="shared" si="8"/>
        <v>84076.76</v>
      </c>
      <c r="Y63" s="37">
        <f t="shared" si="9"/>
        <v>0.45033000000000001</v>
      </c>
      <c r="Z63" s="35">
        <v>57432</v>
      </c>
      <c r="AA63" s="37">
        <f t="shared" si="10"/>
        <v>0.49875999999999998</v>
      </c>
      <c r="AB63" s="37">
        <f t="shared" si="11"/>
        <v>0.53514099999999998</v>
      </c>
      <c r="AC63" s="71">
        <f t="shared" si="27"/>
        <v>0.53514099999999998</v>
      </c>
      <c r="AD63" s="38">
        <f t="shared" si="21"/>
        <v>0.04</v>
      </c>
      <c r="AE63" s="74">
        <f t="shared" si="22"/>
        <v>0.57514100000000001</v>
      </c>
      <c r="AF63" s="39">
        <v>0</v>
      </c>
      <c r="AG63" s="39">
        <v>0</v>
      </c>
      <c r="AH63" s="9">
        <f t="shared" si="13"/>
        <v>0</v>
      </c>
      <c r="AI63" s="11">
        <f t="shared" si="14"/>
        <v>0</v>
      </c>
      <c r="AJ63" s="11">
        <f t="shared" si="15"/>
        <v>11105455</v>
      </c>
      <c r="AK63" s="11">
        <f t="shared" si="16"/>
        <v>11105455</v>
      </c>
      <c r="AL63" s="35">
        <v>7902388</v>
      </c>
      <c r="AM63" s="11">
        <f t="shared" si="23"/>
        <v>3203067</v>
      </c>
      <c r="AN63" s="72" t="str">
        <f t="shared" si="24"/>
        <v>Yes</v>
      </c>
      <c r="AO63" s="35">
        <v>8498976</v>
      </c>
      <c r="AP63" s="35">
        <f t="shared" si="28"/>
        <v>341446.94219999999</v>
      </c>
      <c r="AQ63" s="35">
        <f t="shared" si="29"/>
        <v>8840422.9421999995</v>
      </c>
      <c r="AR63" s="35">
        <f t="shared" si="30"/>
        <v>8840422.9421999995</v>
      </c>
      <c r="AS63" s="66"/>
      <c r="AT63" s="67"/>
      <c r="AU63" s="35"/>
      <c r="AV63" s="68"/>
      <c r="AW63" s="35"/>
      <c r="AX63" s="21"/>
      <c r="AZ63" s="21"/>
      <c r="BA63" s="21"/>
      <c r="BE63" s="21"/>
      <c r="BF63" s="21"/>
      <c r="BG63" s="21"/>
      <c r="BH63" s="21"/>
      <c r="BI63" s="21"/>
    </row>
    <row r="64" spans="1:61" x14ac:dyDescent="0.4">
      <c r="A64" s="8" t="s">
        <v>117</v>
      </c>
      <c r="B64" s="8"/>
      <c r="C64" s="25"/>
      <c r="D64" s="25"/>
      <c r="E64" s="25"/>
      <c r="F64" s="1">
        <v>3</v>
      </c>
      <c r="G64" s="39">
        <v>130</v>
      </c>
      <c r="H64" s="8">
        <v>38</v>
      </c>
      <c r="I64" s="3" t="s">
        <v>163</v>
      </c>
      <c r="J64" s="70"/>
      <c r="K64" s="39">
        <v>1019.34</v>
      </c>
      <c r="L64" s="75"/>
      <c r="M64" s="34"/>
      <c r="N64" s="39">
        <v>152</v>
      </c>
      <c r="O64" s="65">
        <f t="shared" si="3"/>
        <v>0.14911609472796122</v>
      </c>
      <c r="P64" s="65">
        <f t="shared" si="4"/>
        <v>0</v>
      </c>
      <c r="Q64" s="35">
        <f t="shared" si="5"/>
        <v>0</v>
      </c>
      <c r="R64" s="35">
        <f t="shared" si="20"/>
        <v>0</v>
      </c>
      <c r="S64" s="39">
        <v>9</v>
      </c>
      <c r="T64" s="36">
        <f t="shared" si="25"/>
        <v>45.6</v>
      </c>
      <c r="U64" s="9">
        <f t="shared" si="26"/>
        <v>1066.29</v>
      </c>
      <c r="V64" s="39">
        <v>1026279087</v>
      </c>
      <c r="W64" s="39">
        <v>7240</v>
      </c>
      <c r="X64" s="17">
        <f t="shared" si="8"/>
        <v>141751.26</v>
      </c>
      <c r="Y64" s="37">
        <f t="shared" si="9"/>
        <v>0.75924499999999995</v>
      </c>
      <c r="Z64" s="35">
        <v>116232</v>
      </c>
      <c r="AA64" s="37">
        <f t="shared" si="10"/>
        <v>1.0094000000000001</v>
      </c>
      <c r="AB64" s="37">
        <f t="shared" si="11"/>
        <v>0.165709</v>
      </c>
      <c r="AC64" s="71">
        <f t="shared" si="27"/>
        <v>0.165709</v>
      </c>
      <c r="AD64" s="38">
        <f t="shared" si="21"/>
        <v>0</v>
      </c>
      <c r="AE64" s="74">
        <f t="shared" si="22"/>
        <v>0.165709</v>
      </c>
      <c r="AF64" s="39">
        <v>1014</v>
      </c>
      <c r="AG64" s="39">
        <v>13</v>
      </c>
      <c r="AH64" s="9">
        <f t="shared" si="13"/>
        <v>100</v>
      </c>
      <c r="AI64" s="11">
        <f t="shared" si="14"/>
        <v>101400</v>
      </c>
      <c r="AJ64" s="11">
        <f t="shared" si="15"/>
        <v>2036397</v>
      </c>
      <c r="AK64" s="11">
        <f t="shared" si="16"/>
        <v>2137797</v>
      </c>
      <c r="AL64" s="35">
        <v>3895303</v>
      </c>
      <c r="AM64" s="11">
        <f t="shared" si="23"/>
        <v>1757506</v>
      </c>
      <c r="AN64" s="72" t="str">
        <f t="shared" si="24"/>
        <v>No</v>
      </c>
      <c r="AO64" s="35">
        <v>3312134</v>
      </c>
      <c r="AP64" s="35">
        <f t="shared" si="28"/>
        <v>146400.24979999999</v>
      </c>
      <c r="AQ64" s="35">
        <f t="shared" si="29"/>
        <v>3165733.7502000001</v>
      </c>
      <c r="AR64" s="35">
        <f t="shared" si="30"/>
        <v>3165733.7502000001</v>
      </c>
      <c r="AS64" s="66"/>
      <c r="AT64" s="67"/>
      <c r="AU64" s="35"/>
      <c r="AV64" s="68"/>
      <c r="AW64" s="35"/>
      <c r="AX64" s="21"/>
      <c r="AZ64" s="21"/>
      <c r="BA64" s="21"/>
      <c r="BE64" s="21"/>
      <c r="BF64" s="21"/>
      <c r="BG64" s="21"/>
      <c r="BH64" s="21"/>
      <c r="BI64" s="21"/>
    </row>
    <row r="65" spans="1:61" x14ac:dyDescent="0.4">
      <c r="A65" s="8" t="s">
        <v>121</v>
      </c>
      <c r="B65" s="8"/>
      <c r="C65" s="25"/>
      <c r="D65" s="25"/>
      <c r="E65" s="25"/>
      <c r="F65" s="1">
        <v>7</v>
      </c>
      <c r="G65" s="39">
        <v>95</v>
      </c>
      <c r="H65" s="8">
        <v>39</v>
      </c>
      <c r="I65" s="3" t="s">
        <v>164</v>
      </c>
      <c r="J65" s="70"/>
      <c r="K65" s="39">
        <v>187.79</v>
      </c>
      <c r="L65" s="75"/>
      <c r="M65" s="34"/>
      <c r="N65" s="39">
        <v>58</v>
      </c>
      <c r="O65" s="65">
        <f t="shared" si="3"/>
        <v>0.30885563661536825</v>
      </c>
      <c r="P65" s="65">
        <f t="shared" si="4"/>
        <v>0</v>
      </c>
      <c r="Q65" s="35">
        <f t="shared" si="5"/>
        <v>0</v>
      </c>
      <c r="R65" s="35">
        <f t="shared" si="20"/>
        <v>0</v>
      </c>
      <c r="S65" s="39">
        <v>0</v>
      </c>
      <c r="T65" s="36">
        <f t="shared" si="25"/>
        <v>17.399999999999999</v>
      </c>
      <c r="U65" s="9">
        <f t="shared" si="26"/>
        <v>205.19</v>
      </c>
      <c r="V65" s="39">
        <v>227044356</v>
      </c>
      <c r="W65" s="39">
        <v>1756</v>
      </c>
      <c r="X65" s="17">
        <f t="shared" si="8"/>
        <v>129296.33</v>
      </c>
      <c r="Y65" s="37">
        <f t="shared" si="9"/>
        <v>0.69253500000000001</v>
      </c>
      <c r="Z65" s="35">
        <v>84375</v>
      </c>
      <c r="AA65" s="37">
        <f t="shared" si="10"/>
        <v>0.732742</v>
      </c>
      <c r="AB65" s="37">
        <f t="shared" si="11"/>
        <v>0.29540300000000003</v>
      </c>
      <c r="AC65" s="71">
        <f t="shared" si="27"/>
        <v>0.29540300000000003</v>
      </c>
      <c r="AD65" s="38">
        <f t="shared" si="21"/>
        <v>0</v>
      </c>
      <c r="AE65" s="74">
        <f t="shared" si="22"/>
        <v>0.29540300000000003</v>
      </c>
      <c r="AF65" s="39">
        <v>0</v>
      </c>
      <c r="AG65" s="39">
        <v>0</v>
      </c>
      <c r="AH65" s="9">
        <f t="shared" si="13"/>
        <v>0</v>
      </c>
      <c r="AI65" s="11">
        <f t="shared" si="14"/>
        <v>0</v>
      </c>
      <c r="AJ65" s="11">
        <f t="shared" si="15"/>
        <v>698573</v>
      </c>
      <c r="AK65" s="11">
        <f t="shared" si="16"/>
        <v>698573</v>
      </c>
      <c r="AL65" s="35">
        <v>1091881</v>
      </c>
      <c r="AM65" s="11">
        <f t="shared" si="23"/>
        <v>393308</v>
      </c>
      <c r="AN65" s="72" t="str">
        <f t="shared" si="24"/>
        <v>No</v>
      </c>
      <c r="AO65" s="35">
        <v>979939</v>
      </c>
      <c r="AP65" s="35">
        <f t="shared" si="28"/>
        <v>32762.556400000001</v>
      </c>
      <c r="AQ65" s="35">
        <f t="shared" si="29"/>
        <v>947176.4436</v>
      </c>
      <c r="AR65" s="35">
        <f t="shared" si="30"/>
        <v>947176.4436</v>
      </c>
      <c r="AS65" s="66"/>
      <c r="AT65" s="67"/>
      <c r="AU65" s="35"/>
      <c r="AV65" s="68"/>
      <c r="AW65" s="35"/>
      <c r="AX65" s="21"/>
      <c r="AZ65" s="21"/>
      <c r="BA65" s="21"/>
      <c r="BE65" s="21"/>
      <c r="BF65" s="21"/>
      <c r="BG65" s="21"/>
      <c r="BH65" s="21"/>
      <c r="BI65" s="21"/>
    </row>
    <row r="66" spans="1:61" x14ac:dyDescent="0.4">
      <c r="A66" s="8" t="s">
        <v>127</v>
      </c>
      <c r="B66" s="8"/>
      <c r="C66" s="25"/>
      <c r="D66" s="25"/>
      <c r="E66" s="25"/>
      <c r="F66" s="1">
        <v>5</v>
      </c>
      <c r="G66" s="39">
        <v>100</v>
      </c>
      <c r="H66" s="8">
        <v>40</v>
      </c>
      <c r="I66" s="3" t="s">
        <v>165</v>
      </c>
      <c r="J66" s="70"/>
      <c r="K66" s="39">
        <v>864.04</v>
      </c>
      <c r="L66" s="75"/>
      <c r="M66" s="34"/>
      <c r="N66" s="39">
        <v>104</v>
      </c>
      <c r="O66" s="65">
        <f t="shared" si="3"/>
        <v>0.12036479792602195</v>
      </c>
      <c r="P66" s="65">
        <f t="shared" si="4"/>
        <v>0</v>
      </c>
      <c r="Q66" s="35">
        <f t="shared" si="5"/>
        <v>0</v>
      </c>
      <c r="R66" s="35">
        <f t="shared" si="20"/>
        <v>0</v>
      </c>
      <c r="S66" s="39">
        <v>15</v>
      </c>
      <c r="T66" s="36">
        <f t="shared" si="25"/>
        <v>31.2</v>
      </c>
      <c r="U66" s="9">
        <f t="shared" si="26"/>
        <v>897.49</v>
      </c>
      <c r="V66" s="39">
        <v>859125944</v>
      </c>
      <c r="W66" s="39">
        <v>5166</v>
      </c>
      <c r="X66" s="17">
        <f t="shared" si="8"/>
        <v>166303.9</v>
      </c>
      <c r="Y66" s="37">
        <f t="shared" si="9"/>
        <v>0.89075400000000005</v>
      </c>
      <c r="Z66" s="35">
        <v>93385</v>
      </c>
      <c r="AA66" s="37">
        <f t="shared" si="10"/>
        <v>0.81098800000000004</v>
      </c>
      <c r="AB66" s="37">
        <f t="shared" si="11"/>
        <v>0.13317599999999999</v>
      </c>
      <c r="AC66" s="71">
        <f t="shared" si="27"/>
        <v>0.13317599999999999</v>
      </c>
      <c r="AD66" s="38">
        <f t="shared" si="21"/>
        <v>0</v>
      </c>
      <c r="AE66" s="74">
        <f t="shared" si="22"/>
        <v>0.13317599999999999</v>
      </c>
      <c r="AF66" s="39">
        <v>0</v>
      </c>
      <c r="AG66" s="39">
        <v>0</v>
      </c>
      <c r="AH66" s="9">
        <f t="shared" si="13"/>
        <v>0</v>
      </c>
      <c r="AI66" s="11">
        <f t="shared" si="14"/>
        <v>0</v>
      </c>
      <c r="AJ66" s="11">
        <f t="shared" si="15"/>
        <v>1377516</v>
      </c>
      <c r="AK66" s="11">
        <f t="shared" si="16"/>
        <v>1377516</v>
      </c>
      <c r="AL66" s="35">
        <v>1439845</v>
      </c>
      <c r="AM66" s="11">
        <f t="shared" si="23"/>
        <v>62329</v>
      </c>
      <c r="AN66" s="72" t="str">
        <f t="shared" si="24"/>
        <v>No</v>
      </c>
      <c r="AO66" s="35">
        <v>1439284</v>
      </c>
      <c r="AP66" s="35">
        <f t="shared" si="28"/>
        <v>5192.0056999999997</v>
      </c>
      <c r="AQ66" s="35">
        <f t="shared" si="29"/>
        <v>1434091.9942999999</v>
      </c>
      <c r="AR66" s="35">
        <f t="shared" si="30"/>
        <v>1434091.9942999999</v>
      </c>
      <c r="AS66" s="66"/>
      <c r="AT66" s="67"/>
      <c r="AU66" s="35"/>
      <c r="AV66" s="68"/>
      <c r="AW66" s="35"/>
      <c r="AX66" s="21"/>
      <c r="AZ66" s="21"/>
      <c r="BA66" s="21"/>
      <c r="BE66" s="21"/>
      <c r="BF66" s="21"/>
      <c r="BG66" s="21"/>
      <c r="BH66" s="21"/>
      <c r="BI66" s="21"/>
    </row>
    <row r="67" spans="1:61" x14ac:dyDescent="0.4">
      <c r="A67" s="8" t="s">
        <v>121</v>
      </c>
      <c r="B67" s="8"/>
      <c r="C67" s="25"/>
      <c r="D67" s="25"/>
      <c r="E67" s="25"/>
      <c r="F67" s="1">
        <v>5</v>
      </c>
      <c r="G67" s="39">
        <v>87</v>
      </c>
      <c r="H67" s="8">
        <v>41</v>
      </c>
      <c r="I67" s="3" t="s">
        <v>166</v>
      </c>
      <c r="J67" s="70"/>
      <c r="K67" s="39">
        <v>1029.6099999999999</v>
      </c>
      <c r="L67" s="75"/>
      <c r="M67" s="34"/>
      <c r="N67" s="39">
        <v>264</v>
      </c>
      <c r="O67" s="65">
        <f t="shared" si="3"/>
        <v>0.25640776604733834</v>
      </c>
      <c r="P67" s="65">
        <f t="shared" si="4"/>
        <v>0</v>
      </c>
      <c r="Q67" s="35">
        <f t="shared" si="5"/>
        <v>0</v>
      </c>
      <c r="R67" s="35">
        <f t="shared" si="20"/>
        <v>0</v>
      </c>
      <c r="S67" s="39">
        <v>3</v>
      </c>
      <c r="T67" s="36">
        <f t="shared" si="25"/>
        <v>79.2</v>
      </c>
      <c r="U67" s="9">
        <f t="shared" si="26"/>
        <v>1109.26</v>
      </c>
      <c r="V67" s="39">
        <v>1238061128.6700001</v>
      </c>
      <c r="W67" s="39">
        <v>9036</v>
      </c>
      <c r="X67" s="17">
        <f t="shared" si="8"/>
        <v>137014.29</v>
      </c>
      <c r="Y67" s="37">
        <f t="shared" si="9"/>
        <v>0.733873</v>
      </c>
      <c r="Z67" s="35">
        <v>78177</v>
      </c>
      <c r="AA67" s="37">
        <f t="shared" si="10"/>
        <v>0.67891699999999999</v>
      </c>
      <c r="AB67" s="37">
        <f t="shared" si="11"/>
        <v>0.28261399999999998</v>
      </c>
      <c r="AC67" s="71">
        <f t="shared" si="27"/>
        <v>0.28261399999999998</v>
      </c>
      <c r="AD67" s="38">
        <f t="shared" si="21"/>
        <v>0</v>
      </c>
      <c r="AE67" s="74">
        <f t="shared" si="22"/>
        <v>0.28261399999999998</v>
      </c>
      <c r="AF67" s="39">
        <v>0</v>
      </c>
      <c r="AG67" s="39">
        <v>0</v>
      </c>
      <c r="AH67" s="9">
        <f t="shared" si="13"/>
        <v>0</v>
      </c>
      <c r="AI67" s="11">
        <f t="shared" si="14"/>
        <v>0</v>
      </c>
      <c r="AJ67" s="11">
        <f t="shared" si="15"/>
        <v>3613000</v>
      </c>
      <c r="AK67" s="11">
        <f t="shared" si="16"/>
        <v>3613000</v>
      </c>
      <c r="AL67" s="35">
        <v>3686134</v>
      </c>
      <c r="AM67" s="11">
        <f t="shared" si="23"/>
        <v>73134</v>
      </c>
      <c r="AN67" s="72" t="str">
        <f t="shared" si="24"/>
        <v>No</v>
      </c>
      <c r="AO67" s="35">
        <v>3562049</v>
      </c>
      <c r="AP67" s="35">
        <f t="shared" si="28"/>
        <v>6092.0622000000003</v>
      </c>
      <c r="AQ67" s="35">
        <f t="shared" si="29"/>
        <v>3555956.9378</v>
      </c>
      <c r="AR67" s="35">
        <f t="shared" si="30"/>
        <v>3555956.9378</v>
      </c>
      <c r="AS67" s="66"/>
      <c r="AT67" s="67"/>
      <c r="AU67" s="35"/>
      <c r="AV67" s="68"/>
      <c r="AW67" s="35"/>
      <c r="AX67" s="21"/>
      <c r="AZ67" s="21"/>
      <c r="BA67" s="21"/>
      <c r="BE67" s="21"/>
      <c r="BF67" s="21"/>
      <c r="BG67" s="21"/>
      <c r="BH67" s="21"/>
      <c r="BI67" s="21"/>
    </row>
    <row r="68" spans="1:61" x14ac:dyDescent="0.4">
      <c r="A68" s="8" t="s">
        <v>127</v>
      </c>
      <c r="B68" s="8"/>
      <c r="C68" s="25"/>
      <c r="D68" s="25"/>
      <c r="E68" s="25"/>
      <c r="F68" s="1">
        <v>6</v>
      </c>
      <c r="G68" s="39">
        <v>84</v>
      </c>
      <c r="H68" s="8">
        <v>42</v>
      </c>
      <c r="I68" s="3" t="s">
        <v>167</v>
      </c>
      <c r="J68" s="70"/>
      <c r="K68" s="39">
        <v>1884.58</v>
      </c>
      <c r="L68" s="75"/>
      <c r="M68" s="34"/>
      <c r="N68" s="39">
        <v>379</v>
      </c>
      <c r="O68" s="65">
        <f t="shared" si="3"/>
        <v>0.20110581668063973</v>
      </c>
      <c r="P68" s="65">
        <f t="shared" si="4"/>
        <v>0</v>
      </c>
      <c r="Q68" s="35">
        <f t="shared" si="5"/>
        <v>0</v>
      </c>
      <c r="R68" s="35">
        <f t="shared" si="20"/>
        <v>0</v>
      </c>
      <c r="S68" s="39">
        <v>6</v>
      </c>
      <c r="T68" s="36">
        <f t="shared" si="25"/>
        <v>113.7</v>
      </c>
      <c r="U68" s="9">
        <f t="shared" si="26"/>
        <v>1999.18</v>
      </c>
      <c r="V68" s="39">
        <v>1637683682</v>
      </c>
      <c r="W68" s="39">
        <v>12901</v>
      </c>
      <c r="X68" s="17">
        <f t="shared" si="8"/>
        <v>126942.38</v>
      </c>
      <c r="Y68" s="37">
        <f t="shared" si="9"/>
        <v>0.67992600000000003</v>
      </c>
      <c r="Z68" s="35">
        <v>99104</v>
      </c>
      <c r="AA68" s="37">
        <f t="shared" si="10"/>
        <v>0.86065400000000003</v>
      </c>
      <c r="AB68" s="37">
        <f t="shared" si="11"/>
        <v>0.26585599999999998</v>
      </c>
      <c r="AC68" s="71">
        <f t="shared" si="27"/>
        <v>0.26585599999999998</v>
      </c>
      <c r="AD68" s="38">
        <f t="shared" si="21"/>
        <v>0</v>
      </c>
      <c r="AE68" s="74">
        <f t="shared" si="22"/>
        <v>0.26585599999999998</v>
      </c>
      <c r="AF68" s="39">
        <v>0</v>
      </c>
      <c r="AG68" s="39">
        <v>0</v>
      </c>
      <c r="AH68" s="9">
        <f t="shared" si="13"/>
        <v>0</v>
      </c>
      <c r="AI68" s="11">
        <f t="shared" si="14"/>
        <v>0</v>
      </c>
      <c r="AJ68" s="11">
        <f t="shared" si="15"/>
        <v>6125468</v>
      </c>
      <c r="AK68" s="11">
        <f t="shared" si="16"/>
        <v>6125468</v>
      </c>
      <c r="AL68" s="35">
        <v>7538993</v>
      </c>
      <c r="AM68" s="11">
        <f t="shared" si="23"/>
        <v>1413525</v>
      </c>
      <c r="AN68" s="72" t="str">
        <f t="shared" si="24"/>
        <v>No</v>
      </c>
      <c r="AO68" s="35">
        <v>7020522</v>
      </c>
      <c r="AP68" s="35">
        <f t="shared" si="28"/>
        <v>117746.63249999999</v>
      </c>
      <c r="AQ68" s="35">
        <f t="shared" si="29"/>
        <v>6902775.3674999997</v>
      </c>
      <c r="AR68" s="35">
        <f t="shared" si="30"/>
        <v>6902775.3674999997</v>
      </c>
      <c r="AS68" s="66"/>
      <c r="AT68" s="67"/>
      <c r="AU68" s="35"/>
      <c r="AV68" s="68"/>
      <c r="AW68" s="35"/>
      <c r="AX68" s="21"/>
      <c r="AZ68" s="21"/>
      <c r="BA68" s="21"/>
      <c r="BE68" s="21"/>
      <c r="BF68" s="21"/>
      <c r="BG68" s="21"/>
      <c r="BH68" s="21"/>
      <c r="BI68" s="21"/>
    </row>
    <row r="69" spans="1:61" x14ac:dyDescent="0.4">
      <c r="A69" s="8" t="s">
        <v>119</v>
      </c>
      <c r="B69" s="8">
        <v>1</v>
      </c>
      <c r="C69" s="25">
        <v>1</v>
      </c>
      <c r="D69" s="25">
        <v>0</v>
      </c>
      <c r="E69" s="25">
        <v>1</v>
      </c>
      <c r="F69" s="1">
        <v>10</v>
      </c>
      <c r="G69" s="39">
        <v>8</v>
      </c>
      <c r="H69" s="8">
        <v>43</v>
      </c>
      <c r="I69" s="3" t="s">
        <v>168</v>
      </c>
      <c r="J69" s="70"/>
      <c r="K69" s="39">
        <v>8116.49</v>
      </c>
      <c r="L69" s="76"/>
      <c r="M69" s="34"/>
      <c r="N69" s="39">
        <v>5192</v>
      </c>
      <c r="O69" s="65">
        <f t="shared" si="3"/>
        <v>0.63968538124238439</v>
      </c>
      <c r="P69" s="65">
        <f t="shared" si="4"/>
        <v>0</v>
      </c>
      <c r="Q69" s="35">
        <f t="shared" si="5"/>
        <v>0</v>
      </c>
      <c r="R69" s="35">
        <f t="shared" si="20"/>
        <v>0</v>
      </c>
      <c r="S69" s="39">
        <v>1021</v>
      </c>
      <c r="T69" s="36">
        <f t="shared" si="25"/>
        <v>1557.6</v>
      </c>
      <c r="U69" s="9">
        <f t="shared" si="26"/>
        <v>9827.24</v>
      </c>
      <c r="V69" s="39">
        <v>4007909674</v>
      </c>
      <c r="W69" s="39">
        <v>50319</v>
      </c>
      <c r="X69" s="17">
        <f t="shared" si="8"/>
        <v>79650.03</v>
      </c>
      <c r="Y69" s="37">
        <f t="shared" si="9"/>
        <v>0.42662</v>
      </c>
      <c r="Z69" s="35">
        <v>52049</v>
      </c>
      <c r="AA69" s="37">
        <f t="shared" si="10"/>
        <v>0.45201200000000002</v>
      </c>
      <c r="AB69" s="37">
        <f t="shared" si="11"/>
        <v>0.56576199999999999</v>
      </c>
      <c r="AC69" s="71">
        <f t="shared" si="27"/>
        <v>0.56576199999999999</v>
      </c>
      <c r="AD69" s="38">
        <f t="shared" si="21"/>
        <v>0.05</v>
      </c>
      <c r="AE69" s="74">
        <f t="shared" si="22"/>
        <v>0.61576200000000003</v>
      </c>
      <c r="AF69" s="39">
        <v>0</v>
      </c>
      <c r="AG69" s="39">
        <v>0</v>
      </c>
      <c r="AH69" s="9">
        <f t="shared" si="13"/>
        <v>0</v>
      </c>
      <c r="AI69" s="11">
        <f t="shared" si="14"/>
        <v>0</v>
      </c>
      <c r="AJ69" s="11">
        <f t="shared" si="15"/>
        <v>69740552</v>
      </c>
      <c r="AK69" s="11">
        <f t="shared" si="16"/>
        <v>69740552</v>
      </c>
      <c r="AL69" s="35">
        <v>49075156</v>
      </c>
      <c r="AM69" s="11">
        <f t="shared" si="23"/>
        <v>20665396</v>
      </c>
      <c r="AN69" s="72" t="str">
        <f t="shared" si="24"/>
        <v>Yes</v>
      </c>
      <c r="AO69" s="35">
        <v>52184081</v>
      </c>
      <c r="AP69" s="35">
        <f t="shared" si="28"/>
        <v>2202931.2135999999</v>
      </c>
      <c r="AQ69" s="35">
        <f t="shared" si="29"/>
        <v>54387012.213600002</v>
      </c>
      <c r="AR69" s="35">
        <f t="shared" si="30"/>
        <v>54387012.213600002</v>
      </c>
      <c r="AS69" s="66"/>
      <c r="AT69" s="67"/>
      <c r="AU69" s="35"/>
      <c r="AV69" s="68"/>
      <c r="AW69" s="35"/>
      <c r="AX69" s="21"/>
      <c r="AZ69" s="21"/>
      <c r="BA69" s="21"/>
      <c r="BE69" s="21"/>
      <c r="BF69" s="21"/>
      <c r="BG69" s="21"/>
      <c r="BH69" s="21"/>
      <c r="BI69" s="21"/>
    </row>
    <row r="70" spans="1:61" x14ac:dyDescent="0.4">
      <c r="A70" s="8" t="s">
        <v>132</v>
      </c>
      <c r="B70" s="8"/>
      <c r="C70" s="25">
        <v>1</v>
      </c>
      <c r="D70" s="25">
        <v>1</v>
      </c>
      <c r="E70" s="25"/>
      <c r="F70" s="1">
        <v>9</v>
      </c>
      <c r="G70" s="39">
        <v>27</v>
      </c>
      <c r="H70" s="8">
        <v>44</v>
      </c>
      <c r="I70" s="3" t="s">
        <v>169</v>
      </c>
      <c r="J70" s="70"/>
      <c r="K70" s="39">
        <v>3247.8</v>
      </c>
      <c r="L70" s="76"/>
      <c r="M70" s="34"/>
      <c r="N70" s="39">
        <v>1800</v>
      </c>
      <c r="O70" s="65">
        <f t="shared" si="3"/>
        <v>0.55422131904673932</v>
      </c>
      <c r="P70" s="65">
        <f t="shared" si="4"/>
        <v>0</v>
      </c>
      <c r="Q70" s="35">
        <f t="shared" si="5"/>
        <v>0</v>
      </c>
      <c r="R70" s="35">
        <f t="shared" si="20"/>
        <v>0</v>
      </c>
      <c r="S70" s="39">
        <v>280</v>
      </c>
      <c r="T70" s="36">
        <f t="shared" si="25"/>
        <v>540</v>
      </c>
      <c r="U70" s="9">
        <f t="shared" si="26"/>
        <v>3829.8</v>
      </c>
      <c r="V70" s="39">
        <v>2896300695.6700001</v>
      </c>
      <c r="W70" s="39">
        <v>28857</v>
      </c>
      <c r="X70" s="17">
        <f t="shared" si="8"/>
        <v>100367.35</v>
      </c>
      <c r="Y70" s="37">
        <f t="shared" si="9"/>
        <v>0.53758600000000001</v>
      </c>
      <c r="Z70" s="35">
        <v>63051</v>
      </c>
      <c r="AA70" s="37">
        <f t="shared" si="10"/>
        <v>0.54755699999999996</v>
      </c>
      <c r="AB70" s="37">
        <f t="shared" si="11"/>
        <v>0.45942300000000003</v>
      </c>
      <c r="AC70" s="71">
        <f t="shared" si="27"/>
        <v>0.45942300000000003</v>
      </c>
      <c r="AD70" s="38">
        <f t="shared" si="21"/>
        <v>0</v>
      </c>
      <c r="AE70" s="74">
        <f t="shared" si="22"/>
        <v>0.45942300000000003</v>
      </c>
      <c r="AF70" s="39">
        <v>0</v>
      </c>
      <c r="AG70" s="39">
        <v>0</v>
      </c>
      <c r="AH70" s="9">
        <f t="shared" si="13"/>
        <v>0</v>
      </c>
      <c r="AI70" s="11">
        <f t="shared" si="14"/>
        <v>0</v>
      </c>
      <c r="AJ70" s="11">
        <f t="shared" si="15"/>
        <v>20278217</v>
      </c>
      <c r="AK70" s="11">
        <f t="shared" si="16"/>
        <v>20278217</v>
      </c>
      <c r="AL70" s="35">
        <v>19595415</v>
      </c>
      <c r="AM70" s="11">
        <f t="shared" si="23"/>
        <v>682802</v>
      </c>
      <c r="AN70" s="72" t="str">
        <f t="shared" si="24"/>
        <v>Yes</v>
      </c>
      <c r="AO70" s="35">
        <v>19752616</v>
      </c>
      <c r="AP70" s="35">
        <f t="shared" si="28"/>
        <v>72786.693199999994</v>
      </c>
      <c r="AQ70" s="35">
        <f t="shared" si="29"/>
        <v>19825402.6932</v>
      </c>
      <c r="AR70" s="35">
        <f t="shared" si="30"/>
        <v>19825402.6932</v>
      </c>
      <c r="AS70" s="66"/>
      <c r="AT70" s="67"/>
      <c r="AU70" s="35"/>
      <c r="AV70" s="68"/>
      <c r="AW70" s="35"/>
      <c r="AX70" s="21"/>
      <c r="AZ70" s="21"/>
      <c r="BA70" s="21"/>
      <c r="BE70" s="21"/>
      <c r="BF70" s="21"/>
      <c r="BG70" s="21"/>
      <c r="BH70" s="21"/>
      <c r="BI70" s="21"/>
    </row>
    <row r="71" spans="1:61" x14ac:dyDescent="0.4">
      <c r="A71" s="8" t="s">
        <v>127</v>
      </c>
      <c r="B71" s="8"/>
      <c r="C71" s="25"/>
      <c r="D71" s="25"/>
      <c r="E71" s="25"/>
      <c r="F71" s="1">
        <v>4</v>
      </c>
      <c r="G71" s="39">
        <v>102</v>
      </c>
      <c r="H71" s="8">
        <v>45</v>
      </c>
      <c r="I71" s="3" t="s">
        <v>170</v>
      </c>
      <c r="J71" s="70"/>
      <c r="K71" s="39">
        <v>2562.08</v>
      </c>
      <c r="L71" s="75"/>
      <c r="M71" s="34"/>
      <c r="N71" s="39">
        <v>605</v>
      </c>
      <c r="O71" s="65">
        <f t="shared" si="3"/>
        <v>0.23613626428526824</v>
      </c>
      <c r="P71" s="65">
        <f t="shared" si="4"/>
        <v>0</v>
      </c>
      <c r="Q71" s="35">
        <f t="shared" si="5"/>
        <v>0</v>
      </c>
      <c r="R71" s="35">
        <f t="shared" si="20"/>
        <v>0</v>
      </c>
      <c r="S71" s="39">
        <v>52</v>
      </c>
      <c r="T71" s="36">
        <f t="shared" si="25"/>
        <v>181.5</v>
      </c>
      <c r="U71" s="9">
        <f t="shared" si="26"/>
        <v>2751.38</v>
      </c>
      <c r="V71" s="39">
        <v>3177561302</v>
      </c>
      <c r="W71" s="39">
        <v>18789</v>
      </c>
      <c r="X71" s="17">
        <f t="shared" si="8"/>
        <v>169118.17</v>
      </c>
      <c r="Y71" s="37">
        <f t="shared" si="9"/>
        <v>0.90582799999999997</v>
      </c>
      <c r="Z71" s="35">
        <v>83590</v>
      </c>
      <c r="AA71" s="37">
        <f t="shared" si="10"/>
        <v>0.72592500000000004</v>
      </c>
      <c r="AB71" s="37">
        <f t="shared" si="11"/>
        <v>0.148143</v>
      </c>
      <c r="AC71" s="71">
        <f t="shared" si="27"/>
        <v>0.148143</v>
      </c>
      <c r="AD71" s="38">
        <f t="shared" si="21"/>
        <v>0</v>
      </c>
      <c r="AE71" s="74">
        <f t="shared" si="22"/>
        <v>0.148143</v>
      </c>
      <c r="AF71" s="39">
        <v>0</v>
      </c>
      <c r="AG71" s="39">
        <v>0</v>
      </c>
      <c r="AH71" s="9">
        <f t="shared" si="13"/>
        <v>0</v>
      </c>
      <c r="AI71" s="11">
        <f t="shared" si="14"/>
        <v>0</v>
      </c>
      <c r="AJ71" s="11">
        <f t="shared" si="15"/>
        <v>4697563</v>
      </c>
      <c r="AK71" s="11">
        <f t="shared" si="16"/>
        <v>4697563</v>
      </c>
      <c r="AL71" s="35">
        <v>6918462</v>
      </c>
      <c r="AM71" s="11">
        <f t="shared" si="23"/>
        <v>2220899</v>
      </c>
      <c r="AN71" s="72" t="str">
        <f t="shared" si="24"/>
        <v>No</v>
      </c>
      <c r="AO71" s="35">
        <v>6261508</v>
      </c>
      <c r="AP71" s="35">
        <f t="shared" si="28"/>
        <v>185000.8867</v>
      </c>
      <c r="AQ71" s="35">
        <f t="shared" si="29"/>
        <v>6076507.1133000003</v>
      </c>
      <c r="AR71" s="35">
        <f t="shared" si="30"/>
        <v>6076507.1133000003</v>
      </c>
      <c r="AS71" s="66"/>
      <c r="AT71" s="67"/>
      <c r="AU71" s="35"/>
      <c r="AV71" s="68"/>
      <c r="AW71" s="35"/>
      <c r="AX71" s="21"/>
      <c r="AZ71" s="21"/>
      <c r="BA71" s="21"/>
      <c r="BE71" s="21"/>
      <c r="BF71" s="21"/>
      <c r="BG71" s="21"/>
      <c r="BH71" s="21"/>
      <c r="BI71" s="21"/>
    </row>
    <row r="72" spans="1:61" x14ac:dyDescent="0.4">
      <c r="A72" s="8" t="s">
        <v>159</v>
      </c>
      <c r="B72" s="8"/>
      <c r="C72" s="25"/>
      <c r="D72" s="25"/>
      <c r="E72" s="25"/>
      <c r="F72" s="1">
        <v>1</v>
      </c>
      <c r="G72" s="39">
        <v>147</v>
      </c>
      <c r="H72" s="8">
        <v>46</v>
      </c>
      <c r="I72" s="3" t="s">
        <v>171</v>
      </c>
      <c r="J72" s="70"/>
      <c r="K72" s="39">
        <v>1274.17</v>
      </c>
      <c r="L72" s="75"/>
      <c r="M72" s="34"/>
      <c r="N72" s="39">
        <v>137</v>
      </c>
      <c r="O72" s="65">
        <f t="shared" si="3"/>
        <v>0.10752097443826177</v>
      </c>
      <c r="P72" s="65">
        <f t="shared" si="4"/>
        <v>0</v>
      </c>
      <c r="Q72" s="35">
        <f t="shared" si="5"/>
        <v>0</v>
      </c>
      <c r="R72" s="35">
        <f t="shared" si="20"/>
        <v>0</v>
      </c>
      <c r="S72" s="39">
        <v>19</v>
      </c>
      <c r="T72" s="36">
        <f t="shared" si="25"/>
        <v>41.1</v>
      </c>
      <c r="U72" s="9">
        <f t="shared" si="26"/>
        <v>1318.12</v>
      </c>
      <c r="V72" s="39">
        <v>1836512310.6700001</v>
      </c>
      <c r="W72" s="39">
        <v>7579</v>
      </c>
      <c r="X72" s="17">
        <f t="shared" si="8"/>
        <v>242315.91</v>
      </c>
      <c r="Y72" s="37">
        <f t="shared" si="9"/>
        <v>1.2978879999999999</v>
      </c>
      <c r="Z72" s="35">
        <v>136786</v>
      </c>
      <c r="AA72" s="37">
        <f t="shared" si="10"/>
        <v>1.1878979999999999</v>
      </c>
      <c r="AB72" s="37">
        <f t="shared" si="11"/>
        <v>-0.26489099999999999</v>
      </c>
      <c r="AC72" s="71">
        <f t="shared" si="27"/>
        <v>0.01</v>
      </c>
      <c r="AD72" s="38">
        <f t="shared" si="21"/>
        <v>0</v>
      </c>
      <c r="AE72" s="74">
        <f t="shared" si="22"/>
        <v>0.01</v>
      </c>
      <c r="AF72" s="39">
        <v>413</v>
      </c>
      <c r="AG72" s="39">
        <v>4</v>
      </c>
      <c r="AH72" s="9">
        <f t="shared" si="13"/>
        <v>30.77</v>
      </c>
      <c r="AI72" s="11">
        <f t="shared" si="14"/>
        <v>12708</v>
      </c>
      <c r="AJ72" s="11">
        <f t="shared" si="15"/>
        <v>151913</v>
      </c>
      <c r="AK72" s="11">
        <f t="shared" si="16"/>
        <v>164621</v>
      </c>
      <c r="AL72" s="35">
        <v>177907</v>
      </c>
      <c r="AM72" s="11">
        <f t="shared" si="23"/>
        <v>13286</v>
      </c>
      <c r="AN72" s="72" t="str">
        <f t="shared" si="24"/>
        <v>No</v>
      </c>
      <c r="AO72" s="35">
        <v>173187</v>
      </c>
      <c r="AP72" s="35">
        <f t="shared" si="28"/>
        <v>1106.7238</v>
      </c>
      <c r="AQ72" s="35">
        <f t="shared" si="29"/>
        <v>172080.27619999999</v>
      </c>
      <c r="AR72" s="35">
        <f t="shared" si="30"/>
        <v>172080.27619999999</v>
      </c>
      <c r="AS72" s="66"/>
      <c r="AT72" s="67"/>
      <c r="AU72" s="35"/>
      <c r="AV72" s="68"/>
      <c r="AW72" s="35"/>
      <c r="AX72" s="21"/>
      <c r="AZ72" s="21"/>
      <c r="BA72" s="21"/>
      <c r="BE72" s="21"/>
      <c r="BF72" s="21"/>
      <c r="BG72" s="21"/>
      <c r="BH72" s="21"/>
      <c r="BI72" s="21"/>
    </row>
    <row r="73" spans="1:61" x14ac:dyDescent="0.4">
      <c r="A73" s="8" t="s">
        <v>145</v>
      </c>
      <c r="B73" s="8"/>
      <c r="C73" s="25">
        <v>1</v>
      </c>
      <c r="D73" s="25">
        <v>1</v>
      </c>
      <c r="E73" s="25"/>
      <c r="F73" s="1">
        <v>8</v>
      </c>
      <c r="G73" s="39">
        <v>37</v>
      </c>
      <c r="H73" s="8">
        <v>47</v>
      </c>
      <c r="I73" s="3" t="s">
        <v>172</v>
      </c>
      <c r="J73" s="70"/>
      <c r="K73" s="39">
        <v>1129.03</v>
      </c>
      <c r="L73" s="76"/>
      <c r="M73" s="34"/>
      <c r="N73" s="39">
        <v>583</v>
      </c>
      <c r="O73" s="65">
        <f t="shared" si="3"/>
        <v>0.51637246131635117</v>
      </c>
      <c r="P73" s="65">
        <f t="shared" si="4"/>
        <v>0</v>
      </c>
      <c r="Q73" s="35">
        <f t="shared" si="5"/>
        <v>0</v>
      </c>
      <c r="R73" s="35">
        <f t="shared" si="20"/>
        <v>0</v>
      </c>
      <c r="S73" s="39">
        <v>69</v>
      </c>
      <c r="T73" s="36">
        <f t="shared" si="25"/>
        <v>174.9</v>
      </c>
      <c r="U73" s="9">
        <f t="shared" si="26"/>
        <v>1314.28</v>
      </c>
      <c r="V73" s="39">
        <v>1363481764.6700001</v>
      </c>
      <c r="W73" s="39">
        <v>11395</v>
      </c>
      <c r="X73" s="17">
        <f t="shared" si="8"/>
        <v>119656.14</v>
      </c>
      <c r="Y73" s="37">
        <f t="shared" si="9"/>
        <v>0.64090000000000003</v>
      </c>
      <c r="Z73" s="35">
        <v>75056</v>
      </c>
      <c r="AA73" s="37">
        <f t="shared" si="10"/>
        <v>0.65181299999999998</v>
      </c>
      <c r="AB73" s="37">
        <f t="shared" si="11"/>
        <v>0.35582599999999998</v>
      </c>
      <c r="AC73" s="71">
        <f t="shared" si="27"/>
        <v>0.35582599999999998</v>
      </c>
      <c r="AD73" s="38">
        <f t="shared" si="21"/>
        <v>0</v>
      </c>
      <c r="AE73" s="74">
        <f t="shared" si="22"/>
        <v>0.35582599999999998</v>
      </c>
      <c r="AF73" s="39">
        <v>0</v>
      </c>
      <c r="AG73" s="39">
        <v>0</v>
      </c>
      <c r="AH73" s="9">
        <f t="shared" si="13"/>
        <v>0</v>
      </c>
      <c r="AI73" s="11">
        <f t="shared" si="14"/>
        <v>0</v>
      </c>
      <c r="AJ73" s="11">
        <f t="shared" si="15"/>
        <v>5389724</v>
      </c>
      <c r="AK73" s="11">
        <f t="shared" si="16"/>
        <v>5389724</v>
      </c>
      <c r="AL73" s="35">
        <v>5669122</v>
      </c>
      <c r="AM73" s="11">
        <f t="shared" si="23"/>
        <v>279398</v>
      </c>
      <c r="AN73" s="72" t="str">
        <f t="shared" si="24"/>
        <v>No</v>
      </c>
      <c r="AO73" s="35">
        <v>5669122</v>
      </c>
      <c r="AP73" s="35">
        <f t="shared" si="28"/>
        <v>23273.8534</v>
      </c>
      <c r="AQ73" s="35">
        <f t="shared" si="29"/>
        <v>5645848.1465999996</v>
      </c>
      <c r="AR73" s="35">
        <f t="shared" si="30"/>
        <v>5669122</v>
      </c>
      <c r="AS73" s="66"/>
      <c r="AT73" s="67"/>
      <c r="AU73" s="35"/>
      <c r="AV73" s="68"/>
      <c r="AW73" s="35"/>
      <c r="AX73" s="21"/>
      <c r="AZ73" s="21"/>
      <c r="BA73" s="21"/>
      <c r="BE73" s="21"/>
      <c r="BF73" s="21"/>
      <c r="BG73" s="21"/>
      <c r="BH73" s="21"/>
      <c r="BI73" s="21"/>
    </row>
    <row r="74" spans="1:61" x14ac:dyDescent="0.4">
      <c r="A74" s="8" t="s">
        <v>117</v>
      </c>
      <c r="B74" s="8"/>
      <c r="C74" s="25"/>
      <c r="D74" s="25"/>
      <c r="E74" s="25"/>
      <c r="F74" s="1">
        <v>7</v>
      </c>
      <c r="G74" s="39">
        <v>80</v>
      </c>
      <c r="H74" s="8">
        <v>48</v>
      </c>
      <c r="I74" s="3" t="s">
        <v>173</v>
      </c>
      <c r="J74" s="70"/>
      <c r="K74" s="39">
        <v>2699.31</v>
      </c>
      <c r="L74" s="75"/>
      <c r="M74" s="34"/>
      <c r="N74" s="39">
        <v>397</v>
      </c>
      <c r="O74" s="65">
        <f t="shared" si="3"/>
        <v>0.14707462277396816</v>
      </c>
      <c r="P74" s="65">
        <f t="shared" si="4"/>
        <v>0</v>
      </c>
      <c r="Q74" s="35">
        <f t="shared" si="5"/>
        <v>0</v>
      </c>
      <c r="R74" s="35">
        <f t="shared" si="20"/>
        <v>0</v>
      </c>
      <c r="S74" s="39">
        <v>48</v>
      </c>
      <c r="T74" s="36">
        <f t="shared" si="25"/>
        <v>119.1</v>
      </c>
      <c r="U74" s="9">
        <f t="shared" si="26"/>
        <v>2825.6099999999997</v>
      </c>
      <c r="V74" s="39">
        <v>1961580379</v>
      </c>
      <c r="W74" s="39">
        <v>16195</v>
      </c>
      <c r="X74" s="17">
        <f t="shared" si="8"/>
        <v>121122.59</v>
      </c>
      <c r="Y74" s="37">
        <f t="shared" si="9"/>
        <v>0.64875499999999997</v>
      </c>
      <c r="Z74" s="35">
        <v>82507</v>
      </c>
      <c r="AA74" s="37">
        <f t="shared" si="10"/>
        <v>0.71652000000000005</v>
      </c>
      <c r="AB74" s="37">
        <f t="shared" si="11"/>
        <v>0.33091599999999999</v>
      </c>
      <c r="AC74" s="71">
        <f t="shared" si="27"/>
        <v>0.33091599999999999</v>
      </c>
      <c r="AD74" s="38">
        <f t="shared" si="21"/>
        <v>0</v>
      </c>
      <c r="AE74" s="74">
        <f t="shared" si="22"/>
        <v>0.33091599999999999</v>
      </c>
      <c r="AF74" s="39">
        <v>0</v>
      </c>
      <c r="AG74" s="39">
        <v>0</v>
      </c>
      <c r="AH74" s="9">
        <f t="shared" si="13"/>
        <v>0</v>
      </c>
      <c r="AI74" s="11">
        <f t="shared" si="14"/>
        <v>0</v>
      </c>
      <c r="AJ74" s="11">
        <f t="shared" si="15"/>
        <v>10776331</v>
      </c>
      <c r="AK74" s="11">
        <f t="shared" si="16"/>
        <v>10776331</v>
      </c>
      <c r="AL74" s="35">
        <v>9684435</v>
      </c>
      <c r="AM74" s="11">
        <f t="shared" si="23"/>
        <v>1091896</v>
      </c>
      <c r="AN74" s="72" t="str">
        <f t="shared" si="24"/>
        <v>Yes</v>
      </c>
      <c r="AO74" s="35">
        <v>9830496</v>
      </c>
      <c r="AP74" s="35">
        <f t="shared" si="28"/>
        <v>116396.1136</v>
      </c>
      <c r="AQ74" s="35">
        <f t="shared" si="29"/>
        <v>9946892.1136000007</v>
      </c>
      <c r="AR74" s="35">
        <f t="shared" si="30"/>
        <v>9946892.1136000007</v>
      </c>
      <c r="AS74" s="66"/>
      <c r="AT74" s="67"/>
      <c r="AU74" s="35"/>
      <c r="AV74" s="68"/>
      <c r="AW74" s="35"/>
      <c r="AX74" s="21"/>
      <c r="AZ74" s="21"/>
      <c r="BA74" s="21"/>
      <c r="BE74" s="21"/>
      <c r="BF74" s="21"/>
      <c r="BG74" s="21"/>
      <c r="BH74" s="21"/>
      <c r="BI74" s="21"/>
    </row>
    <row r="75" spans="1:61" x14ac:dyDescent="0.4">
      <c r="A75" s="8" t="s">
        <v>145</v>
      </c>
      <c r="B75" s="8"/>
      <c r="C75" s="25"/>
      <c r="D75" s="25"/>
      <c r="E75" s="25"/>
      <c r="F75" s="1">
        <v>9</v>
      </c>
      <c r="G75" s="39">
        <v>35</v>
      </c>
      <c r="H75" s="8">
        <v>49</v>
      </c>
      <c r="I75" s="3" t="s">
        <v>174</v>
      </c>
      <c r="J75" s="70"/>
      <c r="K75" s="39">
        <v>5360.8</v>
      </c>
      <c r="L75" s="76"/>
      <c r="M75" s="34"/>
      <c r="N75" s="39">
        <v>2500</v>
      </c>
      <c r="O75" s="65">
        <f t="shared" si="3"/>
        <v>0.46634830622295176</v>
      </c>
      <c r="P75" s="65">
        <f t="shared" si="4"/>
        <v>0</v>
      </c>
      <c r="Q75" s="35">
        <f t="shared" si="5"/>
        <v>0</v>
      </c>
      <c r="R75" s="35">
        <f t="shared" si="20"/>
        <v>0</v>
      </c>
      <c r="S75" s="39">
        <v>131</v>
      </c>
      <c r="T75" s="36">
        <f t="shared" si="25"/>
        <v>750</v>
      </c>
      <c r="U75" s="9">
        <f t="shared" si="26"/>
        <v>6130.45</v>
      </c>
      <c r="V75" s="39">
        <v>4201118816</v>
      </c>
      <c r="W75" s="39">
        <v>44585</v>
      </c>
      <c r="X75" s="17">
        <f t="shared" si="8"/>
        <v>94227.18</v>
      </c>
      <c r="Y75" s="37">
        <f t="shared" si="9"/>
        <v>0.50469799999999998</v>
      </c>
      <c r="Z75" s="35">
        <v>73494</v>
      </c>
      <c r="AA75" s="37">
        <f t="shared" si="10"/>
        <v>0.63824800000000004</v>
      </c>
      <c r="AB75" s="37">
        <f t="shared" si="11"/>
        <v>0.455237</v>
      </c>
      <c r="AC75" s="71">
        <f t="shared" si="27"/>
        <v>0.455237</v>
      </c>
      <c r="AD75" s="38">
        <f t="shared" si="21"/>
        <v>0</v>
      </c>
      <c r="AE75" s="74">
        <f t="shared" si="22"/>
        <v>0.455237</v>
      </c>
      <c r="AF75" s="39">
        <v>0</v>
      </c>
      <c r="AG75" s="39">
        <v>0</v>
      </c>
      <c r="AH75" s="9">
        <f t="shared" si="13"/>
        <v>0</v>
      </c>
      <c r="AI75" s="11">
        <f t="shared" si="14"/>
        <v>0</v>
      </c>
      <c r="AJ75" s="11">
        <f t="shared" si="15"/>
        <v>32164058</v>
      </c>
      <c r="AK75" s="11">
        <f t="shared" si="16"/>
        <v>32164058</v>
      </c>
      <c r="AL75" s="35">
        <v>28585010</v>
      </c>
      <c r="AM75" s="11">
        <f t="shared" si="23"/>
        <v>3579048</v>
      </c>
      <c r="AN75" s="72" t="str">
        <f t="shared" si="24"/>
        <v>Yes</v>
      </c>
      <c r="AO75" s="35">
        <v>29169999</v>
      </c>
      <c r="AP75" s="35">
        <f t="shared" si="28"/>
        <v>381526.51679999998</v>
      </c>
      <c r="AQ75" s="35">
        <f t="shared" si="29"/>
        <v>29551525.516800001</v>
      </c>
      <c r="AR75" s="35">
        <f t="shared" si="30"/>
        <v>29551525.516800001</v>
      </c>
      <c r="AS75" s="66"/>
      <c r="AT75" s="67"/>
      <c r="AU75" s="35"/>
      <c r="AV75" s="68"/>
      <c r="AW75" s="35"/>
      <c r="AX75" s="21"/>
      <c r="AZ75" s="21"/>
      <c r="BA75" s="21"/>
      <c r="BE75" s="21"/>
      <c r="BF75" s="21"/>
      <c r="BG75" s="21"/>
      <c r="BH75" s="21"/>
      <c r="BI75" s="21"/>
    </row>
    <row r="76" spans="1:61" x14ac:dyDescent="0.4">
      <c r="A76" s="8" t="s">
        <v>117</v>
      </c>
      <c r="B76" s="8"/>
      <c r="C76" s="25"/>
      <c r="D76" s="25"/>
      <c r="E76" s="25"/>
      <c r="F76" s="1">
        <v>2</v>
      </c>
      <c r="G76" s="39">
        <v>149</v>
      </c>
      <c r="H76" s="8">
        <v>50</v>
      </c>
      <c r="I76" s="3" t="s">
        <v>175</v>
      </c>
      <c r="J76" s="70"/>
      <c r="K76" s="39">
        <v>659.97</v>
      </c>
      <c r="L76" s="75"/>
      <c r="M76" s="34"/>
      <c r="N76" s="39">
        <v>126</v>
      </c>
      <c r="O76" s="65">
        <f t="shared" si="3"/>
        <v>0.19091776898949953</v>
      </c>
      <c r="P76" s="65">
        <f t="shared" si="4"/>
        <v>0</v>
      </c>
      <c r="Q76" s="35">
        <f t="shared" si="5"/>
        <v>0</v>
      </c>
      <c r="R76" s="35">
        <f t="shared" si="20"/>
        <v>0</v>
      </c>
      <c r="S76" s="39">
        <v>14</v>
      </c>
      <c r="T76" s="36">
        <f t="shared" si="25"/>
        <v>37.799999999999997</v>
      </c>
      <c r="U76" s="9">
        <f t="shared" si="26"/>
        <v>699.87</v>
      </c>
      <c r="V76" s="39">
        <v>1536845778</v>
      </c>
      <c r="W76" s="39">
        <v>6588</v>
      </c>
      <c r="X76" s="17">
        <f t="shared" si="8"/>
        <v>233279.57</v>
      </c>
      <c r="Y76" s="37">
        <f t="shared" si="9"/>
        <v>1.2494879999999999</v>
      </c>
      <c r="Z76" s="35">
        <v>87857</v>
      </c>
      <c r="AA76" s="37">
        <f t="shared" si="10"/>
        <v>0.76298100000000002</v>
      </c>
      <c r="AB76" s="37">
        <f t="shared" si="11"/>
        <v>-0.103536</v>
      </c>
      <c r="AC76" s="71">
        <f t="shared" si="27"/>
        <v>0.01</v>
      </c>
      <c r="AD76" s="38">
        <f t="shared" si="21"/>
        <v>0</v>
      </c>
      <c r="AE76" s="74">
        <f t="shared" si="22"/>
        <v>0.01</v>
      </c>
      <c r="AF76" s="39">
        <v>348</v>
      </c>
      <c r="AG76" s="39">
        <v>6</v>
      </c>
      <c r="AH76" s="9">
        <f t="shared" si="13"/>
        <v>46.15</v>
      </c>
      <c r="AI76" s="11">
        <f t="shared" si="14"/>
        <v>16060</v>
      </c>
      <c r="AJ76" s="11">
        <f t="shared" si="15"/>
        <v>80660</v>
      </c>
      <c r="AK76" s="11">
        <f t="shared" si="16"/>
        <v>96720</v>
      </c>
      <c r="AL76" s="35">
        <v>105052</v>
      </c>
      <c r="AM76" s="11">
        <f t="shared" si="23"/>
        <v>8332</v>
      </c>
      <c r="AN76" s="72" t="str">
        <f t="shared" si="24"/>
        <v>No</v>
      </c>
      <c r="AO76" s="35">
        <v>104620</v>
      </c>
      <c r="AP76" s="35">
        <f t="shared" si="28"/>
        <v>694.05560000000003</v>
      </c>
      <c r="AQ76" s="35">
        <f t="shared" si="29"/>
        <v>103925.94439999999</v>
      </c>
      <c r="AR76" s="35">
        <f t="shared" si="30"/>
        <v>103925.94439999999</v>
      </c>
      <c r="AS76" s="66"/>
      <c r="AT76" s="67"/>
      <c r="AU76" s="35"/>
      <c r="AV76" s="68"/>
      <c r="AW76" s="35"/>
      <c r="AX76" s="21"/>
      <c r="AZ76" s="21"/>
      <c r="BA76" s="21"/>
      <c r="BE76" s="21"/>
      <c r="BF76" s="21"/>
      <c r="BG76" s="21"/>
      <c r="BH76" s="21"/>
      <c r="BI76" s="21"/>
    </row>
    <row r="77" spans="1:61" x14ac:dyDescent="0.4">
      <c r="A77" s="8" t="s">
        <v>123</v>
      </c>
      <c r="B77" s="8"/>
      <c r="C77" s="25"/>
      <c r="D77" s="25"/>
      <c r="E77" s="25"/>
      <c r="F77" s="1">
        <v>2</v>
      </c>
      <c r="G77" s="39">
        <v>148</v>
      </c>
      <c r="H77" s="8">
        <v>51</v>
      </c>
      <c r="I77" s="3" t="s">
        <v>176</v>
      </c>
      <c r="J77" s="70"/>
      <c r="K77" s="39">
        <v>9669.85</v>
      </c>
      <c r="L77" s="75"/>
      <c r="M77" s="34"/>
      <c r="N77" s="39">
        <v>1553</v>
      </c>
      <c r="O77" s="65">
        <f t="shared" si="3"/>
        <v>0.16060228442013061</v>
      </c>
      <c r="P77" s="65">
        <f t="shared" si="4"/>
        <v>0</v>
      </c>
      <c r="Q77" s="35">
        <f t="shared" si="5"/>
        <v>0</v>
      </c>
      <c r="R77" s="35">
        <f t="shared" si="20"/>
        <v>0</v>
      </c>
      <c r="S77" s="39">
        <v>243</v>
      </c>
      <c r="T77" s="36">
        <f t="shared" si="25"/>
        <v>465.9</v>
      </c>
      <c r="U77" s="9">
        <f t="shared" si="26"/>
        <v>10172.200000000001</v>
      </c>
      <c r="V77" s="39">
        <v>15957220183.33</v>
      </c>
      <c r="W77" s="39">
        <v>62105</v>
      </c>
      <c r="X77" s="17">
        <f t="shared" si="8"/>
        <v>256939.38</v>
      </c>
      <c r="Y77" s="37">
        <f t="shared" si="9"/>
        <v>1.376214</v>
      </c>
      <c r="Z77" s="35">
        <v>127746</v>
      </c>
      <c r="AA77" s="37">
        <f t="shared" si="10"/>
        <v>1.1093919999999999</v>
      </c>
      <c r="AB77" s="37">
        <f t="shared" si="11"/>
        <v>-0.29616700000000001</v>
      </c>
      <c r="AC77" s="71">
        <f t="shared" si="27"/>
        <v>0.01</v>
      </c>
      <c r="AD77" s="38">
        <f t="shared" si="21"/>
        <v>0</v>
      </c>
      <c r="AE77" s="74">
        <f t="shared" si="22"/>
        <v>0.01</v>
      </c>
      <c r="AF77" s="39">
        <v>0</v>
      </c>
      <c r="AG77" s="39">
        <v>0</v>
      </c>
      <c r="AH77" s="9">
        <f t="shared" si="13"/>
        <v>0</v>
      </c>
      <c r="AI77" s="11">
        <f t="shared" si="14"/>
        <v>0</v>
      </c>
      <c r="AJ77" s="11">
        <f t="shared" si="15"/>
        <v>1172346</v>
      </c>
      <c r="AK77" s="11">
        <f t="shared" si="16"/>
        <v>1172346</v>
      </c>
      <c r="AL77" s="35">
        <v>1087165</v>
      </c>
      <c r="AM77" s="11">
        <f t="shared" si="23"/>
        <v>85181</v>
      </c>
      <c r="AN77" s="72" t="str">
        <f t="shared" si="24"/>
        <v>Yes</v>
      </c>
      <c r="AO77" s="35">
        <v>1102464</v>
      </c>
      <c r="AP77" s="35">
        <f t="shared" si="28"/>
        <v>9080.2945999999993</v>
      </c>
      <c r="AQ77" s="35">
        <f t="shared" si="29"/>
        <v>1111544.2945999999</v>
      </c>
      <c r="AR77" s="35">
        <f t="shared" si="30"/>
        <v>1111544.2945999999</v>
      </c>
      <c r="AS77" s="66"/>
      <c r="AT77" s="67"/>
      <c r="AU77" s="35"/>
      <c r="AV77" s="68"/>
      <c r="AW77" s="35"/>
      <c r="AX77" s="21"/>
      <c r="AZ77" s="21"/>
      <c r="BA77" s="21"/>
      <c r="BE77" s="21"/>
      <c r="BF77" s="21"/>
      <c r="BG77" s="21"/>
      <c r="BH77" s="21"/>
      <c r="BI77" s="21"/>
    </row>
    <row r="78" spans="1:61" x14ac:dyDescent="0.4">
      <c r="A78" s="8" t="s">
        <v>123</v>
      </c>
      <c r="B78" s="8"/>
      <c r="C78" s="25"/>
      <c r="D78" s="25"/>
      <c r="E78" s="25"/>
      <c r="F78" s="1">
        <v>3</v>
      </c>
      <c r="G78" s="39">
        <v>142</v>
      </c>
      <c r="H78" s="8">
        <v>52</v>
      </c>
      <c r="I78" s="3" t="s">
        <v>177</v>
      </c>
      <c r="J78" s="70"/>
      <c r="K78" s="39">
        <v>4097.18</v>
      </c>
      <c r="L78" s="75"/>
      <c r="M78" s="34"/>
      <c r="N78" s="39">
        <v>634</v>
      </c>
      <c r="O78" s="65">
        <f t="shared" si="3"/>
        <v>0.15474057766561389</v>
      </c>
      <c r="P78" s="65">
        <f t="shared" si="4"/>
        <v>0</v>
      </c>
      <c r="Q78" s="35">
        <f t="shared" si="5"/>
        <v>0</v>
      </c>
      <c r="R78" s="35">
        <f t="shared" si="20"/>
        <v>0</v>
      </c>
      <c r="S78" s="39">
        <v>172</v>
      </c>
      <c r="T78" s="36">
        <f t="shared" si="25"/>
        <v>190.2</v>
      </c>
      <c r="U78" s="9">
        <f t="shared" si="26"/>
        <v>4313.18</v>
      </c>
      <c r="V78" s="39">
        <v>5348306743</v>
      </c>
      <c r="W78" s="39">
        <v>25572</v>
      </c>
      <c r="X78" s="17">
        <f t="shared" si="8"/>
        <v>209146.99</v>
      </c>
      <c r="Y78" s="37">
        <f t="shared" si="9"/>
        <v>1.1202289999999999</v>
      </c>
      <c r="Z78" s="35">
        <v>94785</v>
      </c>
      <c r="AA78" s="37">
        <f t="shared" si="10"/>
        <v>0.82314699999999996</v>
      </c>
      <c r="AB78" s="37">
        <f t="shared" si="11"/>
        <v>-3.1104E-2</v>
      </c>
      <c r="AC78" s="71">
        <f t="shared" si="27"/>
        <v>0.01</v>
      </c>
      <c r="AD78" s="38">
        <f t="shared" si="21"/>
        <v>0</v>
      </c>
      <c r="AE78" s="74">
        <f t="shared" si="22"/>
        <v>0.01</v>
      </c>
      <c r="AF78" s="39">
        <v>0</v>
      </c>
      <c r="AG78" s="39">
        <v>0</v>
      </c>
      <c r="AH78" s="9">
        <f t="shared" si="13"/>
        <v>0</v>
      </c>
      <c r="AI78" s="11">
        <f t="shared" si="14"/>
        <v>0</v>
      </c>
      <c r="AJ78" s="11">
        <f t="shared" si="15"/>
        <v>497094</v>
      </c>
      <c r="AK78" s="11">
        <f t="shared" si="16"/>
        <v>497094</v>
      </c>
      <c r="AL78" s="35">
        <v>1095080</v>
      </c>
      <c r="AM78" s="11">
        <f t="shared" si="23"/>
        <v>597986</v>
      </c>
      <c r="AN78" s="72" t="str">
        <f t="shared" si="24"/>
        <v>No</v>
      </c>
      <c r="AO78" s="35">
        <v>893279</v>
      </c>
      <c r="AP78" s="35">
        <f t="shared" si="28"/>
        <v>49812.233800000002</v>
      </c>
      <c r="AQ78" s="35">
        <f t="shared" si="29"/>
        <v>843466.76619999995</v>
      </c>
      <c r="AR78" s="35">
        <f t="shared" si="30"/>
        <v>843466.76619999995</v>
      </c>
      <c r="AS78" s="66"/>
      <c r="AT78" s="67"/>
      <c r="AU78" s="35"/>
      <c r="AV78" s="68"/>
      <c r="AW78" s="35"/>
      <c r="AX78" s="21"/>
      <c r="AZ78" s="21"/>
      <c r="BA78" s="21"/>
      <c r="BE78" s="21"/>
      <c r="BF78" s="21"/>
      <c r="BG78" s="21"/>
      <c r="BH78" s="21"/>
      <c r="BI78" s="21"/>
    </row>
    <row r="79" spans="1:61" x14ac:dyDescent="0.4">
      <c r="A79" s="8" t="s">
        <v>121</v>
      </c>
      <c r="B79" s="8"/>
      <c r="C79" s="25"/>
      <c r="D79" s="25"/>
      <c r="E79" s="25"/>
      <c r="F79" s="1">
        <v>5</v>
      </c>
      <c r="G79" s="39">
        <v>96</v>
      </c>
      <c r="H79" s="8">
        <v>53</v>
      </c>
      <c r="I79" s="3" t="s">
        <v>178</v>
      </c>
      <c r="J79" s="70"/>
      <c r="K79" s="39">
        <v>222.8</v>
      </c>
      <c r="L79" s="75"/>
      <c r="M79" s="34"/>
      <c r="N79" s="39">
        <v>48</v>
      </c>
      <c r="O79" s="65">
        <f t="shared" si="3"/>
        <v>0.21543985637342908</v>
      </c>
      <c r="P79" s="65">
        <f t="shared" si="4"/>
        <v>0</v>
      </c>
      <c r="Q79" s="35">
        <f t="shared" si="5"/>
        <v>0</v>
      </c>
      <c r="R79" s="35">
        <f t="shared" si="20"/>
        <v>0</v>
      </c>
      <c r="S79" s="39">
        <v>1</v>
      </c>
      <c r="T79" s="36">
        <f t="shared" si="25"/>
        <v>14.4</v>
      </c>
      <c r="U79" s="9">
        <f t="shared" si="26"/>
        <v>237.35000000000002</v>
      </c>
      <c r="V79" s="39">
        <v>327674593.32999998</v>
      </c>
      <c r="W79" s="39">
        <v>1944</v>
      </c>
      <c r="X79" s="17">
        <f t="shared" si="8"/>
        <v>168556.89</v>
      </c>
      <c r="Y79" s="37">
        <f t="shared" si="9"/>
        <v>0.90282099999999998</v>
      </c>
      <c r="Z79" s="35">
        <v>92279</v>
      </c>
      <c r="AA79" s="37">
        <f t="shared" si="10"/>
        <v>0.80138399999999999</v>
      </c>
      <c r="AB79" s="37">
        <f t="shared" si="11"/>
        <v>0.12761</v>
      </c>
      <c r="AC79" s="71">
        <f t="shared" si="27"/>
        <v>0.12761</v>
      </c>
      <c r="AD79" s="38">
        <f t="shared" si="21"/>
        <v>0</v>
      </c>
      <c r="AE79" s="74">
        <f t="shared" si="22"/>
        <v>0.12761</v>
      </c>
      <c r="AF79" s="39">
        <v>0</v>
      </c>
      <c r="AG79" s="39">
        <v>0</v>
      </c>
      <c r="AH79" s="9">
        <f t="shared" si="13"/>
        <v>0</v>
      </c>
      <c r="AI79" s="11">
        <f t="shared" si="14"/>
        <v>0</v>
      </c>
      <c r="AJ79" s="11">
        <f t="shared" si="15"/>
        <v>349072</v>
      </c>
      <c r="AK79" s="11">
        <f t="shared" si="16"/>
        <v>349072</v>
      </c>
      <c r="AL79" s="35">
        <v>923278</v>
      </c>
      <c r="AM79" s="11">
        <f t="shared" si="23"/>
        <v>574206</v>
      </c>
      <c r="AN79" s="72" t="str">
        <f t="shared" si="24"/>
        <v>No</v>
      </c>
      <c r="AO79" s="35">
        <v>784087</v>
      </c>
      <c r="AP79" s="35">
        <f t="shared" si="28"/>
        <v>47831.359799999998</v>
      </c>
      <c r="AQ79" s="35">
        <f t="shared" si="29"/>
        <v>736255.64020000002</v>
      </c>
      <c r="AR79" s="35">
        <f t="shared" si="30"/>
        <v>736255.64020000002</v>
      </c>
      <c r="AS79" s="66"/>
      <c r="AT79" s="67"/>
      <c r="AU79" s="35"/>
      <c r="AV79" s="68"/>
      <c r="AW79" s="35"/>
      <c r="AX79" s="21"/>
      <c r="AZ79" s="21"/>
      <c r="BA79" s="21"/>
      <c r="BE79" s="21"/>
      <c r="BF79" s="21"/>
      <c r="BG79" s="21"/>
      <c r="BH79" s="21"/>
      <c r="BI79" s="21"/>
    </row>
    <row r="80" spans="1:61" x14ac:dyDescent="0.4">
      <c r="A80" s="8" t="s">
        <v>123</v>
      </c>
      <c r="B80" s="8"/>
      <c r="C80" s="25"/>
      <c r="D80" s="25"/>
      <c r="E80" s="25"/>
      <c r="F80" s="1">
        <v>3</v>
      </c>
      <c r="G80" s="39">
        <v>137</v>
      </c>
      <c r="H80" s="8">
        <v>54</v>
      </c>
      <c r="I80" s="3" t="s">
        <v>179</v>
      </c>
      <c r="J80" s="70"/>
      <c r="K80" s="39">
        <v>5940.12</v>
      </c>
      <c r="L80" s="75"/>
      <c r="M80" s="34"/>
      <c r="N80" s="39">
        <v>781</v>
      </c>
      <c r="O80" s="65">
        <f t="shared" si="3"/>
        <v>0.13147882534359576</v>
      </c>
      <c r="P80" s="65">
        <f t="shared" si="4"/>
        <v>0</v>
      </c>
      <c r="Q80" s="35">
        <f t="shared" si="5"/>
        <v>0</v>
      </c>
      <c r="R80" s="35">
        <f t="shared" si="20"/>
        <v>0</v>
      </c>
      <c r="S80" s="39">
        <v>158</v>
      </c>
      <c r="T80" s="36">
        <f t="shared" si="25"/>
        <v>234.3</v>
      </c>
      <c r="U80" s="9">
        <f t="shared" si="26"/>
        <v>6198.12</v>
      </c>
      <c r="V80" s="39">
        <v>6031247290.6700001</v>
      </c>
      <c r="W80" s="39">
        <v>34575</v>
      </c>
      <c r="X80" s="17">
        <f t="shared" si="8"/>
        <v>174439.55</v>
      </c>
      <c r="Y80" s="37">
        <f t="shared" si="9"/>
        <v>0.93432999999999999</v>
      </c>
      <c r="Z80" s="35">
        <v>111645</v>
      </c>
      <c r="AA80" s="37">
        <f t="shared" si="10"/>
        <v>0.96956500000000001</v>
      </c>
      <c r="AB80" s="37">
        <f t="shared" si="11"/>
        <v>5.5100000000000003E-2</v>
      </c>
      <c r="AC80" s="71">
        <f t="shared" si="27"/>
        <v>5.5100000000000003E-2</v>
      </c>
      <c r="AD80" s="38">
        <f t="shared" si="21"/>
        <v>0</v>
      </c>
      <c r="AE80" s="74">
        <f t="shared" si="22"/>
        <v>5.5100000000000003E-2</v>
      </c>
      <c r="AF80" s="39">
        <v>0</v>
      </c>
      <c r="AG80" s="39">
        <v>0</v>
      </c>
      <c r="AH80" s="9">
        <f t="shared" si="13"/>
        <v>0</v>
      </c>
      <c r="AI80" s="11">
        <f t="shared" si="14"/>
        <v>0</v>
      </c>
      <c r="AJ80" s="11">
        <f t="shared" si="15"/>
        <v>3935977</v>
      </c>
      <c r="AK80" s="11">
        <f t="shared" si="16"/>
        <v>3935977</v>
      </c>
      <c r="AL80" s="35">
        <v>6654380</v>
      </c>
      <c r="AM80" s="11">
        <f t="shared" si="23"/>
        <v>2718403</v>
      </c>
      <c r="AN80" s="72" t="str">
        <f t="shared" si="24"/>
        <v>No</v>
      </c>
      <c r="AO80" s="35">
        <v>5605704</v>
      </c>
      <c r="AP80" s="35">
        <f t="shared" si="28"/>
        <v>226442.9699</v>
      </c>
      <c r="AQ80" s="35">
        <f t="shared" si="29"/>
        <v>5379261.0301000001</v>
      </c>
      <c r="AR80" s="35">
        <f t="shared" si="30"/>
        <v>5379261.0301000001</v>
      </c>
      <c r="AS80" s="66"/>
      <c r="AT80" s="67"/>
      <c r="AU80" s="35"/>
      <c r="AV80" s="68"/>
      <c r="AW80" s="35"/>
      <c r="AX80" s="21"/>
      <c r="AZ80" s="21"/>
      <c r="BA80" s="21"/>
      <c r="BE80" s="21"/>
      <c r="BF80" s="21"/>
      <c r="BG80" s="21"/>
      <c r="BH80" s="21"/>
      <c r="BI80" s="21"/>
    </row>
    <row r="81" spans="1:61" x14ac:dyDescent="0.4">
      <c r="A81" s="8" t="s">
        <v>121</v>
      </c>
      <c r="B81" s="8"/>
      <c r="C81" s="25"/>
      <c r="D81" s="25"/>
      <c r="E81" s="25"/>
      <c r="F81" s="1">
        <v>2</v>
      </c>
      <c r="G81" s="39">
        <v>143</v>
      </c>
      <c r="H81" s="8">
        <v>55</v>
      </c>
      <c r="I81" s="3" t="s">
        <v>180</v>
      </c>
      <c r="J81" s="70"/>
      <c r="K81" s="39">
        <v>349.69</v>
      </c>
      <c r="L81" s="75"/>
      <c r="M81" s="34"/>
      <c r="N81" s="39">
        <v>87</v>
      </c>
      <c r="O81" s="65">
        <f t="shared" si="3"/>
        <v>0.24879178701135291</v>
      </c>
      <c r="P81" s="65">
        <f t="shared" si="4"/>
        <v>0</v>
      </c>
      <c r="Q81" s="35">
        <f t="shared" si="5"/>
        <v>0</v>
      </c>
      <c r="R81" s="35">
        <f t="shared" si="20"/>
        <v>0</v>
      </c>
      <c r="S81" s="39">
        <v>6</v>
      </c>
      <c r="T81" s="36">
        <f t="shared" si="25"/>
        <v>26.1</v>
      </c>
      <c r="U81" s="9">
        <f t="shared" si="26"/>
        <v>376.69</v>
      </c>
      <c r="V81" s="39">
        <v>778299722.66999996</v>
      </c>
      <c r="W81" s="39">
        <v>2888</v>
      </c>
      <c r="X81" s="17">
        <f t="shared" si="8"/>
        <v>269494.36</v>
      </c>
      <c r="Y81" s="37">
        <f t="shared" si="9"/>
        <v>1.4434610000000001</v>
      </c>
      <c r="Z81" s="35">
        <v>96026</v>
      </c>
      <c r="AA81" s="37">
        <f t="shared" si="10"/>
        <v>0.833924</v>
      </c>
      <c r="AB81" s="37">
        <f t="shared" si="11"/>
        <v>-0.2606</v>
      </c>
      <c r="AC81" s="71">
        <f t="shared" si="27"/>
        <v>0.01</v>
      </c>
      <c r="AD81" s="38">
        <f t="shared" si="21"/>
        <v>0</v>
      </c>
      <c r="AE81" s="74">
        <f t="shared" si="22"/>
        <v>0.01</v>
      </c>
      <c r="AF81" s="39">
        <v>354</v>
      </c>
      <c r="AG81" s="39">
        <v>13</v>
      </c>
      <c r="AH81" s="9">
        <f t="shared" si="13"/>
        <v>100</v>
      </c>
      <c r="AI81" s="11">
        <f t="shared" si="14"/>
        <v>35400</v>
      </c>
      <c r="AJ81" s="11">
        <f t="shared" si="15"/>
        <v>43414</v>
      </c>
      <c r="AK81" s="11">
        <f t="shared" si="16"/>
        <v>78814</v>
      </c>
      <c r="AL81" s="35">
        <v>82025</v>
      </c>
      <c r="AM81" s="11">
        <f t="shared" si="23"/>
        <v>3211</v>
      </c>
      <c r="AN81" s="72" t="str">
        <f t="shared" si="24"/>
        <v>No</v>
      </c>
      <c r="AO81" s="35">
        <v>80429</v>
      </c>
      <c r="AP81" s="35">
        <f t="shared" si="28"/>
        <v>267.47629999999998</v>
      </c>
      <c r="AQ81" s="35">
        <f t="shared" si="29"/>
        <v>80161.523700000005</v>
      </c>
      <c r="AR81" s="35">
        <f t="shared" si="30"/>
        <v>80161.523700000005</v>
      </c>
      <c r="AS81" s="66"/>
      <c r="AT81" s="67"/>
      <c r="AU81" s="35"/>
      <c r="AV81" s="68"/>
      <c r="AW81" s="35"/>
      <c r="AX81" s="21"/>
      <c r="AZ81" s="21"/>
      <c r="BA81" s="21"/>
      <c r="BE81" s="21"/>
      <c r="BF81" s="21"/>
      <c r="BG81" s="21"/>
      <c r="BH81" s="21"/>
      <c r="BI81" s="21"/>
    </row>
    <row r="82" spans="1:61" x14ac:dyDescent="0.4">
      <c r="A82" s="8" t="s">
        <v>123</v>
      </c>
      <c r="B82" s="8"/>
      <c r="C82" s="25"/>
      <c r="D82" s="25"/>
      <c r="E82" s="25"/>
      <c r="F82" s="1">
        <v>5</v>
      </c>
      <c r="G82" s="39">
        <v>120</v>
      </c>
      <c r="H82" s="8">
        <v>56</v>
      </c>
      <c r="I82" s="3" t="s">
        <v>181</v>
      </c>
      <c r="J82" s="70"/>
      <c r="K82" s="39">
        <v>1757.74</v>
      </c>
      <c r="L82" s="75"/>
      <c r="M82" s="34"/>
      <c r="N82" s="39">
        <v>181</v>
      </c>
      <c r="O82" s="65">
        <f t="shared" si="3"/>
        <v>0.1029731359586742</v>
      </c>
      <c r="P82" s="65">
        <f t="shared" si="4"/>
        <v>0</v>
      </c>
      <c r="Q82" s="35">
        <f t="shared" si="5"/>
        <v>0</v>
      </c>
      <c r="R82" s="35">
        <f t="shared" si="20"/>
        <v>0</v>
      </c>
      <c r="S82" s="39">
        <v>5</v>
      </c>
      <c r="T82" s="36">
        <f t="shared" si="25"/>
        <v>54.3</v>
      </c>
      <c r="U82" s="9">
        <f t="shared" si="26"/>
        <v>1812.79</v>
      </c>
      <c r="V82" s="39">
        <v>1442807818</v>
      </c>
      <c r="W82" s="39">
        <v>11357</v>
      </c>
      <c r="X82" s="17">
        <f t="shared" si="8"/>
        <v>127041.28</v>
      </c>
      <c r="Y82" s="37">
        <f t="shared" si="9"/>
        <v>0.68045599999999995</v>
      </c>
      <c r="Z82" s="35">
        <v>111220</v>
      </c>
      <c r="AA82" s="37">
        <f t="shared" si="10"/>
        <v>0.96587400000000001</v>
      </c>
      <c r="AB82" s="37">
        <f t="shared" si="11"/>
        <v>0.23391899999999999</v>
      </c>
      <c r="AC82" s="71">
        <f t="shared" si="27"/>
        <v>0.23391899999999999</v>
      </c>
      <c r="AD82" s="38">
        <f t="shared" si="21"/>
        <v>0</v>
      </c>
      <c r="AE82" s="74">
        <f t="shared" si="22"/>
        <v>0.23391899999999999</v>
      </c>
      <c r="AF82" s="39">
        <v>0</v>
      </c>
      <c r="AG82" s="39">
        <v>0</v>
      </c>
      <c r="AH82" s="9">
        <f t="shared" si="13"/>
        <v>0</v>
      </c>
      <c r="AI82" s="11">
        <f t="shared" si="14"/>
        <v>0</v>
      </c>
      <c r="AJ82" s="11">
        <f t="shared" si="15"/>
        <v>4887130</v>
      </c>
      <c r="AK82" s="11">
        <f t="shared" si="16"/>
        <v>4887130</v>
      </c>
      <c r="AL82" s="35">
        <v>5510220</v>
      </c>
      <c r="AM82" s="11">
        <f t="shared" si="23"/>
        <v>623090</v>
      </c>
      <c r="AN82" s="72" t="str">
        <f t="shared" si="24"/>
        <v>No</v>
      </c>
      <c r="AO82" s="35">
        <v>5330217</v>
      </c>
      <c r="AP82" s="35">
        <f t="shared" si="28"/>
        <v>51903.396999999997</v>
      </c>
      <c r="AQ82" s="35">
        <f t="shared" si="29"/>
        <v>5278313.6030000001</v>
      </c>
      <c r="AR82" s="35">
        <f t="shared" si="30"/>
        <v>5278313.6030000001</v>
      </c>
      <c r="AS82" s="66"/>
      <c r="AT82" s="67"/>
      <c r="AU82" s="35"/>
      <c r="AV82" s="68"/>
      <c r="AW82" s="35"/>
      <c r="AX82" s="21"/>
      <c r="AZ82" s="21"/>
      <c r="BA82" s="21"/>
      <c r="BE82" s="21"/>
      <c r="BF82" s="21"/>
      <c r="BG82" s="21"/>
      <c r="BH82" s="21"/>
      <c r="BI82" s="21"/>
    </row>
    <row r="83" spans="1:61" x14ac:dyDescent="0.4">
      <c r="A83" s="8" t="s">
        <v>123</v>
      </c>
      <c r="B83" s="8"/>
      <c r="C83" s="25"/>
      <c r="D83" s="25"/>
      <c r="E83" s="25"/>
      <c r="F83" s="1">
        <v>1</v>
      </c>
      <c r="G83" s="39">
        <v>168</v>
      </c>
      <c r="H83" s="8">
        <v>57</v>
      </c>
      <c r="I83" s="3" t="s">
        <v>182</v>
      </c>
      <c r="J83" s="70"/>
      <c r="K83" s="39">
        <v>8817.44</v>
      </c>
      <c r="L83" s="75"/>
      <c r="M83" s="34"/>
      <c r="N83" s="39">
        <v>1840</v>
      </c>
      <c r="O83" s="65">
        <f t="shared" si="3"/>
        <v>0.20867734852746375</v>
      </c>
      <c r="P83" s="65">
        <f t="shared" si="4"/>
        <v>0</v>
      </c>
      <c r="Q83" s="35">
        <f t="shared" si="5"/>
        <v>0</v>
      </c>
      <c r="R83" s="35">
        <f t="shared" si="20"/>
        <v>0</v>
      </c>
      <c r="S83" s="39">
        <v>413</v>
      </c>
      <c r="T83" s="36">
        <f t="shared" si="25"/>
        <v>552</v>
      </c>
      <c r="U83" s="9">
        <f t="shared" si="26"/>
        <v>9431.3900000000012</v>
      </c>
      <c r="V83" s="39">
        <v>48397011843</v>
      </c>
      <c r="W83" s="39">
        <v>62855</v>
      </c>
      <c r="X83" s="17">
        <f t="shared" si="8"/>
        <v>769978.71</v>
      </c>
      <c r="Y83" s="37">
        <f t="shared" si="9"/>
        <v>4.1241459999999996</v>
      </c>
      <c r="Z83" s="35">
        <v>138180</v>
      </c>
      <c r="AA83" s="37">
        <f t="shared" si="10"/>
        <v>1.2000040000000001</v>
      </c>
      <c r="AB83" s="37">
        <f t="shared" si="11"/>
        <v>-2.2469030000000001</v>
      </c>
      <c r="AC83" s="71">
        <f t="shared" si="27"/>
        <v>0.01</v>
      </c>
      <c r="AD83" s="38">
        <f t="shared" si="21"/>
        <v>0</v>
      </c>
      <c r="AE83" s="74">
        <f t="shared" si="22"/>
        <v>0.01</v>
      </c>
      <c r="AF83" s="39">
        <v>0</v>
      </c>
      <c r="AG83" s="39">
        <v>0</v>
      </c>
      <c r="AH83" s="9">
        <f t="shared" si="13"/>
        <v>0</v>
      </c>
      <c r="AI83" s="11">
        <f t="shared" si="14"/>
        <v>0</v>
      </c>
      <c r="AJ83" s="11">
        <f t="shared" si="15"/>
        <v>1086968</v>
      </c>
      <c r="AK83" s="11">
        <f t="shared" si="16"/>
        <v>1086968</v>
      </c>
      <c r="AL83" s="35">
        <v>136859</v>
      </c>
      <c r="AM83" s="11">
        <f t="shared" si="23"/>
        <v>950109</v>
      </c>
      <c r="AN83" s="72" t="str">
        <f t="shared" si="24"/>
        <v>Yes</v>
      </c>
      <c r="AO83" s="35">
        <v>277367</v>
      </c>
      <c r="AP83" s="35">
        <f t="shared" si="28"/>
        <v>101281.6194</v>
      </c>
      <c r="AQ83" s="35">
        <f t="shared" si="29"/>
        <v>378648.61939999997</v>
      </c>
      <c r="AR83" s="35">
        <f t="shared" si="30"/>
        <v>378648.61939999997</v>
      </c>
      <c r="AS83" s="66"/>
      <c r="AT83" s="67"/>
      <c r="AU83" s="35"/>
      <c r="AV83" s="68"/>
      <c r="AW83" s="35"/>
      <c r="AX83" s="21"/>
      <c r="AZ83" s="21"/>
      <c r="BA83" s="21"/>
      <c r="BE83" s="21"/>
      <c r="BF83" s="21"/>
      <c r="BG83" s="21"/>
      <c r="BH83" s="21"/>
      <c r="BI83" s="21"/>
    </row>
    <row r="84" spans="1:61" x14ac:dyDescent="0.4">
      <c r="A84" s="8" t="s">
        <v>145</v>
      </c>
      <c r="B84" s="8"/>
      <c r="C84" s="25"/>
      <c r="D84" s="25"/>
      <c r="E84" s="25"/>
      <c r="F84" s="1">
        <v>9</v>
      </c>
      <c r="G84" s="39">
        <v>30</v>
      </c>
      <c r="H84" s="8">
        <v>58</v>
      </c>
      <c r="I84" s="3" t="s">
        <v>183</v>
      </c>
      <c r="J84" s="70"/>
      <c r="K84" s="39">
        <v>1649.09</v>
      </c>
      <c r="L84" s="76"/>
      <c r="M84" s="34"/>
      <c r="N84" s="39">
        <v>830</v>
      </c>
      <c r="O84" s="65">
        <f t="shared" si="3"/>
        <v>0.50330788495473266</v>
      </c>
      <c r="P84" s="65">
        <f t="shared" si="4"/>
        <v>0</v>
      </c>
      <c r="Q84" s="35">
        <f t="shared" si="5"/>
        <v>0</v>
      </c>
      <c r="R84" s="35">
        <f t="shared" si="20"/>
        <v>0</v>
      </c>
      <c r="S84" s="39">
        <v>22</v>
      </c>
      <c r="T84" s="36">
        <f t="shared" si="25"/>
        <v>249</v>
      </c>
      <c r="U84" s="9">
        <f t="shared" si="26"/>
        <v>1901.3899999999999</v>
      </c>
      <c r="V84" s="39">
        <v>1026682833</v>
      </c>
      <c r="W84" s="39">
        <v>11687</v>
      </c>
      <c r="X84" s="17">
        <f t="shared" si="8"/>
        <v>87848.28</v>
      </c>
      <c r="Y84" s="37">
        <f t="shared" si="9"/>
        <v>0.47053099999999998</v>
      </c>
      <c r="Z84" s="35">
        <v>60521</v>
      </c>
      <c r="AA84" s="37">
        <f t="shared" si="10"/>
        <v>0.525586</v>
      </c>
      <c r="AB84" s="37">
        <f t="shared" si="11"/>
        <v>0.51295299999999999</v>
      </c>
      <c r="AC84" s="71">
        <f t="shared" si="27"/>
        <v>0.51295299999999999</v>
      </c>
      <c r="AD84" s="38">
        <f t="shared" si="21"/>
        <v>0</v>
      </c>
      <c r="AE84" s="74">
        <f t="shared" si="22"/>
        <v>0.51295299999999999</v>
      </c>
      <c r="AF84" s="39">
        <v>0</v>
      </c>
      <c r="AG84" s="39">
        <v>0</v>
      </c>
      <c r="AH84" s="9">
        <f t="shared" si="13"/>
        <v>0</v>
      </c>
      <c r="AI84" s="11">
        <f t="shared" si="14"/>
        <v>0</v>
      </c>
      <c r="AJ84" s="11">
        <f t="shared" si="15"/>
        <v>11240606</v>
      </c>
      <c r="AK84" s="11">
        <f t="shared" si="16"/>
        <v>11240606</v>
      </c>
      <c r="AL84" s="35">
        <v>10775767</v>
      </c>
      <c r="AM84" s="11">
        <f t="shared" si="23"/>
        <v>464839</v>
      </c>
      <c r="AN84" s="72" t="str">
        <f t="shared" si="24"/>
        <v>Yes</v>
      </c>
      <c r="AO84" s="35">
        <v>10875602</v>
      </c>
      <c r="AP84" s="35">
        <f t="shared" si="28"/>
        <v>49551.837399999997</v>
      </c>
      <c r="AQ84" s="35">
        <f t="shared" si="29"/>
        <v>10925153.837400001</v>
      </c>
      <c r="AR84" s="35">
        <f t="shared" si="30"/>
        <v>10925153.837400001</v>
      </c>
      <c r="AS84" s="66"/>
      <c r="AT84" s="67"/>
      <c r="AU84" s="35"/>
      <c r="AV84" s="68"/>
      <c r="AW84" s="35"/>
      <c r="AX84" s="21"/>
      <c r="AZ84" s="21"/>
      <c r="BA84" s="21"/>
      <c r="BE84" s="21"/>
      <c r="BF84" s="21"/>
      <c r="BG84" s="21"/>
      <c r="BH84" s="21"/>
      <c r="BI84" s="21"/>
    </row>
    <row r="85" spans="1:61" x14ac:dyDescent="0.4">
      <c r="A85" s="8" t="s">
        <v>132</v>
      </c>
      <c r="B85" s="8"/>
      <c r="C85" s="25">
        <v>1</v>
      </c>
      <c r="D85" s="25"/>
      <c r="E85" s="25"/>
      <c r="F85" s="1">
        <v>8</v>
      </c>
      <c r="G85" s="39">
        <v>61</v>
      </c>
      <c r="H85" s="8">
        <v>59</v>
      </c>
      <c r="I85" s="3" t="s">
        <v>184</v>
      </c>
      <c r="J85" s="70"/>
      <c r="K85" s="39">
        <v>4703.34</v>
      </c>
      <c r="L85" s="76"/>
      <c r="M85" s="34"/>
      <c r="N85" s="39">
        <v>2366</v>
      </c>
      <c r="O85" s="65">
        <f t="shared" si="3"/>
        <v>0.50304677101804252</v>
      </c>
      <c r="P85" s="65">
        <f t="shared" si="4"/>
        <v>0</v>
      </c>
      <c r="Q85" s="35">
        <f t="shared" si="5"/>
        <v>0</v>
      </c>
      <c r="R85" s="35">
        <f t="shared" si="20"/>
        <v>0</v>
      </c>
      <c r="S85" s="39">
        <v>186</v>
      </c>
      <c r="T85" s="36">
        <f t="shared" si="25"/>
        <v>709.8</v>
      </c>
      <c r="U85" s="9">
        <f t="shared" si="26"/>
        <v>5441.04</v>
      </c>
      <c r="V85" s="39">
        <v>5326766110.6700001</v>
      </c>
      <c r="W85" s="39">
        <v>39075</v>
      </c>
      <c r="X85" s="17">
        <f t="shared" si="8"/>
        <v>136321.59</v>
      </c>
      <c r="Y85" s="37">
        <f t="shared" si="9"/>
        <v>0.73016300000000001</v>
      </c>
      <c r="Z85" s="35">
        <v>63895</v>
      </c>
      <c r="AA85" s="37">
        <f t="shared" si="10"/>
        <v>0.55488700000000002</v>
      </c>
      <c r="AB85" s="37">
        <f t="shared" si="11"/>
        <v>0.32241999999999998</v>
      </c>
      <c r="AC85" s="71">
        <f t="shared" si="27"/>
        <v>0.32241999999999998</v>
      </c>
      <c r="AD85" s="38">
        <f t="shared" si="21"/>
        <v>0</v>
      </c>
      <c r="AE85" s="74">
        <f t="shared" si="22"/>
        <v>0.32241999999999998</v>
      </c>
      <c r="AF85" s="39">
        <v>0</v>
      </c>
      <c r="AG85" s="39">
        <v>0</v>
      </c>
      <c r="AH85" s="9">
        <f t="shared" si="13"/>
        <v>0</v>
      </c>
      <c r="AI85" s="11">
        <f t="shared" si="14"/>
        <v>0</v>
      </c>
      <c r="AJ85" s="11">
        <f t="shared" si="15"/>
        <v>20218309</v>
      </c>
      <c r="AK85" s="11">
        <f t="shared" si="16"/>
        <v>20218309</v>
      </c>
      <c r="AL85" s="35">
        <v>25040045</v>
      </c>
      <c r="AM85" s="11">
        <f t="shared" si="23"/>
        <v>4821736</v>
      </c>
      <c r="AN85" s="72" t="str">
        <f t="shared" si="24"/>
        <v>No</v>
      </c>
      <c r="AO85" s="35">
        <v>25040045</v>
      </c>
      <c r="AP85" s="35">
        <f t="shared" si="28"/>
        <v>401650.60879999999</v>
      </c>
      <c r="AQ85" s="35">
        <f t="shared" si="29"/>
        <v>24638394.391199999</v>
      </c>
      <c r="AR85" s="35">
        <f t="shared" si="30"/>
        <v>25040045</v>
      </c>
      <c r="AS85" s="66"/>
      <c r="AT85" s="67"/>
      <c r="AU85" s="35"/>
      <c r="AV85" s="68"/>
      <c r="AW85" s="35"/>
      <c r="AX85" s="21"/>
      <c r="AZ85" s="21"/>
      <c r="BA85" s="21"/>
      <c r="BE85" s="21"/>
      <c r="BF85" s="21"/>
      <c r="BG85" s="21"/>
      <c r="BH85" s="21"/>
      <c r="BI85" s="21"/>
    </row>
    <row r="86" spans="1:61" x14ac:dyDescent="0.4">
      <c r="A86" s="8" t="s">
        <v>123</v>
      </c>
      <c r="B86" s="8"/>
      <c r="C86" s="25"/>
      <c r="D86" s="25"/>
      <c r="E86" s="25"/>
      <c r="F86" s="1">
        <v>2</v>
      </c>
      <c r="G86" s="39">
        <v>146</v>
      </c>
      <c r="H86" s="8">
        <v>60</v>
      </c>
      <c r="I86" s="3" t="s">
        <v>185</v>
      </c>
      <c r="J86" s="70"/>
      <c r="K86" s="39">
        <v>3284</v>
      </c>
      <c r="L86" s="75"/>
      <c r="M86" s="34"/>
      <c r="N86" s="39">
        <v>443</v>
      </c>
      <c r="O86" s="65">
        <f t="shared" si="3"/>
        <v>0.13489646772228989</v>
      </c>
      <c r="P86" s="65">
        <f t="shared" si="4"/>
        <v>0</v>
      </c>
      <c r="Q86" s="35">
        <f t="shared" si="5"/>
        <v>0</v>
      </c>
      <c r="R86" s="35">
        <f t="shared" si="20"/>
        <v>0</v>
      </c>
      <c r="S86" s="39">
        <v>68</v>
      </c>
      <c r="T86" s="36">
        <f t="shared" si="25"/>
        <v>132.9</v>
      </c>
      <c r="U86" s="9">
        <f t="shared" si="26"/>
        <v>3427.1</v>
      </c>
      <c r="V86" s="39">
        <v>4436811705</v>
      </c>
      <c r="W86" s="39">
        <v>22283</v>
      </c>
      <c r="X86" s="17">
        <f t="shared" si="8"/>
        <v>199111.96</v>
      </c>
      <c r="Y86" s="37">
        <f t="shared" si="9"/>
        <v>1.0664800000000001</v>
      </c>
      <c r="Z86" s="35">
        <v>107587</v>
      </c>
      <c r="AA86" s="37">
        <f t="shared" si="10"/>
        <v>0.93432400000000004</v>
      </c>
      <c r="AB86" s="37">
        <f t="shared" si="11"/>
        <v>-2.6832999999999999E-2</v>
      </c>
      <c r="AC86" s="71">
        <f t="shared" si="27"/>
        <v>0.01</v>
      </c>
      <c r="AD86" s="38">
        <f t="shared" si="21"/>
        <v>0</v>
      </c>
      <c r="AE86" s="74">
        <f t="shared" si="22"/>
        <v>0.01</v>
      </c>
      <c r="AF86" s="39">
        <v>0</v>
      </c>
      <c r="AG86" s="39">
        <v>0</v>
      </c>
      <c r="AH86" s="9">
        <f t="shared" si="13"/>
        <v>0</v>
      </c>
      <c r="AI86" s="11">
        <f t="shared" si="14"/>
        <v>0</v>
      </c>
      <c r="AJ86" s="11">
        <f t="shared" si="15"/>
        <v>394973</v>
      </c>
      <c r="AK86" s="11">
        <f t="shared" si="16"/>
        <v>394973</v>
      </c>
      <c r="AL86" s="35">
        <v>2740394</v>
      </c>
      <c r="AM86" s="11">
        <f t="shared" si="23"/>
        <v>2345421</v>
      </c>
      <c r="AN86" s="72" t="str">
        <f t="shared" si="24"/>
        <v>No</v>
      </c>
      <c r="AO86" s="35">
        <v>1961458</v>
      </c>
      <c r="AP86" s="35">
        <f t="shared" si="28"/>
        <v>195373.5693</v>
      </c>
      <c r="AQ86" s="35">
        <f t="shared" si="29"/>
        <v>1766084.4306999999</v>
      </c>
      <c r="AR86" s="35">
        <f t="shared" si="30"/>
        <v>1766084.4306999999</v>
      </c>
      <c r="AS86" s="66"/>
      <c r="AT86" s="67"/>
      <c r="AU86" s="35"/>
      <c r="AV86" s="68"/>
      <c r="AW86" s="35"/>
      <c r="AX86" s="21"/>
      <c r="AZ86" s="21"/>
      <c r="BA86" s="21"/>
      <c r="BE86" s="21"/>
      <c r="BF86" s="21"/>
      <c r="BG86" s="21"/>
      <c r="BH86" s="21"/>
      <c r="BI86" s="21"/>
    </row>
    <row r="87" spans="1:61" x14ac:dyDescent="0.4">
      <c r="A87" s="8" t="s">
        <v>117</v>
      </c>
      <c r="B87" s="8"/>
      <c r="C87" s="25"/>
      <c r="D87" s="25"/>
      <c r="E87" s="25"/>
      <c r="F87" s="1">
        <v>4</v>
      </c>
      <c r="G87" s="39">
        <v>129</v>
      </c>
      <c r="H87" s="8">
        <v>61</v>
      </c>
      <c r="I87" s="3" t="s">
        <v>186</v>
      </c>
      <c r="J87" s="70"/>
      <c r="K87" s="39">
        <v>1209.96</v>
      </c>
      <c r="L87" s="75"/>
      <c r="M87" s="34"/>
      <c r="N87" s="39">
        <v>184</v>
      </c>
      <c r="O87" s="65">
        <f t="shared" si="3"/>
        <v>0.15207114284769743</v>
      </c>
      <c r="P87" s="65">
        <f t="shared" si="4"/>
        <v>0</v>
      </c>
      <c r="Q87" s="35">
        <f t="shared" si="5"/>
        <v>0</v>
      </c>
      <c r="R87" s="35">
        <f t="shared" si="20"/>
        <v>0</v>
      </c>
      <c r="S87" s="39">
        <v>13</v>
      </c>
      <c r="T87" s="36">
        <f t="shared" si="25"/>
        <v>55.2</v>
      </c>
      <c r="U87" s="9">
        <f t="shared" si="26"/>
        <v>1267.1100000000001</v>
      </c>
      <c r="V87" s="39">
        <v>1302158155.3299999</v>
      </c>
      <c r="W87" s="39">
        <v>8264</v>
      </c>
      <c r="X87" s="17">
        <f t="shared" si="8"/>
        <v>157569.96</v>
      </c>
      <c r="Y87" s="37">
        <f t="shared" si="9"/>
        <v>0.84397299999999997</v>
      </c>
      <c r="Z87" s="35">
        <v>105920</v>
      </c>
      <c r="AA87" s="37">
        <f t="shared" si="10"/>
        <v>0.91984699999999997</v>
      </c>
      <c r="AB87" s="37">
        <f t="shared" si="11"/>
        <v>0.13326499999999999</v>
      </c>
      <c r="AC87" s="71">
        <f t="shared" si="27"/>
        <v>0.13326499999999999</v>
      </c>
      <c r="AD87" s="38">
        <f t="shared" si="21"/>
        <v>0</v>
      </c>
      <c r="AE87" s="74">
        <f t="shared" si="22"/>
        <v>0.13326499999999999</v>
      </c>
      <c r="AF87" s="39">
        <v>1217</v>
      </c>
      <c r="AG87" s="39">
        <v>13</v>
      </c>
      <c r="AH87" s="9">
        <f t="shared" si="13"/>
        <v>100</v>
      </c>
      <c r="AI87" s="11">
        <f t="shared" si="14"/>
        <v>121700</v>
      </c>
      <c r="AJ87" s="11">
        <f t="shared" si="15"/>
        <v>1946128</v>
      </c>
      <c r="AK87" s="11">
        <f t="shared" si="16"/>
        <v>2067828</v>
      </c>
      <c r="AL87" s="35">
        <v>1971482</v>
      </c>
      <c r="AM87" s="11">
        <f t="shared" si="23"/>
        <v>96346</v>
      </c>
      <c r="AN87" s="72" t="str">
        <f t="shared" si="24"/>
        <v>Yes</v>
      </c>
      <c r="AO87" s="35">
        <v>2008742</v>
      </c>
      <c r="AP87" s="35">
        <f t="shared" si="28"/>
        <v>10270.4836</v>
      </c>
      <c r="AQ87" s="35">
        <f t="shared" si="29"/>
        <v>2019012.4835999999</v>
      </c>
      <c r="AR87" s="35">
        <f t="shared" si="30"/>
        <v>2019012.4835999999</v>
      </c>
      <c r="AS87" s="66"/>
      <c r="AT87" s="67"/>
      <c r="AU87" s="35"/>
      <c r="AV87" s="68"/>
      <c r="AW87" s="35"/>
      <c r="AX87" s="21"/>
      <c r="AZ87" s="21"/>
      <c r="BA87" s="21"/>
      <c r="BE87" s="21"/>
      <c r="BF87" s="21"/>
      <c r="BG87" s="21"/>
      <c r="BH87" s="21"/>
      <c r="BI87" s="21"/>
    </row>
    <row r="88" spans="1:61" x14ac:dyDescent="0.4">
      <c r="A88" s="8" t="s">
        <v>132</v>
      </c>
      <c r="B88" s="8"/>
      <c r="C88" s="25">
        <v>1</v>
      </c>
      <c r="D88" s="25">
        <v>1</v>
      </c>
      <c r="E88" s="25"/>
      <c r="F88" s="1">
        <v>9</v>
      </c>
      <c r="G88" s="39">
        <v>22</v>
      </c>
      <c r="H88" s="8">
        <v>62</v>
      </c>
      <c r="I88" s="3" t="s">
        <v>187</v>
      </c>
      <c r="J88" s="70"/>
      <c r="K88" s="39">
        <v>6362.32</v>
      </c>
      <c r="L88" s="76"/>
      <c r="M88" s="34"/>
      <c r="N88" s="39">
        <v>3026</v>
      </c>
      <c r="O88" s="65">
        <f t="shared" si="3"/>
        <v>0.47561266959222426</v>
      </c>
      <c r="P88" s="65">
        <f t="shared" si="4"/>
        <v>0</v>
      </c>
      <c r="Q88" s="35">
        <f t="shared" si="5"/>
        <v>0</v>
      </c>
      <c r="R88" s="35">
        <f t="shared" si="20"/>
        <v>0</v>
      </c>
      <c r="S88" s="39">
        <v>389</v>
      </c>
      <c r="T88" s="36">
        <f t="shared" si="25"/>
        <v>907.8</v>
      </c>
      <c r="U88" s="9">
        <f t="shared" si="26"/>
        <v>7328.47</v>
      </c>
      <c r="V88" s="39">
        <v>5620660750</v>
      </c>
      <c r="W88" s="39">
        <v>61284</v>
      </c>
      <c r="X88" s="17">
        <f t="shared" si="8"/>
        <v>91714.98</v>
      </c>
      <c r="Y88" s="37">
        <f t="shared" si="9"/>
        <v>0.49124200000000001</v>
      </c>
      <c r="Z88" s="35">
        <v>74281</v>
      </c>
      <c r="AA88" s="37">
        <f t="shared" si="10"/>
        <v>0.64508299999999996</v>
      </c>
      <c r="AB88" s="37">
        <f t="shared" si="11"/>
        <v>0.46260600000000002</v>
      </c>
      <c r="AC88" s="71">
        <f t="shared" si="27"/>
        <v>0.46260600000000002</v>
      </c>
      <c r="AD88" s="38">
        <f t="shared" si="21"/>
        <v>0</v>
      </c>
      <c r="AE88" s="74">
        <f t="shared" si="22"/>
        <v>0.46260600000000002</v>
      </c>
      <c r="AF88" s="39">
        <v>0</v>
      </c>
      <c r="AG88" s="39">
        <v>0</v>
      </c>
      <c r="AH88" s="9">
        <f t="shared" si="13"/>
        <v>0</v>
      </c>
      <c r="AI88" s="11">
        <f t="shared" si="14"/>
        <v>0</v>
      </c>
      <c r="AJ88" s="11">
        <f t="shared" si="15"/>
        <v>39071988</v>
      </c>
      <c r="AK88" s="11">
        <f t="shared" si="16"/>
        <v>39071988</v>
      </c>
      <c r="AL88" s="35">
        <v>26945481</v>
      </c>
      <c r="AM88" s="11">
        <f t="shared" si="23"/>
        <v>12126507</v>
      </c>
      <c r="AN88" s="72" t="str">
        <f t="shared" si="24"/>
        <v>Yes</v>
      </c>
      <c r="AO88" s="35">
        <v>28638991</v>
      </c>
      <c r="AP88" s="35">
        <f t="shared" si="28"/>
        <v>1292685.6462000001</v>
      </c>
      <c r="AQ88" s="35">
        <f t="shared" si="29"/>
        <v>29931676.646200001</v>
      </c>
      <c r="AR88" s="35">
        <f t="shared" si="30"/>
        <v>29931676.646200001</v>
      </c>
      <c r="AS88" s="66"/>
      <c r="AT88" s="67"/>
      <c r="AU88" s="35"/>
      <c r="AV88" s="68"/>
      <c r="AW88" s="35"/>
      <c r="AX88" s="21"/>
      <c r="AZ88" s="21"/>
      <c r="BA88" s="21"/>
      <c r="BE88" s="21"/>
      <c r="BF88" s="21"/>
      <c r="BG88" s="21"/>
      <c r="BH88" s="21"/>
      <c r="BI88" s="21"/>
    </row>
    <row r="89" spans="1:61" x14ac:dyDescent="0.4">
      <c r="A89" s="8" t="s">
        <v>121</v>
      </c>
      <c r="B89" s="8"/>
      <c r="C89" s="25"/>
      <c r="D89" s="25"/>
      <c r="E89" s="25"/>
      <c r="F89" s="1">
        <v>7</v>
      </c>
      <c r="G89" s="39">
        <v>52</v>
      </c>
      <c r="H89" s="8">
        <v>63</v>
      </c>
      <c r="I89" s="3" t="s">
        <v>188</v>
      </c>
      <c r="J89" s="70"/>
      <c r="K89" s="39">
        <v>136.30000000000001</v>
      </c>
      <c r="L89" s="76"/>
      <c r="M89" s="34"/>
      <c r="N89" s="39">
        <v>57</v>
      </c>
      <c r="O89" s="65">
        <f t="shared" si="3"/>
        <v>0.41819515774027877</v>
      </c>
      <c r="P89" s="65">
        <f t="shared" si="4"/>
        <v>0</v>
      </c>
      <c r="Q89" s="35">
        <f t="shared" si="5"/>
        <v>0</v>
      </c>
      <c r="R89" s="35">
        <f t="shared" si="20"/>
        <v>0</v>
      </c>
      <c r="S89" s="39">
        <v>0</v>
      </c>
      <c r="T89" s="36">
        <f t="shared" si="25"/>
        <v>17.100000000000001</v>
      </c>
      <c r="U89" s="9">
        <f t="shared" si="26"/>
        <v>153.4</v>
      </c>
      <c r="V89" s="39">
        <v>217996524.66999999</v>
      </c>
      <c r="W89" s="39">
        <v>1844</v>
      </c>
      <c r="X89" s="17">
        <f t="shared" si="8"/>
        <v>118219.37</v>
      </c>
      <c r="Y89" s="37">
        <f t="shared" si="9"/>
        <v>0.63320399999999999</v>
      </c>
      <c r="Z89" s="35">
        <v>74265</v>
      </c>
      <c r="AA89" s="37">
        <f t="shared" si="10"/>
        <v>0.64494399999999996</v>
      </c>
      <c r="AB89" s="37">
        <f t="shared" si="11"/>
        <v>0.36327399999999999</v>
      </c>
      <c r="AC89" s="71">
        <f t="shared" si="27"/>
        <v>0.36327399999999999</v>
      </c>
      <c r="AD89" s="38">
        <f t="shared" si="21"/>
        <v>0</v>
      </c>
      <c r="AE89" s="74">
        <f t="shared" si="22"/>
        <v>0.36327399999999999</v>
      </c>
      <c r="AF89" s="39">
        <v>59</v>
      </c>
      <c r="AG89" s="39">
        <v>6</v>
      </c>
      <c r="AH89" s="9">
        <f t="shared" si="13"/>
        <v>46.15</v>
      </c>
      <c r="AI89" s="11">
        <f t="shared" si="14"/>
        <v>2723</v>
      </c>
      <c r="AJ89" s="11">
        <f t="shared" si="15"/>
        <v>642245</v>
      </c>
      <c r="AK89" s="11">
        <f t="shared" si="16"/>
        <v>644968</v>
      </c>
      <c r="AL89" s="35">
        <v>1312383</v>
      </c>
      <c r="AM89" s="11">
        <f t="shared" si="23"/>
        <v>667415</v>
      </c>
      <c r="AN89" s="72" t="str">
        <f t="shared" si="24"/>
        <v>No</v>
      </c>
      <c r="AO89" s="35">
        <v>1114004</v>
      </c>
      <c r="AP89" s="35">
        <f t="shared" si="28"/>
        <v>55595.669499999996</v>
      </c>
      <c r="AQ89" s="35">
        <f t="shared" si="29"/>
        <v>1058408.3304999999</v>
      </c>
      <c r="AR89" s="35">
        <f t="shared" si="30"/>
        <v>1058408.3304999999</v>
      </c>
      <c r="AS89" s="66"/>
      <c r="AT89" s="67"/>
      <c r="AU89" s="35"/>
      <c r="AV89" s="68"/>
      <c r="AW89" s="35"/>
      <c r="AX89" s="21"/>
      <c r="AZ89" s="21"/>
      <c r="BA89" s="21"/>
      <c r="BE89" s="21"/>
      <c r="BF89" s="21"/>
      <c r="BG89" s="21"/>
      <c r="BH89" s="21"/>
      <c r="BI89" s="21"/>
    </row>
    <row r="90" spans="1:61" x14ac:dyDescent="0.4">
      <c r="A90" s="8" t="s">
        <v>137</v>
      </c>
      <c r="B90" s="8">
        <v>1</v>
      </c>
      <c r="C90" s="25">
        <v>1</v>
      </c>
      <c r="D90" s="25">
        <v>0</v>
      </c>
      <c r="E90" s="25">
        <v>1</v>
      </c>
      <c r="F90" s="1">
        <v>10</v>
      </c>
      <c r="G90" s="39">
        <v>1</v>
      </c>
      <c r="H90" s="8">
        <v>64</v>
      </c>
      <c r="I90" s="3" t="s">
        <v>189</v>
      </c>
      <c r="J90" s="70"/>
      <c r="K90" s="39">
        <v>19958.900000000001</v>
      </c>
      <c r="L90" s="76"/>
      <c r="M90" s="34"/>
      <c r="N90" s="39">
        <v>17789</v>
      </c>
      <c r="O90" s="65">
        <f t="shared" si="3"/>
        <v>0.89128158365440979</v>
      </c>
      <c r="P90" s="65">
        <f t="shared" si="4"/>
        <v>0.14128158365440979</v>
      </c>
      <c r="Q90" s="35">
        <f t="shared" si="5"/>
        <v>2819.8249999999998</v>
      </c>
      <c r="R90" s="35">
        <f t="shared" si="20"/>
        <v>140.99125000000001</v>
      </c>
      <c r="S90" s="39">
        <v>4425</v>
      </c>
      <c r="T90" s="36">
        <f t="shared" si="25"/>
        <v>5336.7</v>
      </c>
      <c r="U90" s="9">
        <f t="shared" si="26"/>
        <v>26100.341250000001</v>
      </c>
      <c r="V90" s="39">
        <v>6764980356</v>
      </c>
      <c r="W90" s="39">
        <v>123400</v>
      </c>
      <c r="X90" s="17">
        <f t="shared" si="8"/>
        <v>54821.56</v>
      </c>
      <c r="Y90" s="37">
        <f t="shared" si="9"/>
        <v>0.29363400000000001</v>
      </c>
      <c r="Z90" s="35">
        <v>33841</v>
      </c>
      <c r="AA90" s="37">
        <f t="shared" si="10"/>
        <v>0.29388700000000001</v>
      </c>
      <c r="AB90" s="37">
        <f t="shared" si="11"/>
        <v>0.70628999999999997</v>
      </c>
      <c r="AC90" s="71">
        <f t="shared" si="27"/>
        <v>0.70628999999999997</v>
      </c>
      <c r="AD90" s="38">
        <f t="shared" si="21"/>
        <v>0.06</v>
      </c>
      <c r="AE90" s="74">
        <f t="shared" si="22"/>
        <v>0.76628999999999992</v>
      </c>
      <c r="AF90" s="39">
        <v>0</v>
      </c>
      <c r="AG90" s="39">
        <v>0</v>
      </c>
      <c r="AH90" s="9">
        <f t="shared" si="13"/>
        <v>0</v>
      </c>
      <c r="AI90" s="11">
        <f t="shared" si="14"/>
        <v>0</v>
      </c>
      <c r="AJ90" s="11">
        <f t="shared" si="15"/>
        <v>230504961</v>
      </c>
      <c r="AK90" s="11">
        <f t="shared" si="16"/>
        <v>230504961</v>
      </c>
      <c r="AL90" s="35">
        <v>200518244</v>
      </c>
      <c r="AM90" s="11">
        <f t="shared" si="23"/>
        <v>29986717</v>
      </c>
      <c r="AN90" s="72" t="str">
        <f t="shared" si="24"/>
        <v>Yes</v>
      </c>
      <c r="AO90" s="35">
        <v>205908194</v>
      </c>
      <c r="AP90" s="35">
        <f t="shared" si="28"/>
        <v>3196584.0321999998</v>
      </c>
      <c r="AQ90" s="35">
        <f t="shared" si="29"/>
        <v>209104778.03220001</v>
      </c>
      <c r="AR90" s="35">
        <f t="shared" si="30"/>
        <v>209104778.03220001</v>
      </c>
      <c r="AS90" s="66"/>
      <c r="AT90" s="67"/>
      <c r="AU90" s="35"/>
      <c r="AV90" s="68"/>
      <c r="AW90" s="35"/>
      <c r="AX90" s="21"/>
      <c r="AZ90" s="21"/>
      <c r="BA90" s="21"/>
      <c r="BE90" s="21"/>
      <c r="BF90" s="21"/>
      <c r="BG90" s="21"/>
      <c r="BH90" s="21"/>
      <c r="BI90" s="21"/>
    </row>
    <row r="91" spans="1:61" x14ac:dyDescent="0.4">
      <c r="A91" s="8" t="s">
        <v>121</v>
      </c>
      <c r="B91" s="8"/>
      <c r="C91" s="25"/>
      <c r="D91" s="25"/>
      <c r="E91" s="25"/>
      <c r="F91" s="1">
        <v>6</v>
      </c>
      <c r="G91" s="39">
        <v>105</v>
      </c>
      <c r="H91" s="8">
        <v>65</v>
      </c>
      <c r="I91" s="3" t="s">
        <v>190</v>
      </c>
      <c r="J91" s="70"/>
      <c r="K91" s="39">
        <v>233.07</v>
      </c>
      <c r="L91" s="75"/>
      <c r="M91" s="34"/>
      <c r="N91" s="39">
        <v>53</v>
      </c>
      <c r="O91" s="65">
        <f t="shared" ref="O91:O154" si="31">N91/K91</f>
        <v>0.22739949371433477</v>
      </c>
      <c r="P91" s="65">
        <f t="shared" ref="P91:P154" si="32">IF(O91&gt;0.75,+O91-0.75,0)</f>
        <v>0</v>
      </c>
      <c r="Q91" s="35">
        <f t="shared" ref="Q91:Q154" si="33">P91*K91</f>
        <v>0</v>
      </c>
      <c r="R91" s="35">
        <f t="shared" si="20"/>
        <v>0</v>
      </c>
      <c r="S91" s="39">
        <v>1</v>
      </c>
      <c r="T91" s="36">
        <f t="shared" ref="T91:T122" si="34">ROUND(N91*$T$2,2)</f>
        <v>15.9</v>
      </c>
      <c r="U91" s="9">
        <f t="shared" ref="U91:U122" si="35">K91+T91+0.15*S91+0.05*Q91</f>
        <v>249.12</v>
      </c>
      <c r="V91" s="39">
        <v>293937335</v>
      </c>
      <c r="W91" s="39">
        <v>2112</v>
      </c>
      <c r="X91" s="17">
        <f t="shared" ref="X91:X154" si="36">ROUND(V91/W91,2)</f>
        <v>139174.87</v>
      </c>
      <c r="Y91" s="37">
        <f t="shared" ref="Y91:Y154" si="37">(ROUND(X91/$Y$21,6))</f>
        <v>0.74544600000000005</v>
      </c>
      <c r="Z91" s="35">
        <v>94569</v>
      </c>
      <c r="AA91" s="37">
        <f t="shared" ref="AA91:AA154" si="38">(ROUND(Z91/$AA$21,6))</f>
        <v>0.82127099999999997</v>
      </c>
      <c r="AB91" s="37">
        <f t="shared" ref="AB91:AB154" si="39">ROUND(1-((Y91*$T$4)+(AA91*$T$5)),6)</f>
        <v>0.23180700000000001</v>
      </c>
      <c r="AC91" s="71">
        <f t="shared" ref="AC91:AC122" si="40">IF(C91=1,MAX($T$7,AB91),MAX($T$6,AB91))</f>
        <v>0.23180700000000001</v>
      </c>
      <c r="AD91" s="38">
        <f t="shared" si="21"/>
        <v>0</v>
      </c>
      <c r="AE91" s="74">
        <f t="shared" si="22"/>
        <v>0.23180700000000001</v>
      </c>
      <c r="AF91" s="39">
        <v>0</v>
      </c>
      <c r="AG91" s="39">
        <v>0</v>
      </c>
      <c r="AH91" s="9">
        <f t="shared" ref="AH91:AH154" si="41">ROUND((AG91/13)*100,2)</f>
        <v>0</v>
      </c>
      <c r="AI91" s="11">
        <f t="shared" ref="AI91:AI154" si="42">ROUND(AF91*AH91,0)</f>
        <v>0</v>
      </c>
      <c r="AJ91" s="11">
        <f t="shared" ref="AJ91:AJ154" si="43">ROUND(U91*AE91*$AJ$21,0)</f>
        <v>665543</v>
      </c>
      <c r="AK91" s="11">
        <f t="shared" ref="AK91:AK154" si="44">IF(AJ91=0, 0,AI91+AJ91)</f>
        <v>665543</v>
      </c>
      <c r="AL91" s="35">
        <v>1327652</v>
      </c>
      <c r="AM91" s="11">
        <f t="shared" si="23"/>
        <v>662109</v>
      </c>
      <c r="AN91" s="72" t="str">
        <f t="shared" si="24"/>
        <v>No</v>
      </c>
      <c r="AO91" s="35">
        <v>1126876</v>
      </c>
      <c r="AP91" s="35">
        <f t="shared" ref="AP91:AP122" si="45">IF(AN91="Yes",+AM91*$L$9,+AM91*$L$10)</f>
        <v>55153.679700000001</v>
      </c>
      <c r="AQ91" s="35">
        <f t="shared" ref="AQ91:AQ122" si="46">IF(AN91="Yes",+AO91+AP91,+AO91-AP91)</f>
        <v>1071722.3203</v>
      </c>
      <c r="AR91" s="35">
        <f t="shared" ref="AR91:AR122" si="47">IF(C91=1,MAX(AQ91,AL91),AQ91)</f>
        <v>1071722.3203</v>
      </c>
      <c r="AS91" s="66"/>
      <c r="AT91" s="67"/>
      <c r="AU91" s="35"/>
      <c r="AV91" s="68"/>
      <c r="AW91" s="35"/>
      <c r="AX91" s="21"/>
      <c r="AZ91" s="21"/>
      <c r="BA91" s="21"/>
      <c r="BE91" s="21"/>
      <c r="BF91" s="21"/>
      <c r="BG91" s="21"/>
      <c r="BH91" s="21"/>
      <c r="BI91" s="21"/>
    </row>
    <row r="92" spans="1:61" x14ac:dyDescent="0.4">
      <c r="A92" s="8" t="s">
        <v>117</v>
      </c>
      <c r="B92" s="8"/>
      <c r="C92" s="25"/>
      <c r="D92" s="25"/>
      <c r="E92" s="25"/>
      <c r="F92" s="1">
        <v>5</v>
      </c>
      <c r="G92" s="39">
        <v>98</v>
      </c>
      <c r="H92" s="8">
        <v>66</v>
      </c>
      <c r="I92" s="3" t="s">
        <v>191</v>
      </c>
      <c r="J92" s="70"/>
      <c r="K92" s="39">
        <v>782.2</v>
      </c>
      <c r="L92" s="75"/>
      <c r="M92" s="34"/>
      <c r="N92" s="39">
        <v>139</v>
      </c>
      <c r="O92" s="65">
        <f t="shared" si="31"/>
        <v>0.17770391204295574</v>
      </c>
      <c r="P92" s="65">
        <f t="shared" si="32"/>
        <v>0</v>
      </c>
      <c r="Q92" s="35">
        <f t="shared" si="33"/>
        <v>0</v>
      </c>
      <c r="R92" s="35">
        <f t="shared" ref="R92:R155" si="48">Q92*0.05</f>
        <v>0</v>
      </c>
      <c r="S92" s="39">
        <v>4</v>
      </c>
      <c r="T92" s="36">
        <f t="shared" si="34"/>
        <v>41.7</v>
      </c>
      <c r="U92" s="9">
        <f t="shared" si="35"/>
        <v>824.50000000000011</v>
      </c>
      <c r="V92" s="39">
        <v>799744048.66999996</v>
      </c>
      <c r="W92" s="39">
        <v>5452</v>
      </c>
      <c r="X92" s="17">
        <f t="shared" si="36"/>
        <v>146688.20000000001</v>
      </c>
      <c r="Y92" s="37">
        <f t="shared" si="37"/>
        <v>0.78568899999999997</v>
      </c>
      <c r="Z92" s="35">
        <v>104205</v>
      </c>
      <c r="AA92" s="37">
        <f t="shared" si="38"/>
        <v>0.90495300000000001</v>
      </c>
      <c r="AB92" s="37">
        <f t="shared" si="39"/>
        <v>0.178532</v>
      </c>
      <c r="AC92" s="71">
        <f t="shared" si="40"/>
        <v>0.178532</v>
      </c>
      <c r="AD92" s="38">
        <f t="shared" ref="AD92:AD155" si="49">IF(G92&gt;=1,IF(G92&lt;=5,0.06,IF(G92&lt;=10,0.05,IF(G92&lt;=15,0.04,IF(G92&lt;=19,0.03,0)))),0)</f>
        <v>0</v>
      </c>
      <c r="AE92" s="74">
        <f t="shared" ref="AE92:AE155" si="50">+AD92+AC92</f>
        <v>0.178532</v>
      </c>
      <c r="AF92" s="39">
        <v>782</v>
      </c>
      <c r="AG92" s="39">
        <v>13</v>
      </c>
      <c r="AH92" s="9">
        <f t="shared" si="41"/>
        <v>100</v>
      </c>
      <c r="AI92" s="11">
        <f t="shared" si="42"/>
        <v>78200</v>
      </c>
      <c r="AJ92" s="11">
        <f t="shared" si="43"/>
        <v>1696476</v>
      </c>
      <c r="AK92" s="11">
        <f t="shared" si="44"/>
        <v>1774676</v>
      </c>
      <c r="AL92" s="35">
        <v>2708774</v>
      </c>
      <c r="AM92" s="11">
        <f t="shared" ref="AM92:AM155" si="51">ABS(SUM(AL92,-AK92))</f>
        <v>934098</v>
      </c>
      <c r="AN92" s="72" t="str">
        <f t="shared" ref="AN92:AN155" si="52">IF(AK92&gt;AL92,"Yes","No")</f>
        <v>No</v>
      </c>
      <c r="AO92" s="35">
        <v>2507860</v>
      </c>
      <c r="AP92" s="35">
        <f t="shared" si="45"/>
        <v>77810.363400000002</v>
      </c>
      <c r="AQ92" s="35">
        <f t="shared" si="46"/>
        <v>2430049.6365999999</v>
      </c>
      <c r="AR92" s="35">
        <f t="shared" si="47"/>
        <v>2430049.6365999999</v>
      </c>
      <c r="AS92" s="66"/>
      <c r="AT92" s="67"/>
      <c r="AU92" s="35"/>
      <c r="AV92" s="68"/>
      <c r="AW92" s="35"/>
      <c r="AX92" s="21"/>
      <c r="AZ92" s="21"/>
      <c r="BA92" s="21"/>
      <c r="BE92" s="21"/>
      <c r="BF92" s="21"/>
      <c r="BG92" s="21"/>
      <c r="BH92" s="21"/>
      <c r="BI92" s="21"/>
    </row>
    <row r="93" spans="1:61" x14ac:dyDescent="0.4">
      <c r="A93" s="8" t="s">
        <v>117</v>
      </c>
      <c r="B93" s="8"/>
      <c r="C93" s="25"/>
      <c r="D93" s="25"/>
      <c r="E93" s="25"/>
      <c r="F93" s="1">
        <v>4</v>
      </c>
      <c r="G93" s="39">
        <v>78</v>
      </c>
      <c r="H93" s="8">
        <v>67</v>
      </c>
      <c r="I93" s="3" t="s">
        <v>192</v>
      </c>
      <c r="J93" s="70"/>
      <c r="K93" s="39">
        <v>1330.44</v>
      </c>
      <c r="L93" s="75"/>
      <c r="M93" s="34"/>
      <c r="N93" s="39">
        <v>192</v>
      </c>
      <c r="O93" s="65">
        <f t="shared" si="31"/>
        <v>0.14431315955623703</v>
      </c>
      <c r="P93" s="65">
        <f t="shared" si="32"/>
        <v>0</v>
      </c>
      <c r="Q93" s="35">
        <f t="shared" si="33"/>
        <v>0</v>
      </c>
      <c r="R93" s="35">
        <f t="shared" si="48"/>
        <v>0</v>
      </c>
      <c r="S93" s="39">
        <v>2</v>
      </c>
      <c r="T93" s="36">
        <f t="shared" si="34"/>
        <v>57.6</v>
      </c>
      <c r="U93" s="9">
        <f t="shared" si="35"/>
        <v>1388.34</v>
      </c>
      <c r="V93" s="39">
        <v>1104527770.3299999</v>
      </c>
      <c r="W93" s="39">
        <v>9507</v>
      </c>
      <c r="X93" s="17">
        <f t="shared" si="36"/>
        <v>116180.47</v>
      </c>
      <c r="Y93" s="37">
        <f t="shared" si="37"/>
        <v>0.62228399999999995</v>
      </c>
      <c r="Z93" s="35">
        <v>104519</v>
      </c>
      <c r="AA93" s="37">
        <f t="shared" si="38"/>
        <v>0.90768000000000004</v>
      </c>
      <c r="AB93" s="37">
        <f t="shared" si="39"/>
        <v>0.292097</v>
      </c>
      <c r="AC93" s="71">
        <f t="shared" si="40"/>
        <v>0.292097</v>
      </c>
      <c r="AD93" s="38">
        <f t="shared" si="49"/>
        <v>0</v>
      </c>
      <c r="AE93" s="74">
        <f t="shared" si="50"/>
        <v>0.292097</v>
      </c>
      <c r="AF93" s="39">
        <v>716</v>
      </c>
      <c r="AG93" s="39">
        <v>6</v>
      </c>
      <c r="AH93" s="9">
        <f t="shared" si="41"/>
        <v>46.15</v>
      </c>
      <c r="AI93" s="11">
        <f t="shared" si="42"/>
        <v>33043</v>
      </c>
      <c r="AJ93" s="11">
        <f t="shared" si="43"/>
        <v>4673733</v>
      </c>
      <c r="AK93" s="11">
        <f t="shared" si="44"/>
        <v>4706776</v>
      </c>
      <c r="AL93" s="35">
        <v>6875123</v>
      </c>
      <c r="AM93" s="11">
        <f t="shared" si="51"/>
        <v>2168347</v>
      </c>
      <c r="AN93" s="72" t="str">
        <f t="shared" si="52"/>
        <v>No</v>
      </c>
      <c r="AO93" s="35">
        <v>6178316</v>
      </c>
      <c r="AP93" s="35">
        <f t="shared" si="45"/>
        <v>180623.3051</v>
      </c>
      <c r="AQ93" s="35">
        <f t="shared" si="46"/>
        <v>5997692.6949000005</v>
      </c>
      <c r="AR93" s="35">
        <f t="shared" si="47"/>
        <v>5997692.6949000005</v>
      </c>
      <c r="AS93" s="66"/>
      <c r="AT93" s="67"/>
      <c r="AU93" s="35"/>
      <c r="AV93" s="68"/>
      <c r="AW93" s="35"/>
      <c r="AX93" s="21"/>
      <c r="AZ93" s="21"/>
      <c r="BA93" s="21"/>
      <c r="BE93" s="21"/>
      <c r="BF93" s="21"/>
      <c r="BG93" s="21"/>
      <c r="BH93" s="21"/>
      <c r="BI93" s="21"/>
    </row>
    <row r="94" spans="1:61" x14ac:dyDescent="0.4">
      <c r="A94" s="8" t="s">
        <v>121</v>
      </c>
      <c r="B94" s="8"/>
      <c r="C94" s="25"/>
      <c r="D94" s="25"/>
      <c r="E94" s="25"/>
      <c r="F94" s="1">
        <v>2</v>
      </c>
      <c r="G94" s="39">
        <v>145</v>
      </c>
      <c r="H94" s="8">
        <v>68</v>
      </c>
      <c r="I94" s="3" t="s">
        <v>193</v>
      </c>
      <c r="J94" s="70"/>
      <c r="K94" s="39">
        <v>241.56</v>
      </c>
      <c r="L94" s="75"/>
      <c r="M94" s="34"/>
      <c r="N94" s="39">
        <v>65</v>
      </c>
      <c r="O94" s="65">
        <f t="shared" si="31"/>
        <v>0.26908428547772811</v>
      </c>
      <c r="P94" s="65">
        <f t="shared" si="32"/>
        <v>0</v>
      </c>
      <c r="Q94" s="35">
        <f t="shared" si="33"/>
        <v>0</v>
      </c>
      <c r="R94" s="35">
        <f t="shared" si="48"/>
        <v>0</v>
      </c>
      <c r="S94" s="39">
        <v>3</v>
      </c>
      <c r="T94" s="36">
        <f t="shared" si="34"/>
        <v>19.5</v>
      </c>
      <c r="U94" s="9">
        <f t="shared" si="35"/>
        <v>261.51</v>
      </c>
      <c r="V94" s="39">
        <v>865265054</v>
      </c>
      <c r="W94" s="39">
        <v>2800</v>
      </c>
      <c r="X94" s="17">
        <f t="shared" si="36"/>
        <v>309023.23</v>
      </c>
      <c r="Y94" s="37">
        <f t="shared" si="37"/>
        <v>1.6551849999999999</v>
      </c>
      <c r="Z94" s="35">
        <v>64464</v>
      </c>
      <c r="AA94" s="37">
        <f t="shared" si="38"/>
        <v>0.55982799999999999</v>
      </c>
      <c r="AB94" s="37">
        <f t="shared" si="39"/>
        <v>-0.32657799999999998</v>
      </c>
      <c r="AC94" s="71">
        <f t="shared" si="40"/>
        <v>0.01</v>
      </c>
      <c r="AD94" s="38">
        <f t="shared" si="49"/>
        <v>0</v>
      </c>
      <c r="AE94" s="74">
        <f t="shared" si="50"/>
        <v>0.01</v>
      </c>
      <c r="AF94" s="39">
        <v>51</v>
      </c>
      <c r="AG94" s="39">
        <v>4</v>
      </c>
      <c r="AH94" s="9">
        <f t="shared" si="41"/>
        <v>30.77</v>
      </c>
      <c r="AI94" s="11">
        <f t="shared" si="42"/>
        <v>1569</v>
      </c>
      <c r="AJ94" s="11">
        <f t="shared" si="43"/>
        <v>30139</v>
      </c>
      <c r="AK94" s="11">
        <f t="shared" si="44"/>
        <v>31708</v>
      </c>
      <c r="AL94" s="35">
        <v>25634</v>
      </c>
      <c r="AM94" s="11">
        <f t="shared" si="51"/>
        <v>6074</v>
      </c>
      <c r="AN94" s="72" t="str">
        <f t="shared" si="52"/>
        <v>Yes</v>
      </c>
      <c r="AO94" s="35">
        <v>26947</v>
      </c>
      <c r="AP94" s="35">
        <f t="shared" si="45"/>
        <v>647.48839999999996</v>
      </c>
      <c r="AQ94" s="35">
        <f t="shared" si="46"/>
        <v>27594.488399999998</v>
      </c>
      <c r="AR94" s="35">
        <f t="shared" si="47"/>
        <v>27594.488399999998</v>
      </c>
      <c r="AS94" s="66"/>
      <c r="AT94" s="67"/>
      <c r="AU94" s="35"/>
      <c r="AV94" s="68"/>
      <c r="AW94" s="35"/>
      <c r="AX94" s="21"/>
      <c r="AZ94" s="21"/>
      <c r="BA94" s="21"/>
      <c r="BE94" s="21"/>
      <c r="BF94" s="21"/>
      <c r="BG94" s="21"/>
      <c r="BH94" s="21"/>
      <c r="BI94" s="21"/>
    </row>
    <row r="95" spans="1:61" x14ac:dyDescent="0.4">
      <c r="A95" s="8" t="s">
        <v>132</v>
      </c>
      <c r="B95" s="8"/>
      <c r="C95" s="25">
        <v>1</v>
      </c>
      <c r="D95" s="25">
        <v>1</v>
      </c>
      <c r="E95" s="25"/>
      <c r="F95" s="1">
        <v>10</v>
      </c>
      <c r="G95" s="39">
        <v>24</v>
      </c>
      <c r="H95" s="8">
        <v>69</v>
      </c>
      <c r="I95" s="3" t="s">
        <v>194</v>
      </c>
      <c r="J95" s="70"/>
      <c r="K95" s="39">
        <v>2230.8200000000002</v>
      </c>
      <c r="L95" s="76"/>
      <c r="M95" s="34"/>
      <c r="N95" s="39">
        <v>1153</v>
      </c>
      <c r="O95" s="65">
        <f t="shared" si="31"/>
        <v>0.51685030616544581</v>
      </c>
      <c r="P95" s="65">
        <f t="shared" si="32"/>
        <v>0</v>
      </c>
      <c r="Q95" s="35">
        <f t="shared" si="33"/>
        <v>0</v>
      </c>
      <c r="R95" s="35">
        <f t="shared" si="48"/>
        <v>0</v>
      </c>
      <c r="S95" s="39">
        <v>58</v>
      </c>
      <c r="T95" s="36">
        <f t="shared" si="34"/>
        <v>345.9</v>
      </c>
      <c r="U95" s="9">
        <f t="shared" si="35"/>
        <v>2585.42</v>
      </c>
      <c r="V95" s="39">
        <v>1921576945</v>
      </c>
      <c r="W95" s="39">
        <v>17172</v>
      </c>
      <c r="X95" s="17">
        <f t="shared" si="36"/>
        <v>111901.75999999999</v>
      </c>
      <c r="Y95" s="37">
        <f t="shared" si="37"/>
        <v>0.59936599999999995</v>
      </c>
      <c r="Z95" s="35">
        <v>54868</v>
      </c>
      <c r="AA95" s="37">
        <f t="shared" si="38"/>
        <v>0.476493</v>
      </c>
      <c r="AB95" s="37">
        <f t="shared" si="39"/>
        <v>0.437496</v>
      </c>
      <c r="AC95" s="71">
        <f t="shared" si="40"/>
        <v>0.437496</v>
      </c>
      <c r="AD95" s="38">
        <f t="shared" si="49"/>
        <v>0</v>
      </c>
      <c r="AE95" s="74">
        <f t="shared" si="50"/>
        <v>0.437496</v>
      </c>
      <c r="AF95" s="39">
        <v>0</v>
      </c>
      <c r="AG95" s="39">
        <v>0</v>
      </c>
      <c r="AH95" s="9">
        <f t="shared" si="41"/>
        <v>0</v>
      </c>
      <c r="AI95" s="11">
        <f t="shared" si="42"/>
        <v>0</v>
      </c>
      <c r="AJ95" s="11">
        <f t="shared" si="43"/>
        <v>13036053</v>
      </c>
      <c r="AK95" s="11">
        <f t="shared" si="44"/>
        <v>13036053</v>
      </c>
      <c r="AL95" s="35">
        <v>15574402</v>
      </c>
      <c r="AM95" s="11">
        <f t="shared" si="51"/>
        <v>2538349</v>
      </c>
      <c r="AN95" s="72" t="str">
        <f t="shared" si="52"/>
        <v>No</v>
      </c>
      <c r="AO95" s="35">
        <v>15574402</v>
      </c>
      <c r="AP95" s="35">
        <f t="shared" si="45"/>
        <v>211444.47169999999</v>
      </c>
      <c r="AQ95" s="35">
        <f t="shared" si="46"/>
        <v>15362957.5283</v>
      </c>
      <c r="AR95" s="35">
        <f t="shared" si="47"/>
        <v>15574402</v>
      </c>
      <c r="AS95" s="66"/>
      <c r="AT95" s="67"/>
      <c r="AU95" s="35"/>
      <c r="AV95" s="68"/>
      <c r="AW95" s="35"/>
      <c r="AX95" s="21"/>
      <c r="AZ95" s="21"/>
      <c r="BA95" s="21"/>
      <c r="BE95" s="21"/>
      <c r="BF95" s="21"/>
      <c r="BG95" s="21"/>
      <c r="BH95" s="21"/>
      <c r="BI95" s="21"/>
    </row>
    <row r="96" spans="1:61" x14ac:dyDescent="0.4">
      <c r="A96" s="8" t="s">
        <v>117</v>
      </c>
      <c r="B96" s="8"/>
      <c r="C96" s="25"/>
      <c r="D96" s="25"/>
      <c r="E96" s="25"/>
      <c r="F96" s="1">
        <v>3</v>
      </c>
      <c r="G96" s="39">
        <v>140</v>
      </c>
      <c r="H96" s="8">
        <v>70</v>
      </c>
      <c r="I96" s="3" t="s">
        <v>195</v>
      </c>
      <c r="J96" s="70"/>
      <c r="K96" s="39">
        <v>766.99</v>
      </c>
      <c r="L96" s="75"/>
      <c r="M96" s="34"/>
      <c r="N96" s="39">
        <v>69</v>
      </c>
      <c r="O96" s="65">
        <f t="shared" si="31"/>
        <v>8.9962059479263098E-2</v>
      </c>
      <c r="P96" s="65">
        <f t="shared" si="32"/>
        <v>0</v>
      </c>
      <c r="Q96" s="35">
        <f t="shared" si="33"/>
        <v>0</v>
      </c>
      <c r="R96" s="35">
        <f t="shared" si="48"/>
        <v>0</v>
      </c>
      <c r="S96" s="39">
        <v>6</v>
      </c>
      <c r="T96" s="36">
        <f t="shared" si="34"/>
        <v>20.7</v>
      </c>
      <c r="U96" s="9">
        <f t="shared" si="35"/>
        <v>788.59</v>
      </c>
      <c r="V96" s="39">
        <v>1011103715</v>
      </c>
      <c r="W96" s="39">
        <v>6401</v>
      </c>
      <c r="X96" s="17">
        <f t="shared" si="36"/>
        <v>157960.26999999999</v>
      </c>
      <c r="Y96" s="37">
        <f t="shared" si="37"/>
        <v>0.84606400000000004</v>
      </c>
      <c r="Z96" s="35">
        <v>113413</v>
      </c>
      <c r="AA96" s="37">
        <f t="shared" si="38"/>
        <v>0.98491899999999999</v>
      </c>
      <c r="AB96" s="37">
        <f t="shared" si="39"/>
        <v>0.11228</v>
      </c>
      <c r="AC96" s="71">
        <f t="shared" si="40"/>
        <v>0.11228</v>
      </c>
      <c r="AD96" s="38">
        <f t="shared" si="49"/>
        <v>0</v>
      </c>
      <c r="AE96" s="74">
        <f t="shared" si="50"/>
        <v>0.11228</v>
      </c>
      <c r="AF96" s="39">
        <v>771</v>
      </c>
      <c r="AG96" s="39">
        <v>13</v>
      </c>
      <c r="AH96" s="9">
        <f t="shared" si="41"/>
        <v>100</v>
      </c>
      <c r="AI96" s="11">
        <f t="shared" si="42"/>
        <v>77100</v>
      </c>
      <c r="AJ96" s="11">
        <f t="shared" si="43"/>
        <v>1020457</v>
      </c>
      <c r="AK96" s="11">
        <f t="shared" si="44"/>
        <v>1097557</v>
      </c>
      <c r="AL96" s="35">
        <v>2173420</v>
      </c>
      <c r="AM96" s="11">
        <f t="shared" si="51"/>
        <v>1075863</v>
      </c>
      <c r="AN96" s="72" t="str">
        <f t="shared" si="52"/>
        <v>No</v>
      </c>
      <c r="AO96" s="35">
        <v>1767283</v>
      </c>
      <c r="AP96" s="35">
        <f t="shared" si="45"/>
        <v>89619.387900000002</v>
      </c>
      <c r="AQ96" s="35">
        <f t="shared" si="46"/>
        <v>1677663.6121</v>
      </c>
      <c r="AR96" s="35">
        <f t="shared" si="47"/>
        <v>1677663.6121</v>
      </c>
      <c r="AS96" s="66"/>
      <c r="AT96" s="67"/>
      <c r="AU96" s="35"/>
      <c r="AV96" s="68"/>
      <c r="AW96" s="35"/>
      <c r="AX96" s="21"/>
      <c r="AZ96" s="21"/>
      <c r="BA96" s="21"/>
      <c r="BE96" s="21"/>
      <c r="BF96" s="21"/>
      <c r="BG96" s="21"/>
      <c r="BH96" s="21"/>
      <c r="BI96" s="21"/>
    </row>
    <row r="97" spans="1:61" x14ac:dyDescent="0.4">
      <c r="A97" s="8" t="s">
        <v>121</v>
      </c>
      <c r="B97" s="8"/>
      <c r="C97" s="25"/>
      <c r="D97" s="25"/>
      <c r="E97" s="25"/>
      <c r="F97" s="1">
        <v>7</v>
      </c>
      <c r="G97" s="39">
        <v>54</v>
      </c>
      <c r="H97" s="8">
        <v>71</v>
      </c>
      <c r="I97" s="3" t="s">
        <v>196</v>
      </c>
      <c r="J97" s="70"/>
      <c r="K97" s="39">
        <v>952.01</v>
      </c>
      <c r="L97" s="75"/>
      <c r="M97" s="34"/>
      <c r="N97" s="39">
        <v>288</v>
      </c>
      <c r="O97" s="65">
        <f t="shared" si="31"/>
        <v>0.30251783069505572</v>
      </c>
      <c r="P97" s="65">
        <f t="shared" si="32"/>
        <v>0</v>
      </c>
      <c r="Q97" s="35">
        <f t="shared" si="33"/>
        <v>0</v>
      </c>
      <c r="R97" s="35">
        <f t="shared" si="48"/>
        <v>0</v>
      </c>
      <c r="S97" s="39">
        <v>10</v>
      </c>
      <c r="T97" s="36">
        <f t="shared" si="34"/>
        <v>86.4</v>
      </c>
      <c r="U97" s="9">
        <f t="shared" si="35"/>
        <v>1039.9100000000001</v>
      </c>
      <c r="V97" s="39">
        <v>937654775.33000004</v>
      </c>
      <c r="W97" s="39">
        <v>7209</v>
      </c>
      <c r="X97" s="17">
        <f t="shared" si="36"/>
        <v>130067.25</v>
      </c>
      <c r="Y97" s="37">
        <f t="shared" si="37"/>
        <v>0.69666399999999995</v>
      </c>
      <c r="Z97" s="35">
        <v>93531</v>
      </c>
      <c r="AA97" s="37">
        <f t="shared" si="38"/>
        <v>0.81225599999999998</v>
      </c>
      <c r="AB97" s="37">
        <f t="shared" si="39"/>
        <v>0.26865800000000001</v>
      </c>
      <c r="AC97" s="71">
        <f t="shared" si="40"/>
        <v>0.26865800000000001</v>
      </c>
      <c r="AD97" s="38">
        <f t="shared" si="49"/>
        <v>0</v>
      </c>
      <c r="AE97" s="74">
        <f t="shared" si="50"/>
        <v>0.26865800000000001</v>
      </c>
      <c r="AF97" s="39">
        <v>0</v>
      </c>
      <c r="AG97" s="39">
        <v>0</v>
      </c>
      <c r="AH97" s="9">
        <f t="shared" si="41"/>
        <v>0</v>
      </c>
      <c r="AI97" s="11">
        <f t="shared" si="42"/>
        <v>0</v>
      </c>
      <c r="AJ97" s="11">
        <f t="shared" si="43"/>
        <v>3219856</v>
      </c>
      <c r="AK97" s="11">
        <f t="shared" si="44"/>
        <v>3219856</v>
      </c>
      <c r="AL97" s="35">
        <v>5410404</v>
      </c>
      <c r="AM97" s="11">
        <f t="shared" si="51"/>
        <v>2190548</v>
      </c>
      <c r="AN97" s="72" t="str">
        <f t="shared" si="52"/>
        <v>No</v>
      </c>
      <c r="AO97" s="35">
        <v>4761062</v>
      </c>
      <c r="AP97" s="35">
        <f t="shared" si="45"/>
        <v>182472.64840000001</v>
      </c>
      <c r="AQ97" s="35">
        <f t="shared" si="46"/>
        <v>4578589.3515999997</v>
      </c>
      <c r="AR97" s="35">
        <f t="shared" si="47"/>
        <v>4578589.3515999997</v>
      </c>
      <c r="AS97" s="66"/>
      <c r="AT97" s="67"/>
      <c r="AU97" s="35"/>
      <c r="AV97" s="68"/>
      <c r="AW97" s="35"/>
      <c r="AX97" s="21"/>
      <c r="AZ97" s="21"/>
      <c r="BA97" s="21"/>
      <c r="BE97" s="21"/>
      <c r="BF97" s="21"/>
      <c r="BG97" s="21"/>
      <c r="BH97" s="21"/>
      <c r="BI97" s="21"/>
    </row>
    <row r="98" spans="1:61" x14ac:dyDescent="0.4">
      <c r="A98" s="8" t="s">
        <v>127</v>
      </c>
      <c r="B98" s="8"/>
      <c r="C98" s="25"/>
      <c r="D98" s="25"/>
      <c r="E98" s="25"/>
      <c r="F98" s="1">
        <v>7</v>
      </c>
      <c r="G98" s="39">
        <v>60</v>
      </c>
      <c r="H98" s="8">
        <v>72</v>
      </c>
      <c r="I98" s="3" t="s">
        <v>197</v>
      </c>
      <c r="J98" s="70"/>
      <c r="K98" s="39">
        <v>2375.2199999999998</v>
      </c>
      <c r="L98" s="75"/>
      <c r="M98" s="34"/>
      <c r="N98" s="39">
        <v>611</v>
      </c>
      <c r="O98" s="65">
        <f t="shared" si="31"/>
        <v>0.25723932940948629</v>
      </c>
      <c r="P98" s="65">
        <f t="shared" si="32"/>
        <v>0</v>
      </c>
      <c r="Q98" s="35">
        <f t="shared" si="33"/>
        <v>0</v>
      </c>
      <c r="R98" s="35">
        <f t="shared" si="48"/>
        <v>0</v>
      </c>
      <c r="S98" s="39">
        <v>35</v>
      </c>
      <c r="T98" s="36">
        <f t="shared" si="34"/>
        <v>183.3</v>
      </c>
      <c r="U98" s="9">
        <f t="shared" si="35"/>
        <v>2563.77</v>
      </c>
      <c r="V98" s="39">
        <v>1619114817</v>
      </c>
      <c r="W98" s="39">
        <v>14837</v>
      </c>
      <c r="X98" s="17">
        <f t="shared" si="36"/>
        <v>109126.83</v>
      </c>
      <c r="Y98" s="37">
        <f t="shared" si="37"/>
        <v>0.58450299999999999</v>
      </c>
      <c r="Z98" s="35">
        <v>88163</v>
      </c>
      <c r="AA98" s="37">
        <f t="shared" si="38"/>
        <v>0.76563899999999996</v>
      </c>
      <c r="AB98" s="37">
        <f t="shared" si="39"/>
        <v>0.36115599999999998</v>
      </c>
      <c r="AC98" s="71">
        <f t="shared" si="40"/>
        <v>0.36115599999999998</v>
      </c>
      <c r="AD98" s="38">
        <f t="shared" si="49"/>
        <v>0</v>
      </c>
      <c r="AE98" s="74">
        <f t="shared" si="50"/>
        <v>0.36115599999999998</v>
      </c>
      <c r="AF98" s="39">
        <v>0</v>
      </c>
      <c r="AG98" s="39">
        <v>0</v>
      </c>
      <c r="AH98" s="9">
        <f t="shared" si="41"/>
        <v>0</v>
      </c>
      <c r="AI98" s="11">
        <f t="shared" si="42"/>
        <v>0</v>
      </c>
      <c r="AJ98" s="11">
        <f t="shared" si="43"/>
        <v>10671239</v>
      </c>
      <c r="AK98" s="11">
        <f t="shared" si="44"/>
        <v>10671239</v>
      </c>
      <c r="AL98" s="35">
        <v>11977384</v>
      </c>
      <c r="AM98" s="11">
        <f t="shared" si="51"/>
        <v>1306145</v>
      </c>
      <c r="AN98" s="72" t="str">
        <f t="shared" si="52"/>
        <v>No</v>
      </c>
      <c r="AO98" s="35">
        <v>11601318</v>
      </c>
      <c r="AP98" s="35">
        <f t="shared" si="45"/>
        <v>108801.87849999999</v>
      </c>
      <c r="AQ98" s="35">
        <f t="shared" si="46"/>
        <v>11492516.1215</v>
      </c>
      <c r="AR98" s="35">
        <f t="shared" si="47"/>
        <v>11492516.1215</v>
      </c>
      <c r="AS98" s="66"/>
      <c r="AT98" s="67"/>
      <c r="AU98" s="35"/>
      <c r="AV98" s="68"/>
      <c r="AW98" s="35"/>
      <c r="AX98" s="21"/>
      <c r="AZ98" s="21"/>
      <c r="BA98" s="21"/>
      <c r="BE98" s="21"/>
      <c r="BF98" s="21"/>
      <c r="BG98" s="21"/>
      <c r="BH98" s="21"/>
      <c r="BI98" s="21"/>
    </row>
    <row r="99" spans="1:61" x14ac:dyDescent="0.4">
      <c r="A99" s="8" t="s">
        <v>121</v>
      </c>
      <c r="B99" s="8"/>
      <c r="C99" s="25"/>
      <c r="D99" s="25"/>
      <c r="E99" s="25"/>
      <c r="F99" s="1">
        <v>7</v>
      </c>
      <c r="G99" s="39">
        <v>70</v>
      </c>
      <c r="H99" s="8">
        <v>73</v>
      </c>
      <c r="I99" s="3" t="s">
        <v>198</v>
      </c>
      <c r="J99" s="70"/>
      <c r="K99" s="39">
        <v>572.12</v>
      </c>
      <c r="L99" s="75"/>
      <c r="M99" s="34"/>
      <c r="N99" s="39">
        <v>202</v>
      </c>
      <c r="O99" s="65">
        <f t="shared" si="31"/>
        <v>0.35307278193386005</v>
      </c>
      <c r="P99" s="65">
        <f t="shared" si="32"/>
        <v>0</v>
      </c>
      <c r="Q99" s="35">
        <f t="shared" si="33"/>
        <v>0</v>
      </c>
      <c r="R99" s="35">
        <f t="shared" si="48"/>
        <v>0</v>
      </c>
      <c r="S99" s="39">
        <v>8</v>
      </c>
      <c r="T99" s="36">
        <f t="shared" si="34"/>
        <v>60.6</v>
      </c>
      <c r="U99" s="9">
        <f t="shared" si="35"/>
        <v>633.92000000000007</v>
      </c>
      <c r="V99" s="39">
        <v>562346536</v>
      </c>
      <c r="W99" s="39">
        <v>4274</v>
      </c>
      <c r="X99" s="17">
        <f t="shared" si="36"/>
        <v>131573.82999999999</v>
      </c>
      <c r="Y99" s="37">
        <f t="shared" si="37"/>
        <v>0.70473300000000005</v>
      </c>
      <c r="Z99" s="35">
        <v>85296</v>
      </c>
      <c r="AA99" s="37">
        <f t="shared" si="38"/>
        <v>0.74074099999999998</v>
      </c>
      <c r="AB99" s="37">
        <f t="shared" si="39"/>
        <v>0.28446500000000002</v>
      </c>
      <c r="AC99" s="71">
        <f t="shared" si="40"/>
        <v>0.28446500000000002</v>
      </c>
      <c r="AD99" s="38">
        <f t="shared" si="49"/>
        <v>0</v>
      </c>
      <c r="AE99" s="74">
        <f t="shared" si="50"/>
        <v>0.28446500000000002</v>
      </c>
      <c r="AF99" s="39">
        <v>0</v>
      </c>
      <c r="AG99" s="39">
        <v>0</v>
      </c>
      <c r="AH99" s="9">
        <f t="shared" si="41"/>
        <v>0</v>
      </c>
      <c r="AI99" s="11">
        <f t="shared" si="42"/>
        <v>0</v>
      </c>
      <c r="AJ99" s="11">
        <f t="shared" si="43"/>
        <v>2078281</v>
      </c>
      <c r="AK99" s="11">
        <f t="shared" si="44"/>
        <v>2078281</v>
      </c>
      <c r="AL99" s="35">
        <v>3518715</v>
      </c>
      <c r="AM99" s="11">
        <f t="shared" si="51"/>
        <v>1440434</v>
      </c>
      <c r="AN99" s="72" t="str">
        <f t="shared" si="52"/>
        <v>No</v>
      </c>
      <c r="AO99" s="35">
        <v>3019504</v>
      </c>
      <c r="AP99" s="35">
        <f t="shared" si="45"/>
        <v>119988.1522</v>
      </c>
      <c r="AQ99" s="35">
        <f t="shared" si="46"/>
        <v>2899515.8478000001</v>
      </c>
      <c r="AR99" s="35">
        <f t="shared" si="47"/>
        <v>2899515.8478000001</v>
      </c>
      <c r="AS99" s="66"/>
      <c r="AT99" s="67"/>
      <c r="AU99" s="35"/>
      <c r="AV99" s="68"/>
      <c r="AW99" s="35"/>
      <c r="AX99" s="21"/>
      <c r="AZ99" s="21"/>
      <c r="BA99" s="21"/>
      <c r="BE99" s="21"/>
      <c r="BF99" s="21"/>
      <c r="BG99" s="21"/>
      <c r="BH99" s="21"/>
      <c r="BI99" s="21"/>
    </row>
    <row r="100" spans="1:61" x14ac:dyDescent="0.4">
      <c r="A100" s="8" t="s">
        <v>121</v>
      </c>
      <c r="B100" s="8"/>
      <c r="C100" s="25"/>
      <c r="D100" s="25"/>
      <c r="E100" s="25"/>
      <c r="F100" s="1">
        <v>4</v>
      </c>
      <c r="G100" s="39">
        <v>112</v>
      </c>
      <c r="H100" s="8">
        <v>74</v>
      </c>
      <c r="I100" s="3" t="s">
        <v>199</v>
      </c>
      <c r="J100" s="70"/>
      <c r="K100" s="39">
        <v>883.11</v>
      </c>
      <c r="L100" s="75"/>
      <c r="M100" s="34"/>
      <c r="N100" s="39">
        <v>219</v>
      </c>
      <c r="O100" s="65">
        <f t="shared" si="31"/>
        <v>0.24798722695926895</v>
      </c>
      <c r="P100" s="65">
        <f t="shared" si="32"/>
        <v>0</v>
      </c>
      <c r="Q100" s="35">
        <f t="shared" si="33"/>
        <v>0</v>
      </c>
      <c r="R100" s="35">
        <f t="shared" si="48"/>
        <v>0</v>
      </c>
      <c r="S100" s="39">
        <v>2</v>
      </c>
      <c r="T100" s="36">
        <f t="shared" si="34"/>
        <v>65.7</v>
      </c>
      <c r="U100" s="9">
        <f t="shared" si="35"/>
        <v>949.11</v>
      </c>
      <c r="V100" s="39">
        <v>1463334139.6700001</v>
      </c>
      <c r="W100" s="39">
        <v>8168</v>
      </c>
      <c r="X100" s="17">
        <f t="shared" si="36"/>
        <v>179154.52</v>
      </c>
      <c r="Y100" s="37">
        <f t="shared" si="37"/>
        <v>0.95958399999999999</v>
      </c>
      <c r="Z100" s="35">
        <v>78375</v>
      </c>
      <c r="AA100" s="37">
        <f t="shared" si="38"/>
        <v>0.68063600000000002</v>
      </c>
      <c r="AB100" s="37">
        <f t="shared" si="39"/>
        <v>0.1241</v>
      </c>
      <c r="AC100" s="71">
        <f t="shared" si="40"/>
        <v>0.1241</v>
      </c>
      <c r="AD100" s="38">
        <f t="shared" si="49"/>
        <v>0</v>
      </c>
      <c r="AE100" s="74">
        <f t="shared" si="50"/>
        <v>0.1241</v>
      </c>
      <c r="AF100" s="39">
        <v>0</v>
      </c>
      <c r="AG100" s="39">
        <v>0</v>
      </c>
      <c r="AH100" s="9">
        <f t="shared" si="41"/>
        <v>0</v>
      </c>
      <c r="AI100" s="11">
        <f t="shared" si="42"/>
        <v>0</v>
      </c>
      <c r="AJ100" s="11">
        <f t="shared" si="43"/>
        <v>1357467</v>
      </c>
      <c r="AK100" s="11">
        <f t="shared" si="44"/>
        <v>1357467</v>
      </c>
      <c r="AL100" s="35">
        <v>1446598</v>
      </c>
      <c r="AM100" s="11">
        <f t="shared" si="51"/>
        <v>89131</v>
      </c>
      <c r="AN100" s="72" t="str">
        <f t="shared" si="52"/>
        <v>No</v>
      </c>
      <c r="AO100" s="35">
        <v>1300927</v>
      </c>
      <c r="AP100" s="35">
        <f t="shared" si="45"/>
        <v>7424.6122999999998</v>
      </c>
      <c r="AQ100" s="35">
        <f t="shared" si="46"/>
        <v>1293502.3877000001</v>
      </c>
      <c r="AR100" s="35">
        <f t="shared" si="47"/>
        <v>1293502.3877000001</v>
      </c>
      <c r="AS100" s="66"/>
      <c r="AT100" s="67"/>
      <c r="AU100" s="35"/>
      <c r="AV100" s="68"/>
      <c r="AW100" s="35"/>
      <c r="AX100" s="21"/>
      <c r="AZ100" s="21"/>
      <c r="BA100" s="21"/>
      <c r="BE100" s="21"/>
      <c r="BF100" s="21"/>
      <c r="BG100" s="21"/>
      <c r="BH100" s="21"/>
      <c r="BI100" s="21"/>
    </row>
    <row r="101" spans="1:61" x14ac:dyDescent="0.4">
      <c r="A101" s="8" t="s">
        <v>117</v>
      </c>
      <c r="B101" s="8"/>
      <c r="C101" s="25"/>
      <c r="D101" s="25"/>
      <c r="E101" s="25"/>
      <c r="F101" s="1">
        <v>1</v>
      </c>
      <c r="G101" s="39">
        <v>154</v>
      </c>
      <c r="H101" s="8">
        <v>75</v>
      </c>
      <c r="I101" s="3" t="s">
        <v>200</v>
      </c>
      <c r="J101" s="70"/>
      <c r="K101" s="39">
        <v>248.43</v>
      </c>
      <c r="L101" s="75"/>
      <c r="M101" s="34"/>
      <c r="N101" s="39">
        <v>41</v>
      </c>
      <c r="O101" s="65">
        <f t="shared" si="31"/>
        <v>0.16503642877269251</v>
      </c>
      <c r="P101" s="65">
        <f t="shared" si="32"/>
        <v>0</v>
      </c>
      <c r="Q101" s="35">
        <f t="shared" si="33"/>
        <v>0</v>
      </c>
      <c r="R101" s="35">
        <f t="shared" si="48"/>
        <v>0</v>
      </c>
      <c r="S101" s="39">
        <v>4</v>
      </c>
      <c r="T101" s="36">
        <f t="shared" si="34"/>
        <v>12.3</v>
      </c>
      <c r="U101" s="9">
        <f t="shared" si="35"/>
        <v>261.33000000000004</v>
      </c>
      <c r="V101" s="39">
        <v>720535394.66999996</v>
      </c>
      <c r="W101" s="39">
        <v>2354</v>
      </c>
      <c r="X101" s="17">
        <f t="shared" si="36"/>
        <v>306089.8</v>
      </c>
      <c r="Y101" s="37">
        <f t="shared" si="37"/>
        <v>1.639473</v>
      </c>
      <c r="Z101" s="35">
        <v>84922</v>
      </c>
      <c r="AA101" s="37">
        <f t="shared" si="38"/>
        <v>0.73749299999999995</v>
      </c>
      <c r="AB101" s="37">
        <f t="shared" si="39"/>
        <v>-0.36887900000000001</v>
      </c>
      <c r="AC101" s="71">
        <f t="shared" si="40"/>
        <v>0.01</v>
      </c>
      <c r="AD101" s="38">
        <f t="shared" si="49"/>
        <v>0</v>
      </c>
      <c r="AE101" s="74">
        <f t="shared" si="50"/>
        <v>0.01</v>
      </c>
      <c r="AF101" s="39">
        <v>246</v>
      </c>
      <c r="AG101" s="39">
        <v>13</v>
      </c>
      <c r="AH101" s="9">
        <f t="shared" si="41"/>
        <v>100</v>
      </c>
      <c r="AI101" s="11">
        <f t="shared" si="42"/>
        <v>24600</v>
      </c>
      <c r="AJ101" s="11">
        <f t="shared" si="43"/>
        <v>30118</v>
      </c>
      <c r="AK101" s="11">
        <f t="shared" si="44"/>
        <v>54718</v>
      </c>
      <c r="AL101" s="35">
        <v>63069</v>
      </c>
      <c r="AM101" s="11">
        <f t="shared" si="51"/>
        <v>8351</v>
      </c>
      <c r="AN101" s="72" t="str">
        <f t="shared" si="52"/>
        <v>No</v>
      </c>
      <c r="AO101" s="35">
        <v>60912</v>
      </c>
      <c r="AP101" s="35">
        <f t="shared" si="45"/>
        <v>695.63829999999996</v>
      </c>
      <c r="AQ101" s="35">
        <f t="shared" si="46"/>
        <v>60216.361700000001</v>
      </c>
      <c r="AR101" s="35">
        <f t="shared" si="47"/>
        <v>60216.361700000001</v>
      </c>
      <c r="AS101" s="66"/>
      <c r="AT101" s="67"/>
      <c r="AU101" s="35"/>
      <c r="AV101" s="68"/>
      <c r="AW101" s="35"/>
      <c r="AX101" s="21"/>
      <c r="AZ101" s="21"/>
      <c r="BA101" s="21"/>
      <c r="BE101" s="21"/>
      <c r="BF101" s="21"/>
      <c r="BG101" s="21"/>
      <c r="BH101" s="21"/>
      <c r="BI101" s="21"/>
    </row>
    <row r="102" spans="1:61" x14ac:dyDescent="0.4">
      <c r="A102" s="8" t="s">
        <v>123</v>
      </c>
      <c r="B102" s="8"/>
      <c r="C102" s="25"/>
      <c r="D102" s="25"/>
      <c r="E102" s="25"/>
      <c r="F102" s="1">
        <v>2</v>
      </c>
      <c r="G102" s="39">
        <v>144</v>
      </c>
      <c r="H102" s="8">
        <v>76</v>
      </c>
      <c r="I102" s="3" t="s">
        <v>201</v>
      </c>
      <c r="J102" s="70"/>
      <c r="K102" s="39">
        <v>2625.47</v>
      </c>
      <c r="L102" s="75"/>
      <c r="M102" s="34"/>
      <c r="N102" s="39">
        <v>99</v>
      </c>
      <c r="O102" s="65">
        <f t="shared" si="31"/>
        <v>3.7707534270054507E-2</v>
      </c>
      <c r="P102" s="65">
        <f t="shared" si="32"/>
        <v>0</v>
      </c>
      <c r="Q102" s="35">
        <f t="shared" si="33"/>
        <v>0</v>
      </c>
      <c r="R102" s="35">
        <f t="shared" si="48"/>
        <v>0</v>
      </c>
      <c r="S102" s="39">
        <v>37</v>
      </c>
      <c r="T102" s="36">
        <f t="shared" si="34"/>
        <v>29.7</v>
      </c>
      <c r="U102" s="9">
        <f t="shared" si="35"/>
        <v>2660.72</v>
      </c>
      <c r="V102" s="39">
        <v>4227313659.6700001</v>
      </c>
      <c r="W102" s="39">
        <v>18196</v>
      </c>
      <c r="X102" s="17">
        <f t="shared" si="36"/>
        <v>232321.04</v>
      </c>
      <c r="Y102" s="37">
        <f t="shared" si="37"/>
        <v>1.244354</v>
      </c>
      <c r="Z102" s="35">
        <v>108167</v>
      </c>
      <c r="AA102" s="37">
        <f t="shared" si="38"/>
        <v>0.939361</v>
      </c>
      <c r="AB102" s="37">
        <f t="shared" si="39"/>
        <v>-0.15285599999999999</v>
      </c>
      <c r="AC102" s="71">
        <f t="shared" si="40"/>
        <v>0.01</v>
      </c>
      <c r="AD102" s="38">
        <f t="shared" si="49"/>
        <v>0</v>
      </c>
      <c r="AE102" s="74">
        <f t="shared" si="50"/>
        <v>0.01</v>
      </c>
      <c r="AF102" s="39">
        <v>0</v>
      </c>
      <c r="AG102" s="39">
        <v>0</v>
      </c>
      <c r="AH102" s="9">
        <f t="shared" si="41"/>
        <v>0</v>
      </c>
      <c r="AI102" s="11">
        <f t="shared" si="42"/>
        <v>0</v>
      </c>
      <c r="AJ102" s="11">
        <f t="shared" si="43"/>
        <v>306648</v>
      </c>
      <c r="AK102" s="11">
        <f t="shared" si="44"/>
        <v>306648</v>
      </c>
      <c r="AL102" s="35">
        <v>446496</v>
      </c>
      <c r="AM102" s="11">
        <f t="shared" si="51"/>
        <v>139848</v>
      </c>
      <c r="AN102" s="72" t="str">
        <f t="shared" si="52"/>
        <v>No</v>
      </c>
      <c r="AO102" s="35">
        <v>407115</v>
      </c>
      <c r="AP102" s="35">
        <f t="shared" si="45"/>
        <v>11649.338400000001</v>
      </c>
      <c r="AQ102" s="35">
        <f t="shared" si="46"/>
        <v>395465.66159999999</v>
      </c>
      <c r="AR102" s="35">
        <f t="shared" si="47"/>
        <v>395465.66159999999</v>
      </c>
      <c r="AS102" s="66"/>
      <c r="AT102" s="67"/>
      <c r="AU102" s="35"/>
      <c r="AV102" s="68"/>
      <c r="AW102" s="35"/>
      <c r="AX102" s="21"/>
      <c r="AZ102" s="21"/>
      <c r="BA102" s="21"/>
      <c r="BE102" s="21"/>
      <c r="BF102" s="21"/>
      <c r="BG102" s="21"/>
      <c r="BH102" s="21"/>
      <c r="BI102" s="21"/>
    </row>
    <row r="103" spans="1:61" x14ac:dyDescent="0.4">
      <c r="A103" s="8" t="s">
        <v>132</v>
      </c>
      <c r="B103" s="8"/>
      <c r="C103" s="25">
        <v>1</v>
      </c>
      <c r="D103" s="25">
        <v>1</v>
      </c>
      <c r="E103" s="25"/>
      <c r="F103" s="1">
        <v>9</v>
      </c>
      <c r="G103" s="39">
        <v>17</v>
      </c>
      <c r="H103" s="8">
        <v>77</v>
      </c>
      <c r="I103" s="3" t="s">
        <v>202</v>
      </c>
      <c r="J103" s="70"/>
      <c r="K103" s="39">
        <v>7651.26</v>
      </c>
      <c r="L103" s="76"/>
      <c r="M103" s="34"/>
      <c r="N103" s="39">
        <v>4673</v>
      </c>
      <c r="O103" s="65">
        <f t="shared" si="31"/>
        <v>0.61074907923662247</v>
      </c>
      <c r="P103" s="65">
        <f t="shared" si="32"/>
        <v>0</v>
      </c>
      <c r="Q103" s="35">
        <f t="shared" si="33"/>
        <v>0</v>
      </c>
      <c r="R103" s="35">
        <f t="shared" si="48"/>
        <v>0</v>
      </c>
      <c r="S103" s="39">
        <v>531</v>
      </c>
      <c r="T103" s="36">
        <f t="shared" si="34"/>
        <v>1401.9</v>
      </c>
      <c r="U103" s="9">
        <f t="shared" si="35"/>
        <v>9132.81</v>
      </c>
      <c r="V103" s="39">
        <v>5813992039.6700001</v>
      </c>
      <c r="W103" s="39">
        <v>57932</v>
      </c>
      <c r="X103" s="17">
        <f t="shared" si="36"/>
        <v>100358.9</v>
      </c>
      <c r="Y103" s="37">
        <f t="shared" si="37"/>
        <v>0.53754000000000002</v>
      </c>
      <c r="Z103" s="35">
        <v>67325</v>
      </c>
      <c r="AA103" s="37">
        <f t="shared" si="38"/>
        <v>0.58467400000000003</v>
      </c>
      <c r="AB103" s="37">
        <f t="shared" si="39"/>
        <v>0.44832</v>
      </c>
      <c r="AC103" s="71">
        <f t="shared" si="40"/>
        <v>0.44832</v>
      </c>
      <c r="AD103" s="38">
        <f t="shared" si="49"/>
        <v>0.03</v>
      </c>
      <c r="AE103" s="74">
        <f t="shared" si="50"/>
        <v>0.47831999999999997</v>
      </c>
      <c r="AF103" s="39">
        <v>0</v>
      </c>
      <c r="AG103" s="39">
        <v>0</v>
      </c>
      <c r="AH103" s="9">
        <f t="shared" si="41"/>
        <v>0</v>
      </c>
      <c r="AI103" s="11">
        <f t="shared" si="42"/>
        <v>0</v>
      </c>
      <c r="AJ103" s="11">
        <f t="shared" si="43"/>
        <v>50345875</v>
      </c>
      <c r="AK103" s="11">
        <f t="shared" si="44"/>
        <v>50345875</v>
      </c>
      <c r="AL103" s="35">
        <v>34440424</v>
      </c>
      <c r="AM103" s="11">
        <f t="shared" si="51"/>
        <v>15905451</v>
      </c>
      <c r="AN103" s="72" t="str">
        <f t="shared" si="52"/>
        <v>Yes</v>
      </c>
      <c r="AO103" s="35">
        <v>36555957</v>
      </c>
      <c r="AP103" s="35">
        <f t="shared" si="45"/>
        <v>1695521.0766</v>
      </c>
      <c r="AQ103" s="35">
        <f t="shared" si="46"/>
        <v>38251478.0766</v>
      </c>
      <c r="AR103" s="35">
        <f t="shared" si="47"/>
        <v>38251478.0766</v>
      </c>
      <c r="AS103" s="66"/>
      <c r="AT103" s="67"/>
      <c r="AU103" s="35"/>
      <c r="AV103" s="68"/>
      <c r="AW103" s="35"/>
      <c r="AX103" s="21"/>
      <c r="AZ103" s="21"/>
      <c r="BA103" s="21"/>
      <c r="BE103" s="21"/>
      <c r="BF103" s="21"/>
      <c r="BG103" s="21"/>
      <c r="BH103" s="21"/>
      <c r="BI103" s="21"/>
    </row>
    <row r="104" spans="1:61" x14ac:dyDescent="0.4">
      <c r="A104" s="8" t="s">
        <v>117</v>
      </c>
      <c r="B104" s="8"/>
      <c r="C104" s="25"/>
      <c r="D104" s="25"/>
      <c r="E104" s="25"/>
      <c r="F104" s="1">
        <v>8</v>
      </c>
      <c r="G104" s="39">
        <v>38</v>
      </c>
      <c r="H104" s="8">
        <v>78</v>
      </c>
      <c r="I104" s="3" t="s">
        <v>203</v>
      </c>
      <c r="J104" s="70"/>
      <c r="K104" s="39">
        <v>1679.67</v>
      </c>
      <c r="L104" s="76"/>
      <c r="M104" s="34"/>
      <c r="N104" s="39">
        <v>483</v>
      </c>
      <c r="O104" s="65">
        <f t="shared" si="31"/>
        <v>0.28755648430941788</v>
      </c>
      <c r="P104" s="65">
        <f t="shared" si="32"/>
        <v>0</v>
      </c>
      <c r="Q104" s="35">
        <f t="shared" si="33"/>
        <v>0</v>
      </c>
      <c r="R104" s="35">
        <f t="shared" si="48"/>
        <v>0</v>
      </c>
      <c r="S104" s="39">
        <v>57</v>
      </c>
      <c r="T104" s="36">
        <f t="shared" si="34"/>
        <v>144.9</v>
      </c>
      <c r="U104" s="9">
        <f t="shared" si="35"/>
        <v>1833.1200000000001</v>
      </c>
      <c r="V104" s="39">
        <v>1586317025.6700001</v>
      </c>
      <c r="W104" s="39">
        <v>13695</v>
      </c>
      <c r="X104" s="17">
        <f t="shared" si="36"/>
        <v>115831.84</v>
      </c>
      <c r="Y104" s="37">
        <f t="shared" si="37"/>
        <v>0.62041599999999997</v>
      </c>
      <c r="Z104" s="35">
        <v>58819</v>
      </c>
      <c r="AA104" s="37">
        <f t="shared" si="38"/>
        <v>0.51080499999999995</v>
      </c>
      <c r="AB104" s="37">
        <f t="shared" si="39"/>
        <v>0.41246699999999997</v>
      </c>
      <c r="AC104" s="71">
        <f t="shared" si="40"/>
        <v>0.41246699999999997</v>
      </c>
      <c r="AD104" s="38">
        <f t="shared" si="49"/>
        <v>0</v>
      </c>
      <c r="AE104" s="74">
        <f t="shared" si="50"/>
        <v>0.41246699999999997</v>
      </c>
      <c r="AF104" s="39">
        <v>532</v>
      </c>
      <c r="AG104" s="39">
        <v>4</v>
      </c>
      <c r="AH104" s="9">
        <f t="shared" si="41"/>
        <v>30.77</v>
      </c>
      <c r="AI104" s="11">
        <f t="shared" si="42"/>
        <v>16370</v>
      </c>
      <c r="AJ104" s="11">
        <f t="shared" si="43"/>
        <v>8714070</v>
      </c>
      <c r="AK104" s="11">
        <f t="shared" si="44"/>
        <v>8730440</v>
      </c>
      <c r="AL104" s="35">
        <v>9947410</v>
      </c>
      <c r="AM104" s="11">
        <f t="shared" si="51"/>
        <v>1216970</v>
      </c>
      <c r="AN104" s="72" t="str">
        <f t="shared" si="52"/>
        <v>No</v>
      </c>
      <c r="AO104" s="35">
        <v>9561096</v>
      </c>
      <c r="AP104" s="35">
        <f t="shared" si="45"/>
        <v>101373.601</v>
      </c>
      <c r="AQ104" s="35">
        <f t="shared" si="46"/>
        <v>9459722.3990000002</v>
      </c>
      <c r="AR104" s="35">
        <f t="shared" si="47"/>
        <v>9459722.3990000002</v>
      </c>
      <c r="AS104" s="66"/>
      <c r="AT104" s="67"/>
      <c r="AU104" s="35"/>
      <c r="AV104" s="68"/>
      <c r="AW104" s="35"/>
      <c r="AX104" s="21"/>
      <c r="AZ104" s="21"/>
      <c r="BA104" s="21"/>
      <c r="BE104" s="21"/>
      <c r="BF104" s="21"/>
      <c r="BG104" s="21"/>
      <c r="BH104" s="21"/>
      <c r="BI104" s="21"/>
    </row>
    <row r="105" spans="1:61" x14ac:dyDescent="0.4">
      <c r="A105" s="8" t="s">
        <v>117</v>
      </c>
      <c r="B105" s="8"/>
      <c r="C105" s="25"/>
      <c r="D105" s="25"/>
      <c r="E105" s="25"/>
      <c r="F105" s="1">
        <v>4</v>
      </c>
      <c r="G105" s="39">
        <v>64</v>
      </c>
      <c r="H105" s="8">
        <v>79</v>
      </c>
      <c r="I105" s="3" t="s">
        <v>204</v>
      </c>
      <c r="J105" s="70"/>
      <c r="K105" s="39">
        <v>987.5</v>
      </c>
      <c r="L105" s="75"/>
      <c r="M105" s="34"/>
      <c r="N105" s="39">
        <v>154</v>
      </c>
      <c r="O105" s="65">
        <f t="shared" si="31"/>
        <v>0.1559493670886076</v>
      </c>
      <c r="P105" s="65">
        <f t="shared" si="32"/>
        <v>0</v>
      </c>
      <c r="Q105" s="35">
        <f t="shared" si="33"/>
        <v>0</v>
      </c>
      <c r="R105" s="35">
        <f t="shared" si="48"/>
        <v>0</v>
      </c>
      <c r="S105" s="39">
        <v>9</v>
      </c>
      <c r="T105" s="36">
        <f t="shared" si="34"/>
        <v>46.2</v>
      </c>
      <c r="U105" s="9">
        <f t="shared" si="35"/>
        <v>1035.05</v>
      </c>
      <c r="V105" s="39">
        <v>852243455.66999996</v>
      </c>
      <c r="W105" s="39">
        <v>6397</v>
      </c>
      <c r="X105" s="17">
        <f t="shared" si="36"/>
        <v>133225.49</v>
      </c>
      <c r="Y105" s="37">
        <f t="shared" si="37"/>
        <v>0.71357999999999999</v>
      </c>
      <c r="Z105" s="35">
        <v>110250</v>
      </c>
      <c r="AA105" s="37">
        <f t="shared" si="38"/>
        <v>0.95745000000000002</v>
      </c>
      <c r="AB105" s="37">
        <f t="shared" si="39"/>
        <v>0.213259</v>
      </c>
      <c r="AC105" s="71">
        <f t="shared" si="40"/>
        <v>0.213259</v>
      </c>
      <c r="AD105" s="38">
        <f t="shared" si="49"/>
        <v>0</v>
      </c>
      <c r="AE105" s="74">
        <f t="shared" si="50"/>
        <v>0.213259</v>
      </c>
      <c r="AF105" s="39">
        <v>514</v>
      </c>
      <c r="AG105" s="39">
        <v>6</v>
      </c>
      <c r="AH105" s="9">
        <f t="shared" si="41"/>
        <v>46.15</v>
      </c>
      <c r="AI105" s="11">
        <f t="shared" si="42"/>
        <v>23721</v>
      </c>
      <c r="AJ105" s="11">
        <f t="shared" si="43"/>
        <v>2543956</v>
      </c>
      <c r="AK105" s="11">
        <f t="shared" si="44"/>
        <v>2567677</v>
      </c>
      <c r="AL105" s="35">
        <v>3154015</v>
      </c>
      <c r="AM105" s="11">
        <f t="shared" si="51"/>
        <v>586338</v>
      </c>
      <c r="AN105" s="72" t="str">
        <f t="shared" si="52"/>
        <v>No</v>
      </c>
      <c r="AO105" s="35">
        <v>2951181</v>
      </c>
      <c r="AP105" s="35">
        <f t="shared" si="45"/>
        <v>48841.955399999999</v>
      </c>
      <c r="AQ105" s="35">
        <f t="shared" si="46"/>
        <v>2902339.0446000001</v>
      </c>
      <c r="AR105" s="35">
        <f t="shared" si="47"/>
        <v>2902339.0446000001</v>
      </c>
      <c r="AS105" s="66"/>
      <c r="AT105" s="67"/>
      <c r="AU105" s="35"/>
      <c r="AV105" s="68"/>
      <c r="AW105" s="35"/>
      <c r="AX105" s="21"/>
      <c r="AZ105" s="21"/>
      <c r="BA105" s="21"/>
      <c r="BE105" s="21"/>
      <c r="BF105" s="21"/>
      <c r="BG105" s="21"/>
      <c r="BH105" s="21"/>
      <c r="BI105" s="21"/>
    </row>
    <row r="106" spans="1:61" x14ac:dyDescent="0.4">
      <c r="A106" s="8" t="s">
        <v>119</v>
      </c>
      <c r="B106" s="8">
        <v>1</v>
      </c>
      <c r="C106" s="25">
        <v>1</v>
      </c>
      <c r="D106" s="25">
        <v>0</v>
      </c>
      <c r="E106" s="25">
        <v>1</v>
      </c>
      <c r="F106" s="1">
        <v>10</v>
      </c>
      <c r="G106" s="39">
        <v>10</v>
      </c>
      <c r="H106" s="8">
        <v>80</v>
      </c>
      <c r="I106" s="3" t="s">
        <v>205</v>
      </c>
      <c r="J106" s="70"/>
      <c r="K106" s="39">
        <v>8950.7900000000009</v>
      </c>
      <c r="L106" s="76"/>
      <c r="M106" s="34"/>
      <c r="N106" s="39">
        <v>6802</v>
      </c>
      <c r="O106" s="65">
        <f t="shared" si="31"/>
        <v>0.75993292212195784</v>
      </c>
      <c r="P106" s="65">
        <f t="shared" si="32"/>
        <v>9.9329221219578434E-3</v>
      </c>
      <c r="Q106" s="35">
        <f t="shared" si="33"/>
        <v>88.907499999999061</v>
      </c>
      <c r="R106" s="35">
        <f t="shared" si="48"/>
        <v>4.4453749999999532</v>
      </c>
      <c r="S106" s="39">
        <v>1447</v>
      </c>
      <c r="T106" s="36">
        <f t="shared" si="34"/>
        <v>2040.6</v>
      </c>
      <c r="U106" s="9">
        <f t="shared" si="35"/>
        <v>11212.885375</v>
      </c>
      <c r="V106" s="39">
        <v>4581030517.6700001</v>
      </c>
      <c r="W106" s="39">
        <v>59927</v>
      </c>
      <c r="X106" s="17">
        <f t="shared" si="36"/>
        <v>76443.509999999995</v>
      </c>
      <c r="Y106" s="37">
        <f t="shared" si="37"/>
        <v>0.409445</v>
      </c>
      <c r="Z106" s="35">
        <v>57350</v>
      </c>
      <c r="AA106" s="37">
        <f t="shared" si="38"/>
        <v>0.49804799999999999</v>
      </c>
      <c r="AB106" s="37">
        <f t="shared" si="39"/>
        <v>0.56397399999999998</v>
      </c>
      <c r="AC106" s="71">
        <f t="shared" si="40"/>
        <v>0.56397399999999998</v>
      </c>
      <c r="AD106" s="38">
        <f t="shared" si="49"/>
        <v>0.05</v>
      </c>
      <c r="AE106" s="74">
        <f t="shared" si="50"/>
        <v>0.61397400000000002</v>
      </c>
      <c r="AF106" s="39">
        <v>0</v>
      </c>
      <c r="AG106" s="39">
        <v>0</v>
      </c>
      <c r="AH106" s="9">
        <f t="shared" si="41"/>
        <v>0</v>
      </c>
      <c r="AI106" s="11">
        <f t="shared" si="42"/>
        <v>0</v>
      </c>
      <c r="AJ106" s="11">
        <f t="shared" si="43"/>
        <v>79342941</v>
      </c>
      <c r="AK106" s="11">
        <f t="shared" si="44"/>
        <v>79342941</v>
      </c>
      <c r="AL106" s="35">
        <v>60258395</v>
      </c>
      <c r="AM106" s="11">
        <f t="shared" si="51"/>
        <v>19084546</v>
      </c>
      <c r="AN106" s="72" t="str">
        <f t="shared" si="52"/>
        <v>Yes</v>
      </c>
      <c r="AO106" s="35">
        <v>62740126</v>
      </c>
      <c r="AP106" s="35">
        <f t="shared" si="45"/>
        <v>2034412.6036</v>
      </c>
      <c r="AQ106" s="35">
        <f t="shared" si="46"/>
        <v>64774538.603600003</v>
      </c>
      <c r="AR106" s="35">
        <f t="shared" si="47"/>
        <v>64774538.603600003</v>
      </c>
      <c r="AS106" s="66"/>
      <c r="AT106" s="67"/>
      <c r="AU106" s="35"/>
      <c r="AV106" s="68"/>
      <c r="AW106" s="35"/>
      <c r="AX106" s="21"/>
      <c r="AZ106" s="21"/>
      <c r="BA106" s="21"/>
      <c r="BE106" s="21"/>
      <c r="BF106" s="21"/>
      <c r="BG106" s="21"/>
      <c r="BH106" s="21"/>
      <c r="BI106" s="21"/>
    </row>
    <row r="107" spans="1:61" x14ac:dyDescent="0.4">
      <c r="A107" s="8" t="s">
        <v>123</v>
      </c>
      <c r="B107" s="8"/>
      <c r="C107" s="25"/>
      <c r="D107" s="25"/>
      <c r="E107" s="25"/>
      <c r="F107" s="1">
        <v>3</v>
      </c>
      <c r="G107" s="39">
        <v>113</v>
      </c>
      <c r="H107" s="8">
        <v>81</v>
      </c>
      <c r="I107" s="3" t="s">
        <v>206</v>
      </c>
      <c r="J107" s="70"/>
      <c r="K107" s="39">
        <v>1273.73</v>
      </c>
      <c r="L107" s="75"/>
      <c r="M107" s="34"/>
      <c r="N107" s="39">
        <v>190</v>
      </c>
      <c r="O107" s="65">
        <f t="shared" si="31"/>
        <v>0.14916819106089987</v>
      </c>
      <c r="P107" s="65">
        <f t="shared" si="32"/>
        <v>0</v>
      </c>
      <c r="Q107" s="35">
        <f t="shared" si="33"/>
        <v>0</v>
      </c>
      <c r="R107" s="35">
        <f t="shared" si="48"/>
        <v>0</v>
      </c>
      <c r="S107" s="39">
        <v>24</v>
      </c>
      <c r="T107" s="36">
        <f t="shared" si="34"/>
        <v>57</v>
      </c>
      <c r="U107" s="9">
        <f t="shared" si="35"/>
        <v>1334.33</v>
      </c>
      <c r="V107" s="39">
        <v>1365581099</v>
      </c>
      <c r="W107" s="39">
        <v>7725</v>
      </c>
      <c r="X107" s="17">
        <f t="shared" si="36"/>
        <v>176774.25</v>
      </c>
      <c r="Y107" s="37">
        <f t="shared" si="37"/>
        <v>0.94683499999999998</v>
      </c>
      <c r="Z107" s="35">
        <v>105036</v>
      </c>
      <c r="AA107" s="37">
        <f t="shared" si="38"/>
        <v>0.91217000000000004</v>
      </c>
      <c r="AB107" s="37">
        <f t="shared" si="39"/>
        <v>6.3564999999999997E-2</v>
      </c>
      <c r="AC107" s="71">
        <f t="shared" si="40"/>
        <v>6.3564999999999997E-2</v>
      </c>
      <c r="AD107" s="38">
        <f t="shared" si="49"/>
        <v>0</v>
      </c>
      <c r="AE107" s="74">
        <f t="shared" si="50"/>
        <v>6.3564999999999997E-2</v>
      </c>
      <c r="AF107" s="39">
        <v>1274</v>
      </c>
      <c r="AG107" s="39">
        <v>13</v>
      </c>
      <c r="AH107" s="9">
        <f t="shared" si="41"/>
        <v>100</v>
      </c>
      <c r="AI107" s="11">
        <f t="shared" si="42"/>
        <v>127400</v>
      </c>
      <c r="AJ107" s="11">
        <f t="shared" si="43"/>
        <v>977512</v>
      </c>
      <c r="AK107" s="11">
        <f t="shared" si="44"/>
        <v>1104912</v>
      </c>
      <c r="AL107" s="35">
        <v>855086</v>
      </c>
      <c r="AM107" s="11">
        <f t="shared" si="51"/>
        <v>249826</v>
      </c>
      <c r="AN107" s="72" t="str">
        <f t="shared" si="52"/>
        <v>Yes</v>
      </c>
      <c r="AO107" s="35">
        <v>821127</v>
      </c>
      <c r="AP107" s="35">
        <f t="shared" si="45"/>
        <v>26631.4516</v>
      </c>
      <c r="AQ107" s="35">
        <f t="shared" si="46"/>
        <v>847758.45160000003</v>
      </c>
      <c r="AR107" s="35">
        <f t="shared" si="47"/>
        <v>847758.45160000003</v>
      </c>
      <c r="AS107" s="66"/>
      <c r="AT107" s="67"/>
      <c r="AU107" s="35"/>
      <c r="AV107" s="68"/>
      <c r="AW107" s="35"/>
      <c r="AX107" s="21"/>
      <c r="AZ107" s="21"/>
      <c r="BA107" s="21"/>
      <c r="BE107" s="21"/>
      <c r="BF107" s="21"/>
      <c r="BG107" s="21"/>
      <c r="BH107" s="21"/>
      <c r="BI107" s="21"/>
    </row>
    <row r="108" spans="1:61" x14ac:dyDescent="0.4">
      <c r="A108" s="8" t="s">
        <v>117</v>
      </c>
      <c r="B108" s="8"/>
      <c r="C108" s="25"/>
      <c r="D108" s="25"/>
      <c r="E108" s="25"/>
      <c r="F108" s="1">
        <v>6</v>
      </c>
      <c r="G108" s="39">
        <v>63</v>
      </c>
      <c r="H108" s="8">
        <v>82</v>
      </c>
      <c r="I108" s="3" t="s">
        <v>207</v>
      </c>
      <c r="J108" s="70"/>
      <c r="K108" s="39">
        <v>519.24</v>
      </c>
      <c r="L108" s="75"/>
      <c r="M108" s="34"/>
      <c r="N108" s="39">
        <v>95</v>
      </c>
      <c r="O108" s="65">
        <f t="shared" si="31"/>
        <v>0.18295971034589015</v>
      </c>
      <c r="P108" s="65">
        <f t="shared" si="32"/>
        <v>0</v>
      </c>
      <c r="Q108" s="35">
        <f t="shared" si="33"/>
        <v>0</v>
      </c>
      <c r="R108" s="35">
        <f t="shared" si="48"/>
        <v>0</v>
      </c>
      <c r="S108" s="39">
        <v>4</v>
      </c>
      <c r="T108" s="36">
        <f t="shared" si="34"/>
        <v>28.5</v>
      </c>
      <c r="U108" s="9">
        <f t="shared" si="35"/>
        <v>548.34</v>
      </c>
      <c r="V108" s="39">
        <v>602447552</v>
      </c>
      <c r="W108" s="39">
        <v>4393</v>
      </c>
      <c r="X108" s="17">
        <f t="shared" si="36"/>
        <v>137138.07</v>
      </c>
      <c r="Y108" s="37">
        <f t="shared" si="37"/>
        <v>0.73453599999999997</v>
      </c>
      <c r="Z108" s="35">
        <v>103844</v>
      </c>
      <c r="AA108" s="37">
        <f t="shared" si="38"/>
        <v>0.90181800000000001</v>
      </c>
      <c r="AB108" s="37">
        <f t="shared" si="39"/>
        <v>0.215279</v>
      </c>
      <c r="AC108" s="71">
        <f t="shared" si="40"/>
        <v>0.215279</v>
      </c>
      <c r="AD108" s="38">
        <f t="shared" si="49"/>
        <v>0</v>
      </c>
      <c r="AE108" s="74">
        <f t="shared" si="50"/>
        <v>0.215279</v>
      </c>
      <c r="AF108" s="39">
        <v>516</v>
      </c>
      <c r="AG108" s="39">
        <v>13</v>
      </c>
      <c r="AH108" s="9">
        <f t="shared" si="41"/>
        <v>100</v>
      </c>
      <c r="AI108" s="11">
        <f t="shared" si="42"/>
        <v>51600</v>
      </c>
      <c r="AJ108" s="11">
        <f t="shared" si="43"/>
        <v>1360481</v>
      </c>
      <c r="AK108" s="11">
        <f t="shared" si="44"/>
        <v>1412081</v>
      </c>
      <c r="AL108" s="35">
        <v>2099315</v>
      </c>
      <c r="AM108" s="11">
        <f t="shared" si="51"/>
        <v>687234</v>
      </c>
      <c r="AN108" s="72" t="str">
        <f t="shared" si="52"/>
        <v>No</v>
      </c>
      <c r="AO108" s="35">
        <v>1894751</v>
      </c>
      <c r="AP108" s="35">
        <f t="shared" si="45"/>
        <v>57246.592199999999</v>
      </c>
      <c r="AQ108" s="35">
        <f t="shared" si="46"/>
        <v>1837504.4077999999</v>
      </c>
      <c r="AR108" s="35">
        <f t="shared" si="47"/>
        <v>1837504.4077999999</v>
      </c>
      <c r="AS108" s="66"/>
      <c r="AT108" s="67"/>
      <c r="AU108" s="35"/>
      <c r="AV108" s="68"/>
      <c r="AW108" s="35"/>
      <c r="AX108" s="21"/>
      <c r="AZ108" s="21"/>
      <c r="BA108" s="21"/>
      <c r="BE108" s="21"/>
      <c r="BF108" s="21"/>
      <c r="BG108" s="21"/>
      <c r="BH108" s="21"/>
      <c r="BI108" s="21"/>
    </row>
    <row r="109" spans="1:61" x14ac:dyDescent="0.4">
      <c r="A109" s="8" t="s">
        <v>132</v>
      </c>
      <c r="B109" s="8"/>
      <c r="C109" s="25">
        <v>1</v>
      </c>
      <c r="D109" s="25">
        <v>1</v>
      </c>
      <c r="E109" s="25"/>
      <c r="F109" s="1">
        <v>9</v>
      </c>
      <c r="G109" s="39">
        <v>31</v>
      </c>
      <c r="H109" s="8">
        <v>83</v>
      </c>
      <c r="I109" s="3" t="s">
        <v>208</v>
      </c>
      <c r="J109" s="70"/>
      <c r="K109" s="39">
        <v>4823.67</v>
      </c>
      <c r="L109" s="76"/>
      <c r="M109" s="34"/>
      <c r="N109" s="39">
        <v>2406</v>
      </c>
      <c r="O109" s="65">
        <f t="shared" si="31"/>
        <v>0.49879034013520823</v>
      </c>
      <c r="P109" s="65">
        <f t="shared" si="32"/>
        <v>0</v>
      </c>
      <c r="Q109" s="35">
        <f t="shared" si="33"/>
        <v>0</v>
      </c>
      <c r="R109" s="35">
        <f t="shared" si="48"/>
        <v>0</v>
      </c>
      <c r="S109" s="39">
        <v>189</v>
      </c>
      <c r="T109" s="36">
        <f t="shared" si="34"/>
        <v>721.8</v>
      </c>
      <c r="U109" s="9">
        <f t="shared" si="35"/>
        <v>5573.8200000000006</v>
      </c>
      <c r="V109" s="39">
        <v>4973102213.6700001</v>
      </c>
      <c r="W109" s="39">
        <v>46478</v>
      </c>
      <c r="X109" s="17">
        <f t="shared" si="36"/>
        <v>106999.06</v>
      </c>
      <c r="Y109" s="37">
        <f t="shared" si="37"/>
        <v>0.573106</v>
      </c>
      <c r="Z109" s="35">
        <v>63914</v>
      </c>
      <c r="AA109" s="37">
        <f t="shared" si="38"/>
        <v>0.55505199999999999</v>
      </c>
      <c r="AB109" s="37">
        <f t="shared" si="39"/>
        <v>0.43231000000000003</v>
      </c>
      <c r="AC109" s="71">
        <f t="shared" si="40"/>
        <v>0.43231000000000003</v>
      </c>
      <c r="AD109" s="38">
        <f t="shared" si="49"/>
        <v>0</v>
      </c>
      <c r="AE109" s="74">
        <f t="shared" si="50"/>
        <v>0.43231000000000003</v>
      </c>
      <c r="AF109" s="39">
        <v>0</v>
      </c>
      <c r="AG109" s="39">
        <v>0</v>
      </c>
      <c r="AH109" s="9">
        <f t="shared" si="41"/>
        <v>0</v>
      </c>
      <c r="AI109" s="11">
        <f t="shared" si="42"/>
        <v>0</v>
      </c>
      <c r="AJ109" s="11">
        <f t="shared" si="43"/>
        <v>27770849</v>
      </c>
      <c r="AK109" s="11">
        <f t="shared" si="44"/>
        <v>27770849</v>
      </c>
      <c r="AL109" s="35">
        <v>19515825</v>
      </c>
      <c r="AM109" s="11">
        <f t="shared" si="51"/>
        <v>8255024</v>
      </c>
      <c r="AN109" s="72" t="str">
        <f t="shared" si="52"/>
        <v>Yes</v>
      </c>
      <c r="AO109" s="35">
        <v>20671979</v>
      </c>
      <c r="AP109" s="35">
        <f t="shared" si="45"/>
        <v>879985.55839999998</v>
      </c>
      <c r="AQ109" s="35">
        <f t="shared" si="46"/>
        <v>21551964.558400001</v>
      </c>
      <c r="AR109" s="35">
        <f t="shared" si="47"/>
        <v>21551964.558400001</v>
      </c>
      <c r="AS109" s="66"/>
      <c r="AT109" s="67"/>
      <c r="AU109" s="35"/>
      <c r="AV109" s="68"/>
      <c r="AW109" s="35"/>
      <c r="AX109" s="21"/>
      <c r="AZ109" s="21"/>
      <c r="BA109" s="21"/>
      <c r="BE109" s="21"/>
      <c r="BF109" s="21"/>
      <c r="BG109" s="21"/>
      <c r="BH109" s="21"/>
      <c r="BI109" s="21"/>
    </row>
    <row r="110" spans="1:61" x14ac:dyDescent="0.4">
      <c r="A110" s="8" t="s">
        <v>127</v>
      </c>
      <c r="B110" s="8"/>
      <c r="C110" s="25"/>
      <c r="D110" s="25"/>
      <c r="E110" s="25"/>
      <c r="F110" s="1">
        <v>6</v>
      </c>
      <c r="G110" s="39">
        <v>97</v>
      </c>
      <c r="H110" s="8">
        <v>84</v>
      </c>
      <c r="I110" s="3" t="s">
        <v>209</v>
      </c>
      <c r="J110" s="70"/>
      <c r="K110" s="39">
        <v>5616.78</v>
      </c>
      <c r="L110" s="76"/>
      <c r="M110" s="34"/>
      <c r="N110" s="39">
        <v>1624</v>
      </c>
      <c r="O110" s="65">
        <f t="shared" si="31"/>
        <v>0.2891336317249385</v>
      </c>
      <c r="P110" s="65">
        <f t="shared" si="32"/>
        <v>0</v>
      </c>
      <c r="Q110" s="35">
        <f t="shared" si="33"/>
        <v>0</v>
      </c>
      <c r="R110" s="35">
        <f t="shared" si="48"/>
        <v>0</v>
      </c>
      <c r="S110" s="39">
        <v>158</v>
      </c>
      <c r="T110" s="36">
        <f t="shared" si="34"/>
        <v>487.2</v>
      </c>
      <c r="U110" s="9">
        <f t="shared" si="35"/>
        <v>6127.6799999999994</v>
      </c>
      <c r="V110" s="39">
        <v>9556361258</v>
      </c>
      <c r="W110" s="39">
        <v>54508</v>
      </c>
      <c r="X110" s="17">
        <f t="shared" si="36"/>
        <v>175320.34</v>
      </c>
      <c r="Y110" s="37">
        <f t="shared" si="37"/>
        <v>0.93904799999999999</v>
      </c>
      <c r="Z110" s="35">
        <v>86382</v>
      </c>
      <c r="AA110" s="37">
        <f t="shared" si="38"/>
        <v>0.75017199999999995</v>
      </c>
      <c r="AB110" s="37">
        <f t="shared" si="39"/>
        <v>0.117615</v>
      </c>
      <c r="AC110" s="71">
        <f t="shared" si="40"/>
        <v>0.117615</v>
      </c>
      <c r="AD110" s="38">
        <f t="shared" si="49"/>
        <v>0</v>
      </c>
      <c r="AE110" s="74">
        <f t="shared" si="50"/>
        <v>0.117615</v>
      </c>
      <c r="AF110" s="39">
        <v>0</v>
      </c>
      <c r="AG110" s="39">
        <v>0</v>
      </c>
      <c r="AH110" s="9">
        <f t="shared" si="41"/>
        <v>0</v>
      </c>
      <c r="AI110" s="11">
        <f t="shared" si="42"/>
        <v>0</v>
      </c>
      <c r="AJ110" s="11">
        <f t="shared" si="43"/>
        <v>8306149</v>
      </c>
      <c r="AK110" s="11">
        <f t="shared" si="44"/>
        <v>8306149</v>
      </c>
      <c r="AL110" s="35">
        <v>10849101</v>
      </c>
      <c r="AM110" s="11">
        <f t="shared" si="51"/>
        <v>2542952</v>
      </c>
      <c r="AN110" s="72" t="str">
        <f t="shared" si="52"/>
        <v>No</v>
      </c>
      <c r="AO110" s="35">
        <v>9885063</v>
      </c>
      <c r="AP110" s="35">
        <f t="shared" si="45"/>
        <v>211827.90160000001</v>
      </c>
      <c r="AQ110" s="35">
        <f t="shared" si="46"/>
        <v>9673235.0984000005</v>
      </c>
      <c r="AR110" s="35">
        <f t="shared" si="47"/>
        <v>9673235.0984000005</v>
      </c>
      <c r="AS110" s="66"/>
      <c r="AT110" s="67"/>
      <c r="AU110" s="35"/>
      <c r="AV110" s="68"/>
      <c r="AW110" s="35"/>
      <c r="AX110" s="21"/>
      <c r="AZ110" s="21"/>
      <c r="BA110" s="21"/>
      <c r="BE110" s="21"/>
      <c r="BF110" s="21"/>
      <c r="BG110" s="21"/>
      <c r="BH110" s="21"/>
      <c r="BI110" s="21"/>
    </row>
    <row r="111" spans="1:61" x14ac:dyDescent="0.4">
      <c r="A111" s="8" t="s">
        <v>123</v>
      </c>
      <c r="B111" s="8"/>
      <c r="C111" s="25"/>
      <c r="D111" s="25"/>
      <c r="E111" s="25"/>
      <c r="F111" s="1">
        <v>3</v>
      </c>
      <c r="G111" s="39">
        <v>79</v>
      </c>
      <c r="H111" s="8">
        <v>85</v>
      </c>
      <c r="I111" s="3" t="s">
        <v>210</v>
      </c>
      <c r="J111" s="70"/>
      <c r="K111" s="39">
        <v>3195.31</v>
      </c>
      <c r="L111" s="75"/>
      <c r="M111" s="34"/>
      <c r="N111" s="39">
        <v>405</v>
      </c>
      <c r="O111" s="65">
        <f t="shared" si="31"/>
        <v>0.12674826542651574</v>
      </c>
      <c r="P111" s="65">
        <f t="shared" si="32"/>
        <v>0</v>
      </c>
      <c r="Q111" s="35">
        <f t="shared" si="33"/>
        <v>0</v>
      </c>
      <c r="R111" s="35">
        <f t="shared" si="48"/>
        <v>0</v>
      </c>
      <c r="S111" s="39">
        <v>34</v>
      </c>
      <c r="T111" s="36">
        <f t="shared" si="34"/>
        <v>121.5</v>
      </c>
      <c r="U111" s="9">
        <f t="shared" si="35"/>
        <v>3321.91</v>
      </c>
      <c r="V111" s="39">
        <v>3155315831.6700001</v>
      </c>
      <c r="W111" s="39">
        <v>19635</v>
      </c>
      <c r="X111" s="17">
        <f t="shared" si="36"/>
        <v>160698.54</v>
      </c>
      <c r="Y111" s="37">
        <f t="shared" si="37"/>
        <v>0.86073100000000002</v>
      </c>
      <c r="Z111" s="35">
        <v>109631</v>
      </c>
      <c r="AA111" s="37">
        <f t="shared" si="38"/>
        <v>0.952075</v>
      </c>
      <c r="AB111" s="37">
        <f t="shared" si="39"/>
        <v>0.11186599999999999</v>
      </c>
      <c r="AC111" s="71">
        <f t="shared" si="40"/>
        <v>0.11186599999999999</v>
      </c>
      <c r="AD111" s="38">
        <f t="shared" si="49"/>
        <v>0</v>
      </c>
      <c r="AE111" s="74">
        <f t="shared" si="50"/>
        <v>0.11186599999999999</v>
      </c>
      <c r="AF111" s="39">
        <v>0</v>
      </c>
      <c r="AG111" s="39">
        <v>0</v>
      </c>
      <c r="AH111" s="9">
        <f t="shared" si="41"/>
        <v>0</v>
      </c>
      <c r="AI111" s="11">
        <f t="shared" si="42"/>
        <v>0</v>
      </c>
      <c r="AJ111" s="11">
        <f t="shared" si="43"/>
        <v>4282791</v>
      </c>
      <c r="AK111" s="11">
        <f t="shared" si="44"/>
        <v>4282791</v>
      </c>
      <c r="AL111" s="35">
        <v>6394518</v>
      </c>
      <c r="AM111" s="11">
        <f t="shared" si="51"/>
        <v>2111727</v>
      </c>
      <c r="AN111" s="72" t="str">
        <f t="shared" si="52"/>
        <v>No</v>
      </c>
      <c r="AO111" s="35">
        <v>5448842</v>
      </c>
      <c r="AP111" s="35">
        <f t="shared" si="45"/>
        <v>175906.8591</v>
      </c>
      <c r="AQ111" s="35">
        <f t="shared" si="46"/>
        <v>5272935.1409</v>
      </c>
      <c r="AR111" s="35">
        <f t="shared" si="47"/>
        <v>5272935.1409</v>
      </c>
      <c r="AS111" s="66"/>
      <c r="AT111" s="67"/>
      <c r="AU111" s="35"/>
      <c r="AV111" s="68"/>
      <c r="AW111" s="35"/>
      <c r="AX111" s="21"/>
      <c r="AZ111" s="21"/>
      <c r="BA111" s="21"/>
      <c r="BE111" s="21"/>
      <c r="BF111" s="21"/>
      <c r="BG111" s="21"/>
      <c r="BH111" s="21"/>
      <c r="BI111" s="21"/>
    </row>
    <row r="112" spans="1:61" x14ac:dyDescent="0.4">
      <c r="A112" s="8" t="s">
        <v>145</v>
      </c>
      <c r="B112" s="8"/>
      <c r="C112" s="25"/>
      <c r="D112" s="25"/>
      <c r="E112" s="25"/>
      <c r="F112" s="1">
        <v>8</v>
      </c>
      <c r="G112" s="39">
        <v>39</v>
      </c>
      <c r="H112" s="8">
        <v>86</v>
      </c>
      <c r="I112" s="3" t="s">
        <v>211</v>
      </c>
      <c r="J112" s="70"/>
      <c r="K112" s="39">
        <v>2258.2800000000002</v>
      </c>
      <c r="L112" s="76"/>
      <c r="M112" s="34"/>
      <c r="N112" s="39">
        <v>1021</v>
      </c>
      <c r="O112" s="65">
        <f t="shared" si="31"/>
        <v>0.4521139982641656</v>
      </c>
      <c r="P112" s="65">
        <f t="shared" si="32"/>
        <v>0</v>
      </c>
      <c r="Q112" s="35">
        <f t="shared" si="33"/>
        <v>0</v>
      </c>
      <c r="R112" s="35">
        <f t="shared" si="48"/>
        <v>0</v>
      </c>
      <c r="S112" s="39">
        <v>104</v>
      </c>
      <c r="T112" s="36">
        <f t="shared" si="34"/>
        <v>306.3</v>
      </c>
      <c r="U112" s="9">
        <f t="shared" si="35"/>
        <v>2580.1800000000003</v>
      </c>
      <c r="V112" s="39">
        <v>1836077640.6700001</v>
      </c>
      <c r="W112" s="39">
        <v>19149</v>
      </c>
      <c r="X112" s="17">
        <f t="shared" si="36"/>
        <v>95883.73</v>
      </c>
      <c r="Y112" s="37">
        <f t="shared" si="37"/>
        <v>0.513571</v>
      </c>
      <c r="Z112" s="35">
        <v>72639</v>
      </c>
      <c r="AA112" s="37">
        <f t="shared" si="38"/>
        <v>0.63082300000000002</v>
      </c>
      <c r="AB112" s="37">
        <f t="shared" si="39"/>
        <v>0.45125300000000002</v>
      </c>
      <c r="AC112" s="71">
        <f t="shared" si="40"/>
        <v>0.45125300000000002</v>
      </c>
      <c r="AD112" s="38">
        <f t="shared" si="49"/>
        <v>0</v>
      </c>
      <c r="AE112" s="74">
        <f t="shared" si="50"/>
        <v>0.45125300000000002</v>
      </c>
      <c r="AF112" s="39">
        <v>0</v>
      </c>
      <c r="AG112" s="39">
        <v>0</v>
      </c>
      <c r="AH112" s="9">
        <f t="shared" si="41"/>
        <v>0</v>
      </c>
      <c r="AI112" s="11">
        <f t="shared" si="42"/>
        <v>0</v>
      </c>
      <c r="AJ112" s="11">
        <f t="shared" si="43"/>
        <v>13418718</v>
      </c>
      <c r="AK112" s="11">
        <f t="shared" si="44"/>
        <v>13418718</v>
      </c>
      <c r="AL112" s="35">
        <v>12589621</v>
      </c>
      <c r="AM112" s="11">
        <f t="shared" si="51"/>
        <v>829097</v>
      </c>
      <c r="AN112" s="72" t="str">
        <f t="shared" si="52"/>
        <v>Yes</v>
      </c>
      <c r="AO112" s="35">
        <v>12690954</v>
      </c>
      <c r="AP112" s="35">
        <f t="shared" si="45"/>
        <v>88381.7402</v>
      </c>
      <c r="AQ112" s="35">
        <f t="shared" si="46"/>
        <v>12779335.7402</v>
      </c>
      <c r="AR112" s="35">
        <f t="shared" si="47"/>
        <v>12779335.7402</v>
      </c>
      <c r="AS112" s="66"/>
      <c r="AT112" s="67"/>
      <c r="AU112" s="35"/>
      <c r="AV112" s="68"/>
      <c r="AW112" s="35"/>
      <c r="AX112" s="21"/>
      <c r="AZ112" s="21"/>
      <c r="BA112" s="21"/>
      <c r="BE112" s="21"/>
      <c r="BF112" s="21"/>
      <c r="BG112" s="21"/>
      <c r="BH112" s="21"/>
      <c r="BI112" s="21"/>
    </row>
    <row r="113" spans="1:61" x14ac:dyDescent="0.4">
      <c r="A113" s="8" t="s">
        <v>121</v>
      </c>
      <c r="B113" s="8"/>
      <c r="C113" s="25"/>
      <c r="D113" s="25"/>
      <c r="E113" s="25"/>
      <c r="F113" s="1">
        <v>3</v>
      </c>
      <c r="G113" s="39">
        <v>131</v>
      </c>
      <c r="H113" s="8">
        <v>87</v>
      </c>
      <c r="I113" s="3" t="s">
        <v>212</v>
      </c>
      <c r="J113" s="70"/>
      <c r="K113" s="39">
        <v>228.67</v>
      </c>
      <c r="L113" s="75"/>
      <c r="M113" s="34"/>
      <c r="N113" s="39">
        <v>57</v>
      </c>
      <c r="O113" s="65">
        <f t="shared" si="31"/>
        <v>0.24926750338916343</v>
      </c>
      <c r="P113" s="65">
        <f t="shared" si="32"/>
        <v>0</v>
      </c>
      <c r="Q113" s="35">
        <f t="shared" si="33"/>
        <v>0</v>
      </c>
      <c r="R113" s="35">
        <f t="shared" si="48"/>
        <v>0</v>
      </c>
      <c r="S113" s="39">
        <v>6</v>
      </c>
      <c r="T113" s="36">
        <f t="shared" si="34"/>
        <v>17.100000000000001</v>
      </c>
      <c r="U113" s="9">
        <f t="shared" si="35"/>
        <v>246.67</v>
      </c>
      <c r="V113" s="39">
        <v>454737409.67000002</v>
      </c>
      <c r="W113" s="39">
        <v>2277</v>
      </c>
      <c r="X113" s="17">
        <f t="shared" si="36"/>
        <v>199709.01</v>
      </c>
      <c r="Y113" s="37">
        <f t="shared" si="37"/>
        <v>1.0696779999999999</v>
      </c>
      <c r="Z113" s="35">
        <v>89107</v>
      </c>
      <c r="AA113" s="37">
        <f t="shared" si="38"/>
        <v>0.773837</v>
      </c>
      <c r="AB113" s="37">
        <f t="shared" si="39"/>
        <v>1.9074000000000001E-2</v>
      </c>
      <c r="AC113" s="71">
        <f t="shared" si="40"/>
        <v>1.9074000000000001E-2</v>
      </c>
      <c r="AD113" s="38">
        <f t="shared" si="49"/>
        <v>0</v>
      </c>
      <c r="AE113" s="74">
        <f t="shared" si="50"/>
        <v>1.9074000000000001E-2</v>
      </c>
      <c r="AF113" s="39">
        <v>232</v>
      </c>
      <c r="AG113" s="39">
        <v>13</v>
      </c>
      <c r="AH113" s="9">
        <f t="shared" si="41"/>
        <v>100</v>
      </c>
      <c r="AI113" s="11">
        <f t="shared" si="42"/>
        <v>23200</v>
      </c>
      <c r="AJ113" s="11">
        <f t="shared" si="43"/>
        <v>54225</v>
      </c>
      <c r="AK113" s="11">
        <f t="shared" si="44"/>
        <v>77425</v>
      </c>
      <c r="AL113" s="35">
        <v>102178</v>
      </c>
      <c r="AM113" s="11">
        <f t="shared" si="51"/>
        <v>24753</v>
      </c>
      <c r="AN113" s="72" t="str">
        <f t="shared" si="52"/>
        <v>No</v>
      </c>
      <c r="AO113" s="35">
        <v>111991</v>
      </c>
      <c r="AP113" s="35">
        <f t="shared" si="45"/>
        <v>2061.9249</v>
      </c>
      <c r="AQ113" s="35">
        <f t="shared" si="46"/>
        <v>109929.0751</v>
      </c>
      <c r="AR113" s="35">
        <f t="shared" si="47"/>
        <v>109929.0751</v>
      </c>
      <c r="AS113" s="66"/>
      <c r="AT113" s="67"/>
      <c r="AU113" s="35"/>
      <c r="AV113" s="68"/>
      <c r="AW113" s="35"/>
      <c r="AX113" s="21"/>
      <c r="AZ113" s="21"/>
      <c r="BA113" s="21"/>
      <c r="BE113" s="21"/>
      <c r="BF113" s="21"/>
      <c r="BG113" s="21"/>
      <c r="BH113" s="21"/>
      <c r="BI113" s="21"/>
    </row>
    <row r="114" spans="1:61" x14ac:dyDescent="0.4">
      <c r="A114" s="8" t="s">
        <v>132</v>
      </c>
      <c r="B114" s="8"/>
      <c r="C114" s="25">
        <v>1</v>
      </c>
      <c r="D114" s="25">
        <v>1</v>
      </c>
      <c r="E114" s="25"/>
      <c r="F114" s="1">
        <v>10</v>
      </c>
      <c r="G114" s="39">
        <v>13</v>
      </c>
      <c r="H114" s="8">
        <v>88</v>
      </c>
      <c r="I114" s="3" t="s">
        <v>213</v>
      </c>
      <c r="J114" s="70"/>
      <c r="K114" s="39">
        <v>4617.78</v>
      </c>
      <c r="L114" s="76"/>
      <c r="M114" s="34"/>
      <c r="N114" s="39">
        <v>2854</v>
      </c>
      <c r="O114" s="65">
        <f t="shared" si="31"/>
        <v>0.61804590084412858</v>
      </c>
      <c r="P114" s="65">
        <f t="shared" si="32"/>
        <v>0</v>
      </c>
      <c r="Q114" s="35">
        <f t="shared" si="33"/>
        <v>0</v>
      </c>
      <c r="R114" s="35">
        <f t="shared" si="48"/>
        <v>0</v>
      </c>
      <c r="S114" s="39">
        <v>323</v>
      </c>
      <c r="T114" s="36">
        <f t="shared" si="34"/>
        <v>856.2</v>
      </c>
      <c r="U114" s="9">
        <f t="shared" si="35"/>
        <v>5522.4299999999994</v>
      </c>
      <c r="V114" s="39">
        <v>2345925994.3299999</v>
      </c>
      <c r="W114" s="39">
        <v>31461</v>
      </c>
      <c r="X114" s="17">
        <f t="shared" si="36"/>
        <v>74566.16</v>
      </c>
      <c r="Y114" s="37">
        <f t="shared" si="37"/>
        <v>0.39939000000000002</v>
      </c>
      <c r="Z114" s="35">
        <v>63452</v>
      </c>
      <c r="AA114" s="37">
        <f t="shared" si="38"/>
        <v>0.55103999999999997</v>
      </c>
      <c r="AB114" s="37">
        <f t="shared" si="39"/>
        <v>0.55511500000000003</v>
      </c>
      <c r="AC114" s="71">
        <f t="shared" si="40"/>
        <v>0.55511500000000003</v>
      </c>
      <c r="AD114" s="38">
        <f t="shared" si="49"/>
        <v>0.04</v>
      </c>
      <c r="AE114" s="74">
        <f t="shared" si="50"/>
        <v>0.59511500000000006</v>
      </c>
      <c r="AF114" s="39">
        <v>0</v>
      </c>
      <c r="AG114" s="39">
        <v>0</v>
      </c>
      <c r="AH114" s="9">
        <f t="shared" si="41"/>
        <v>0</v>
      </c>
      <c r="AI114" s="11">
        <f t="shared" si="42"/>
        <v>0</v>
      </c>
      <c r="AJ114" s="11">
        <f t="shared" si="43"/>
        <v>37876693</v>
      </c>
      <c r="AK114" s="11">
        <f t="shared" si="44"/>
        <v>37876693</v>
      </c>
      <c r="AL114" s="35">
        <v>30280380</v>
      </c>
      <c r="AM114" s="11">
        <f t="shared" si="51"/>
        <v>7596313</v>
      </c>
      <c r="AN114" s="72" t="str">
        <f t="shared" si="52"/>
        <v>Yes</v>
      </c>
      <c r="AO114" s="35">
        <v>31227536</v>
      </c>
      <c r="AP114" s="35">
        <f t="shared" si="45"/>
        <v>809766.96580000001</v>
      </c>
      <c r="AQ114" s="35">
        <f t="shared" si="46"/>
        <v>32037302.965799998</v>
      </c>
      <c r="AR114" s="35">
        <f t="shared" si="47"/>
        <v>32037302.965799998</v>
      </c>
      <c r="AS114" s="66"/>
      <c r="AT114" s="67"/>
      <c r="AU114" s="35"/>
      <c r="AV114" s="68"/>
      <c r="AW114" s="35"/>
      <c r="AX114" s="21"/>
      <c r="AZ114" s="21"/>
      <c r="BA114" s="21"/>
      <c r="BE114" s="21"/>
      <c r="BF114" s="21"/>
      <c r="BG114" s="21"/>
      <c r="BH114" s="21"/>
      <c r="BI114" s="21"/>
    </row>
    <row r="115" spans="1:61" x14ac:dyDescent="0.4">
      <c r="A115" s="8" t="s">
        <v>137</v>
      </c>
      <c r="B115" s="8">
        <v>1</v>
      </c>
      <c r="C115" s="25">
        <v>1</v>
      </c>
      <c r="D115" s="25">
        <v>0</v>
      </c>
      <c r="E115" s="25">
        <v>1</v>
      </c>
      <c r="F115" s="1">
        <v>10</v>
      </c>
      <c r="G115" s="39">
        <v>3</v>
      </c>
      <c r="H115" s="8">
        <v>89</v>
      </c>
      <c r="I115" s="3" t="s">
        <v>214</v>
      </c>
      <c r="J115" s="70"/>
      <c r="K115" s="39">
        <v>11391.81</v>
      </c>
      <c r="L115" s="76"/>
      <c r="M115" s="34"/>
      <c r="N115" s="39">
        <v>8350</v>
      </c>
      <c r="O115" s="65">
        <f t="shared" si="31"/>
        <v>0.73298273057573826</v>
      </c>
      <c r="P115" s="65">
        <f t="shared" si="32"/>
        <v>0</v>
      </c>
      <c r="Q115" s="35">
        <f t="shared" si="33"/>
        <v>0</v>
      </c>
      <c r="R115" s="35">
        <f t="shared" si="48"/>
        <v>0</v>
      </c>
      <c r="S115" s="39">
        <v>1841</v>
      </c>
      <c r="T115" s="36">
        <f t="shared" si="34"/>
        <v>2505</v>
      </c>
      <c r="U115" s="9">
        <f t="shared" si="35"/>
        <v>14172.96</v>
      </c>
      <c r="V115" s="39">
        <v>3755352890.3299999</v>
      </c>
      <c r="W115" s="39">
        <v>72710</v>
      </c>
      <c r="X115" s="17">
        <f t="shared" si="36"/>
        <v>51648.37</v>
      </c>
      <c r="Y115" s="37">
        <f t="shared" si="37"/>
        <v>0.276638</v>
      </c>
      <c r="Z115" s="35">
        <v>43611</v>
      </c>
      <c r="AA115" s="37">
        <f t="shared" si="38"/>
        <v>0.37873299999999999</v>
      </c>
      <c r="AB115" s="37">
        <f t="shared" si="39"/>
        <v>0.69273399999999996</v>
      </c>
      <c r="AC115" s="71">
        <f t="shared" si="40"/>
        <v>0.69273399999999996</v>
      </c>
      <c r="AD115" s="38">
        <f t="shared" si="49"/>
        <v>0.06</v>
      </c>
      <c r="AE115" s="74">
        <f t="shared" si="50"/>
        <v>0.75273400000000001</v>
      </c>
      <c r="AF115" s="39">
        <v>0</v>
      </c>
      <c r="AG115" s="39">
        <v>0</v>
      </c>
      <c r="AH115" s="9">
        <f t="shared" si="41"/>
        <v>0</v>
      </c>
      <c r="AI115" s="11">
        <f t="shared" si="42"/>
        <v>0</v>
      </c>
      <c r="AJ115" s="11">
        <f t="shared" si="43"/>
        <v>122954104</v>
      </c>
      <c r="AK115" s="11">
        <f t="shared" si="44"/>
        <v>122954104</v>
      </c>
      <c r="AL115" s="35">
        <v>86195269</v>
      </c>
      <c r="AM115" s="11">
        <f t="shared" si="51"/>
        <v>36758835</v>
      </c>
      <c r="AN115" s="72" t="str">
        <f t="shared" si="52"/>
        <v>Yes</v>
      </c>
      <c r="AO115" s="35">
        <v>91857909</v>
      </c>
      <c r="AP115" s="35">
        <f t="shared" si="45"/>
        <v>3918491.8110000002</v>
      </c>
      <c r="AQ115" s="35">
        <f t="shared" si="46"/>
        <v>95776400.811000004</v>
      </c>
      <c r="AR115" s="35">
        <f t="shared" si="47"/>
        <v>95776400.811000004</v>
      </c>
      <c r="AS115" s="66"/>
      <c r="AT115" s="67"/>
      <c r="AU115" s="35"/>
      <c r="AV115" s="68"/>
      <c r="AW115" s="35"/>
      <c r="AX115" s="21"/>
      <c r="AZ115" s="21"/>
      <c r="BA115" s="21"/>
      <c r="BE115" s="21"/>
      <c r="BF115" s="21"/>
      <c r="BG115" s="21"/>
      <c r="BH115" s="21"/>
      <c r="BI115" s="21"/>
    </row>
    <row r="116" spans="1:61" x14ac:dyDescent="0.4">
      <c r="A116" s="8" t="s">
        <v>159</v>
      </c>
      <c r="B116" s="8"/>
      <c r="C116" s="25"/>
      <c r="D116" s="25"/>
      <c r="E116" s="25"/>
      <c r="F116" s="1">
        <v>1</v>
      </c>
      <c r="G116" s="39">
        <v>169</v>
      </c>
      <c r="H116" s="8">
        <v>90</v>
      </c>
      <c r="I116" s="3" t="s">
        <v>215</v>
      </c>
      <c r="J116" s="70"/>
      <c r="K116" s="39">
        <v>4241.28</v>
      </c>
      <c r="L116" s="75"/>
      <c r="M116" s="34"/>
      <c r="N116" s="39">
        <v>7</v>
      </c>
      <c r="O116" s="65">
        <f t="shared" si="31"/>
        <v>1.6504451486343747E-3</v>
      </c>
      <c r="P116" s="65">
        <f t="shared" si="32"/>
        <v>0</v>
      </c>
      <c r="Q116" s="35">
        <f t="shared" si="33"/>
        <v>0</v>
      </c>
      <c r="R116" s="35">
        <f t="shared" si="48"/>
        <v>0</v>
      </c>
      <c r="S116" s="39">
        <v>48</v>
      </c>
      <c r="T116" s="36">
        <f t="shared" si="34"/>
        <v>2.1</v>
      </c>
      <c r="U116" s="9">
        <f t="shared" si="35"/>
        <v>4250.58</v>
      </c>
      <c r="V116" s="39">
        <v>11831417599.33</v>
      </c>
      <c r="W116" s="39">
        <v>20376</v>
      </c>
      <c r="X116" s="17">
        <f t="shared" si="36"/>
        <v>580654.56999999995</v>
      </c>
      <c r="Y116" s="37">
        <f t="shared" si="37"/>
        <v>3.1100910000000002</v>
      </c>
      <c r="Z116" s="35">
        <v>174677</v>
      </c>
      <c r="AA116" s="37">
        <f t="shared" si="38"/>
        <v>1.5169570000000001</v>
      </c>
      <c r="AB116" s="37">
        <f t="shared" si="39"/>
        <v>-1.6321509999999999</v>
      </c>
      <c r="AC116" s="71">
        <f t="shared" si="40"/>
        <v>0.01</v>
      </c>
      <c r="AD116" s="38">
        <f t="shared" si="49"/>
        <v>0</v>
      </c>
      <c r="AE116" s="74">
        <f t="shared" si="50"/>
        <v>0.01</v>
      </c>
      <c r="AF116" s="39">
        <v>0</v>
      </c>
      <c r="AG116" s="39">
        <v>0</v>
      </c>
      <c r="AH116" s="9">
        <f t="shared" si="41"/>
        <v>0</v>
      </c>
      <c r="AI116" s="11">
        <f t="shared" si="42"/>
        <v>0</v>
      </c>
      <c r="AJ116" s="11">
        <f t="shared" si="43"/>
        <v>489879</v>
      </c>
      <c r="AK116" s="11">
        <f t="shared" si="44"/>
        <v>489879</v>
      </c>
      <c r="AL116" s="35">
        <v>339590</v>
      </c>
      <c r="AM116" s="11">
        <f t="shared" si="51"/>
        <v>150289</v>
      </c>
      <c r="AN116" s="72" t="str">
        <f t="shared" si="52"/>
        <v>Yes</v>
      </c>
      <c r="AO116" s="35">
        <v>361345</v>
      </c>
      <c r="AP116" s="35">
        <f t="shared" si="45"/>
        <v>16020.8074</v>
      </c>
      <c r="AQ116" s="35">
        <f t="shared" si="46"/>
        <v>377365.80739999999</v>
      </c>
      <c r="AR116" s="35">
        <f t="shared" si="47"/>
        <v>377365.80739999999</v>
      </c>
      <c r="AS116" s="66"/>
      <c r="AT116" s="67"/>
      <c r="AU116" s="35"/>
      <c r="AV116" s="68"/>
      <c r="AW116" s="35"/>
      <c r="AX116" s="21"/>
      <c r="AZ116" s="21"/>
      <c r="BA116" s="21"/>
      <c r="BE116" s="21"/>
      <c r="BF116" s="21"/>
      <c r="BG116" s="21"/>
      <c r="BH116" s="21"/>
      <c r="BI116" s="21"/>
    </row>
    <row r="117" spans="1:61" x14ac:dyDescent="0.4">
      <c r="A117" s="8" t="s">
        <v>123</v>
      </c>
      <c r="B117" s="8"/>
      <c r="C117" s="25"/>
      <c r="D117" s="25"/>
      <c r="E117" s="25"/>
      <c r="F117" s="1">
        <v>3</v>
      </c>
      <c r="G117" s="39">
        <v>124</v>
      </c>
      <c r="H117" s="8">
        <v>91</v>
      </c>
      <c r="I117" s="3" t="s">
        <v>216</v>
      </c>
      <c r="J117" s="70"/>
      <c r="K117" s="39">
        <v>2116</v>
      </c>
      <c r="L117" s="75"/>
      <c r="M117" s="34"/>
      <c r="N117" s="39">
        <v>292</v>
      </c>
      <c r="O117" s="65">
        <f t="shared" si="31"/>
        <v>0.13799621928166353</v>
      </c>
      <c r="P117" s="65">
        <f t="shared" si="32"/>
        <v>0</v>
      </c>
      <c r="Q117" s="35">
        <f t="shared" si="33"/>
        <v>0</v>
      </c>
      <c r="R117" s="35">
        <f t="shared" si="48"/>
        <v>0</v>
      </c>
      <c r="S117" s="39">
        <v>82</v>
      </c>
      <c r="T117" s="36">
        <f t="shared" si="34"/>
        <v>87.6</v>
      </c>
      <c r="U117" s="9">
        <f t="shared" si="35"/>
        <v>2215.9</v>
      </c>
      <c r="V117" s="39">
        <v>2440359443.6700001</v>
      </c>
      <c r="W117" s="39">
        <v>14017</v>
      </c>
      <c r="X117" s="17">
        <f t="shared" si="36"/>
        <v>174099.98</v>
      </c>
      <c r="Y117" s="37">
        <f t="shared" si="37"/>
        <v>0.93251099999999998</v>
      </c>
      <c r="Z117" s="35">
        <v>104402</v>
      </c>
      <c r="AA117" s="37">
        <f t="shared" si="38"/>
        <v>0.90666400000000003</v>
      </c>
      <c r="AB117" s="37">
        <f t="shared" si="39"/>
        <v>7.5243000000000004E-2</v>
      </c>
      <c r="AC117" s="71">
        <f t="shared" si="40"/>
        <v>7.5243000000000004E-2</v>
      </c>
      <c r="AD117" s="38">
        <f t="shared" si="49"/>
        <v>0</v>
      </c>
      <c r="AE117" s="74">
        <f t="shared" si="50"/>
        <v>7.5243000000000004E-2</v>
      </c>
      <c r="AF117" s="39">
        <v>0</v>
      </c>
      <c r="AG117" s="39">
        <v>0</v>
      </c>
      <c r="AH117" s="9">
        <f t="shared" si="41"/>
        <v>0</v>
      </c>
      <c r="AI117" s="11">
        <f t="shared" si="42"/>
        <v>0</v>
      </c>
      <c r="AJ117" s="11">
        <f t="shared" si="43"/>
        <v>1921574</v>
      </c>
      <c r="AK117" s="11">
        <f t="shared" si="44"/>
        <v>1921574</v>
      </c>
      <c r="AL117" s="35">
        <v>4338569</v>
      </c>
      <c r="AM117" s="11">
        <f t="shared" si="51"/>
        <v>2416995</v>
      </c>
      <c r="AN117" s="72" t="str">
        <f t="shared" si="52"/>
        <v>No</v>
      </c>
      <c r="AO117" s="35">
        <v>3682456</v>
      </c>
      <c r="AP117" s="35">
        <f t="shared" si="45"/>
        <v>201335.68349999998</v>
      </c>
      <c r="AQ117" s="35">
        <f t="shared" si="46"/>
        <v>3481120.3165000002</v>
      </c>
      <c r="AR117" s="35">
        <f t="shared" si="47"/>
        <v>3481120.3165000002</v>
      </c>
      <c r="AS117" s="66"/>
      <c r="AT117" s="67"/>
      <c r="AU117" s="35"/>
      <c r="AV117" s="68"/>
      <c r="AW117" s="35"/>
      <c r="AX117" s="21"/>
      <c r="AZ117" s="21"/>
      <c r="BA117" s="21"/>
      <c r="BE117" s="21"/>
      <c r="BF117" s="21"/>
      <c r="BG117" s="21"/>
      <c r="BH117" s="21"/>
      <c r="BI117" s="21"/>
    </row>
    <row r="118" spans="1:61" x14ac:dyDescent="0.4">
      <c r="A118" s="8" t="s">
        <v>117</v>
      </c>
      <c r="B118" s="8"/>
      <c r="C118" s="25"/>
      <c r="D118" s="25"/>
      <c r="E118" s="25"/>
      <c r="F118" s="1">
        <v>5</v>
      </c>
      <c r="G118" s="39">
        <v>76</v>
      </c>
      <c r="H118" s="8">
        <v>92</v>
      </c>
      <c r="I118" s="3" t="s">
        <v>217</v>
      </c>
      <c r="J118" s="70"/>
      <c r="K118" s="39">
        <v>935</v>
      </c>
      <c r="L118" s="75"/>
      <c r="M118" s="34"/>
      <c r="N118" s="39">
        <v>157</v>
      </c>
      <c r="O118" s="65">
        <f t="shared" si="31"/>
        <v>0.16791443850267379</v>
      </c>
      <c r="P118" s="65">
        <f t="shared" si="32"/>
        <v>0</v>
      </c>
      <c r="Q118" s="35">
        <f t="shared" si="33"/>
        <v>0</v>
      </c>
      <c r="R118" s="35">
        <f t="shared" si="48"/>
        <v>0</v>
      </c>
      <c r="S118" s="39">
        <v>6</v>
      </c>
      <c r="T118" s="36">
        <f t="shared" si="34"/>
        <v>47.1</v>
      </c>
      <c r="U118" s="9">
        <f t="shared" si="35"/>
        <v>983</v>
      </c>
      <c r="V118" s="39">
        <v>955296925.66999996</v>
      </c>
      <c r="W118" s="39">
        <v>6718</v>
      </c>
      <c r="X118" s="17">
        <f t="shared" si="36"/>
        <v>142199.6</v>
      </c>
      <c r="Y118" s="37">
        <f t="shared" si="37"/>
        <v>0.76164699999999996</v>
      </c>
      <c r="Z118" s="35">
        <v>96291</v>
      </c>
      <c r="AA118" s="37">
        <f t="shared" si="38"/>
        <v>0.836225</v>
      </c>
      <c r="AB118" s="37">
        <f t="shared" si="39"/>
        <v>0.21598000000000001</v>
      </c>
      <c r="AC118" s="71">
        <f t="shared" si="40"/>
        <v>0.21598000000000001</v>
      </c>
      <c r="AD118" s="38">
        <f t="shared" si="49"/>
        <v>0</v>
      </c>
      <c r="AE118" s="74">
        <f t="shared" si="50"/>
        <v>0.21598000000000001</v>
      </c>
      <c r="AF118" s="39">
        <v>484</v>
      </c>
      <c r="AG118" s="39">
        <v>6</v>
      </c>
      <c r="AH118" s="9">
        <f t="shared" si="41"/>
        <v>46.15</v>
      </c>
      <c r="AI118" s="11">
        <f t="shared" si="42"/>
        <v>22337</v>
      </c>
      <c r="AJ118" s="11">
        <f t="shared" si="43"/>
        <v>2446854</v>
      </c>
      <c r="AK118" s="11">
        <f t="shared" si="44"/>
        <v>2469191</v>
      </c>
      <c r="AL118" s="35">
        <v>3113169</v>
      </c>
      <c r="AM118" s="11">
        <f t="shared" si="51"/>
        <v>643978</v>
      </c>
      <c r="AN118" s="72" t="str">
        <f t="shared" si="52"/>
        <v>No</v>
      </c>
      <c r="AO118" s="35">
        <v>2966653</v>
      </c>
      <c r="AP118" s="35">
        <f t="shared" si="45"/>
        <v>53643.367400000003</v>
      </c>
      <c r="AQ118" s="35">
        <f t="shared" si="46"/>
        <v>2913009.6326000001</v>
      </c>
      <c r="AR118" s="35">
        <f t="shared" si="47"/>
        <v>2913009.6326000001</v>
      </c>
      <c r="AS118" s="66"/>
      <c r="AT118" s="67"/>
      <c r="AU118" s="35"/>
      <c r="AV118" s="68"/>
      <c r="AW118" s="35"/>
      <c r="AX118" s="21"/>
      <c r="AZ118" s="21"/>
      <c r="BA118" s="21"/>
      <c r="BE118" s="21"/>
      <c r="BF118" s="21"/>
      <c r="BG118" s="21"/>
      <c r="BH118" s="21"/>
      <c r="BI118" s="21"/>
    </row>
    <row r="119" spans="1:61" x14ac:dyDescent="0.4">
      <c r="A119" s="8" t="s">
        <v>137</v>
      </c>
      <c r="B119" s="8">
        <v>1</v>
      </c>
      <c r="C119" s="25">
        <v>1</v>
      </c>
      <c r="D119" s="25">
        <v>0</v>
      </c>
      <c r="E119" s="25">
        <v>1</v>
      </c>
      <c r="F119" s="1">
        <v>10</v>
      </c>
      <c r="G119" s="39">
        <v>5</v>
      </c>
      <c r="H119" s="8">
        <v>93</v>
      </c>
      <c r="I119" s="3" t="s">
        <v>218</v>
      </c>
      <c r="J119" s="70"/>
      <c r="K119" s="39">
        <v>18506.96</v>
      </c>
      <c r="L119" s="76"/>
      <c r="M119" s="34"/>
      <c r="N119" s="39">
        <v>12858</v>
      </c>
      <c r="O119" s="65">
        <f t="shared" si="31"/>
        <v>0.69476564492493642</v>
      </c>
      <c r="P119" s="65">
        <f t="shared" si="32"/>
        <v>0</v>
      </c>
      <c r="Q119" s="35">
        <f t="shared" si="33"/>
        <v>0</v>
      </c>
      <c r="R119" s="35">
        <f t="shared" si="48"/>
        <v>0</v>
      </c>
      <c r="S119" s="39">
        <v>3499</v>
      </c>
      <c r="T119" s="36">
        <f t="shared" si="34"/>
        <v>3857.4</v>
      </c>
      <c r="U119" s="9">
        <f t="shared" si="35"/>
        <v>22889.21</v>
      </c>
      <c r="V119" s="39">
        <v>10088485997.33</v>
      </c>
      <c r="W119" s="39">
        <v>131014</v>
      </c>
      <c r="X119" s="17">
        <f t="shared" si="36"/>
        <v>77003.11</v>
      </c>
      <c r="Y119" s="37">
        <f t="shared" si="37"/>
        <v>0.412443</v>
      </c>
      <c r="Z119" s="35">
        <v>39191</v>
      </c>
      <c r="AA119" s="37">
        <f t="shared" si="38"/>
        <v>0.34034900000000001</v>
      </c>
      <c r="AB119" s="37">
        <f t="shared" si="39"/>
        <v>0.60918499999999998</v>
      </c>
      <c r="AC119" s="71">
        <f t="shared" si="40"/>
        <v>0.60918499999999998</v>
      </c>
      <c r="AD119" s="38">
        <f t="shared" si="49"/>
        <v>0.06</v>
      </c>
      <c r="AE119" s="74">
        <f t="shared" si="50"/>
        <v>0.66918499999999992</v>
      </c>
      <c r="AF119" s="39">
        <v>0</v>
      </c>
      <c r="AG119" s="39">
        <v>0</v>
      </c>
      <c r="AH119" s="9">
        <f t="shared" si="41"/>
        <v>0</v>
      </c>
      <c r="AI119" s="11">
        <f t="shared" si="42"/>
        <v>0</v>
      </c>
      <c r="AJ119" s="11">
        <f t="shared" si="43"/>
        <v>176529762</v>
      </c>
      <c r="AK119" s="11">
        <f t="shared" si="44"/>
        <v>176529762</v>
      </c>
      <c r="AL119" s="35">
        <v>154301977</v>
      </c>
      <c r="AM119" s="11">
        <f t="shared" si="51"/>
        <v>22227785</v>
      </c>
      <c r="AN119" s="72" t="str">
        <f t="shared" si="52"/>
        <v>Yes</v>
      </c>
      <c r="AO119" s="35">
        <v>158100479</v>
      </c>
      <c r="AP119" s="35">
        <f t="shared" si="45"/>
        <v>2369481.8810000001</v>
      </c>
      <c r="AQ119" s="35">
        <f t="shared" si="46"/>
        <v>160469960.88100001</v>
      </c>
      <c r="AR119" s="35">
        <f t="shared" si="47"/>
        <v>160469960.88100001</v>
      </c>
      <c r="AS119" s="66"/>
      <c r="AT119" s="67"/>
      <c r="AU119" s="35"/>
      <c r="AV119" s="68"/>
      <c r="AW119" s="35"/>
      <c r="AX119" s="21"/>
      <c r="AZ119" s="21"/>
      <c r="BA119" s="21"/>
      <c r="BE119" s="21"/>
      <c r="BF119" s="21"/>
      <c r="BG119" s="21"/>
      <c r="BH119" s="21"/>
      <c r="BI119" s="21"/>
    </row>
    <row r="120" spans="1:61" x14ac:dyDescent="0.4">
      <c r="A120" s="8" t="s">
        <v>127</v>
      </c>
      <c r="B120" s="8"/>
      <c r="C120" s="25"/>
      <c r="D120" s="25"/>
      <c r="E120" s="25"/>
      <c r="F120" s="1">
        <v>7</v>
      </c>
      <c r="G120" s="39">
        <v>48</v>
      </c>
      <c r="H120" s="8">
        <v>94</v>
      </c>
      <c r="I120" s="3" t="s">
        <v>219</v>
      </c>
      <c r="J120" s="70"/>
      <c r="K120" s="39">
        <v>4156.46</v>
      </c>
      <c r="L120" s="75"/>
      <c r="M120" s="34"/>
      <c r="N120" s="39">
        <v>1313</v>
      </c>
      <c r="O120" s="65">
        <f t="shared" si="31"/>
        <v>0.3158938134855141</v>
      </c>
      <c r="P120" s="65">
        <f t="shared" si="32"/>
        <v>0</v>
      </c>
      <c r="Q120" s="35">
        <f t="shared" si="33"/>
        <v>0</v>
      </c>
      <c r="R120" s="35">
        <f t="shared" si="48"/>
        <v>0</v>
      </c>
      <c r="S120" s="39">
        <v>248</v>
      </c>
      <c r="T120" s="36">
        <f t="shared" si="34"/>
        <v>393.9</v>
      </c>
      <c r="U120" s="9">
        <f t="shared" si="35"/>
        <v>4587.5599999999995</v>
      </c>
      <c r="V120" s="39">
        <v>3957604737.3299999</v>
      </c>
      <c r="W120" s="39">
        <v>30404</v>
      </c>
      <c r="X120" s="17">
        <f t="shared" si="36"/>
        <v>130167.24</v>
      </c>
      <c r="Y120" s="37">
        <f t="shared" si="37"/>
        <v>0.69719900000000001</v>
      </c>
      <c r="Z120" s="35">
        <v>79181</v>
      </c>
      <c r="AA120" s="37">
        <f t="shared" si="38"/>
        <v>0.68763600000000002</v>
      </c>
      <c r="AB120" s="37">
        <f t="shared" si="39"/>
        <v>0.30567</v>
      </c>
      <c r="AC120" s="71">
        <f t="shared" si="40"/>
        <v>0.30567</v>
      </c>
      <c r="AD120" s="38">
        <f t="shared" si="49"/>
        <v>0</v>
      </c>
      <c r="AE120" s="74">
        <f t="shared" si="50"/>
        <v>0.30567</v>
      </c>
      <c r="AF120" s="39">
        <v>0</v>
      </c>
      <c r="AG120" s="39">
        <v>0</v>
      </c>
      <c r="AH120" s="9">
        <f t="shared" si="41"/>
        <v>0</v>
      </c>
      <c r="AI120" s="11">
        <f t="shared" si="42"/>
        <v>0</v>
      </c>
      <c r="AJ120" s="11">
        <f t="shared" si="43"/>
        <v>16161271</v>
      </c>
      <c r="AK120" s="11">
        <f t="shared" si="44"/>
        <v>16161271</v>
      </c>
      <c r="AL120" s="35">
        <v>12983806</v>
      </c>
      <c r="AM120" s="11">
        <f t="shared" si="51"/>
        <v>3177465</v>
      </c>
      <c r="AN120" s="72" t="str">
        <f t="shared" si="52"/>
        <v>Yes</v>
      </c>
      <c r="AO120" s="35">
        <v>13434233</v>
      </c>
      <c r="AP120" s="35">
        <f t="shared" si="45"/>
        <v>338717.76900000003</v>
      </c>
      <c r="AQ120" s="35">
        <f t="shared" si="46"/>
        <v>13772950.768999999</v>
      </c>
      <c r="AR120" s="35">
        <f t="shared" si="47"/>
        <v>13772950.768999999</v>
      </c>
      <c r="AS120" s="66"/>
      <c r="AT120" s="67"/>
      <c r="AU120" s="35"/>
      <c r="AV120" s="68"/>
      <c r="AW120" s="35"/>
      <c r="AX120" s="21"/>
      <c r="AZ120" s="21"/>
      <c r="BA120" s="21"/>
      <c r="BE120" s="21"/>
      <c r="BF120" s="21"/>
      <c r="BG120" s="21"/>
      <c r="BH120" s="21"/>
      <c r="BI120" s="21"/>
    </row>
    <row r="121" spans="1:61" x14ac:dyDescent="0.4">
      <c r="A121" s="8" t="s">
        <v>137</v>
      </c>
      <c r="B121" s="8">
        <v>1</v>
      </c>
      <c r="C121" s="25">
        <v>1</v>
      </c>
      <c r="D121" s="25">
        <v>0</v>
      </c>
      <c r="E121" s="25">
        <v>1</v>
      </c>
      <c r="F121" s="1">
        <v>10</v>
      </c>
      <c r="G121" s="39">
        <v>7</v>
      </c>
      <c r="H121" s="8">
        <v>95</v>
      </c>
      <c r="I121" s="3" t="s">
        <v>220</v>
      </c>
      <c r="J121" s="70"/>
      <c r="K121" s="39">
        <v>3511.61</v>
      </c>
      <c r="L121" s="76"/>
      <c r="M121" s="34"/>
      <c r="N121" s="39">
        <v>2976</v>
      </c>
      <c r="O121" s="65">
        <f t="shared" si="31"/>
        <v>0.84747452023430847</v>
      </c>
      <c r="P121" s="65">
        <f t="shared" si="32"/>
        <v>9.747452023430847E-2</v>
      </c>
      <c r="Q121" s="35">
        <f t="shared" si="33"/>
        <v>342.29249999999996</v>
      </c>
      <c r="R121" s="35">
        <f t="shared" si="48"/>
        <v>17.114625</v>
      </c>
      <c r="S121" s="39">
        <v>811</v>
      </c>
      <c r="T121" s="36">
        <f t="shared" si="34"/>
        <v>892.8</v>
      </c>
      <c r="U121" s="9">
        <f t="shared" si="35"/>
        <v>4543.1746249999997</v>
      </c>
      <c r="V121" s="39">
        <v>1903885616.3299999</v>
      </c>
      <c r="W121" s="39">
        <v>27072</v>
      </c>
      <c r="X121" s="17">
        <f t="shared" si="36"/>
        <v>70326.740000000005</v>
      </c>
      <c r="Y121" s="37">
        <f t="shared" si="37"/>
        <v>0.37668299999999999</v>
      </c>
      <c r="Z121" s="35">
        <v>37331</v>
      </c>
      <c r="AA121" s="37">
        <f t="shared" si="38"/>
        <v>0.32419599999999998</v>
      </c>
      <c r="AB121" s="37">
        <f t="shared" si="39"/>
        <v>0.63906300000000005</v>
      </c>
      <c r="AC121" s="71">
        <f t="shared" si="40"/>
        <v>0.63906300000000005</v>
      </c>
      <c r="AD121" s="38">
        <f t="shared" si="49"/>
        <v>0.05</v>
      </c>
      <c r="AE121" s="74">
        <f t="shared" si="50"/>
        <v>0.68906300000000009</v>
      </c>
      <c r="AF121" s="39">
        <v>0</v>
      </c>
      <c r="AG121" s="39">
        <v>0</v>
      </c>
      <c r="AH121" s="9">
        <f t="shared" si="41"/>
        <v>0</v>
      </c>
      <c r="AI121" s="11">
        <f t="shared" si="42"/>
        <v>0</v>
      </c>
      <c r="AJ121" s="11">
        <f t="shared" si="43"/>
        <v>36079399</v>
      </c>
      <c r="AK121" s="11">
        <f t="shared" si="44"/>
        <v>36079399</v>
      </c>
      <c r="AL121" s="35">
        <v>25806077</v>
      </c>
      <c r="AM121" s="11">
        <f t="shared" si="51"/>
        <v>10273322</v>
      </c>
      <c r="AN121" s="72" t="str">
        <f t="shared" si="52"/>
        <v>Yes</v>
      </c>
      <c r="AO121" s="35">
        <v>27533842</v>
      </c>
      <c r="AP121" s="35">
        <f t="shared" si="45"/>
        <v>1095136.1251999999</v>
      </c>
      <c r="AQ121" s="35">
        <f t="shared" si="46"/>
        <v>28628978.1252</v>
      </c>
      <c r="AR121" s="35">
        <f t="shared" si="47"/>
        <v>28628978.1252</v>
      </c>
      <c r="AS121" s="66"/>
      <c r="AT121" s="67"/>
      <c r="AU121" s="35"/>
      <c r="AV121" s="68"/>
      <c r="AW121" s="35"/>
      <c r="AX121" s="21"/>
      <c r="AZ121" s="21"/>
      <c r="BA121" s="21"/>
      <c r="BE121" s="21"/>
      <c r="BF121" s="21"/>
      <c r="BG121" s="21"/>
      <c r="BH121" s="21"/>
      <c r="BI121" s="21"/>
    </row>
    <row r="122" spans="1:61" x14ac:dyDescent="0.4">
      <c r="A122" s="8" t="s">
        <v>127</v>
      </c>
      <c r="B122" s="8"/>
      <c r="C122" s="25"/>
      <c r="D122" s="25"/>
      <c r="E122" s="25"/>
      <c r="F122" s="1">
        <v>5</v>
      </c>
      <c r="G122" s="39">
        <v>83</v>
      </c>
      <c r="H122" s="8">
        <v>96</v>
      </c>
      <c r="I122" s="3" t="s">
        <v>221</v>
      </c>
      <c r="J122" s="70"/>
      <c r="K122" s="39">
        <v>3901.44</v>
      </c>
      <c r="L122" s="75"/>
      <c r="M122" s="34"/>
      <c r="N122" s="39">
        <v>1370</v>
      </c>
      <c r="O122" s="65">
        <f t="shared" si="31"/>
        <v>0.35115239501312334</v>
      </c>
      <c r="P122" s="65">
        <f t="shared" si="32"/>
        <v>0</v>
      </c>
      <c r="Q122" s="35">
        <f t="shared" si="33"/>
        <v>0</v>
      </c>
      <c r="R122" s="35">
        <f t="shared" si="48"/>
        <v>0</v>
      </c>
      <c r="S122" s="39">
        <v>192</v>
      </c>
      <c r="T122" s="36">
        <f t="shared" si="34"/>
        <v>411</v>
      </c>
      <c r="U122" s="9">
        <f t="shared" si="35"/>
        <v>4341.2400000000007</v>
      </c>
      <c r="V122" s="39">
        <v>4209643316.3299999</v>
      </c>
      <c r="W122" s="39">
        <v>27099</v>
      </c>
      <c r="X122" s="17">
        <f t="shared" si="36"/>
        <v>155343.12</v>
      </c>
      <c r="Y122" s="37">
        <f t="shared" si="37"/>
        <v>0.83204599999999995</v>
      </c>
      <c r="Z122" s="35">
        <v>83676</v>
      </c>
      <c r="AA122" s="37">
        <f t="shared" si="38"/>
        <v>0.72667199999999998</v>
      </c>
      <c r="AB122" s="37">
        <f t="shared" si="39"/>
        <v>0.19956599999999999</v>
      </c>
      <c r="AC122" s="71">
        <f t="shared" si="40"/>
        <v>0.19956599999999999</v>
      </c>
      <c r="AD122" s="38">
        <f t="shared" si="49"/>
        <v>0</v>
      </c>
      <c r="AE122" s="74">
        <f t="shared" si="50"/>
        <v>0.19956599999999999</v>
      </c>
      <c r="AF122" s="39">
        <v>0</v>
      </c>
      <c r="AG122" s="39">
        <v>0</v>
      </c>
      <c r="AH122" s="9">
        <f t="shared" si="41"/>
        <v>0</v>
      </c>
      <c r="AI122" s="11">
        <f t="shared" si="42"/>
        <v>0</v>
      </c>
      <c r="AJ122" s="11">
        <f t="shared" si="43"/>
        <v>9984844</v>
      </c>
      <c r="AK122" s="11">
        <f t="shared" si="44"/>
        <v>9984844</v>
      </c>
      <c r="AL122" s="35">
        <v>11832806</v>
      </c>
      <c r="AM122" s="11">
        <f t="shared" si="51"/>
        <v>1847962</v>
      </c>
      <c r="AN122" s="72" t="str">
        <f t="shared" si="52"/>
        <v>No</v>
      </c>
      <c r="AO122" s="35">
        <v>11278123</v>
      </c>
      <c r="AP122" s="35">
        <f t="shared" si="45"/>
        <v>153935.2346</v>
      </c>
      <c r="AQ122" s="35">
        <f t="shared" si="46"/>
        <v>11124187.7654</v>
      </c>
      <c r="AR122" s="35">
        <f t="shared" si="47"/>
        <v>11124187.7654</v>
      </c>
      <c r="AS122" s="66"/>
      <c r="AT122" s="67"/>
      <c r="AU122" s="35"/>
      <c r="AV122" s="68"/>
      <c r="AW122" s="35"/>
      <c r="AX122" s="21"/>
      <c r="AZ122" s="21"/>
      <c r="BA122" s="21"/>
      <c r="BE122" s="21"/>
      <c r="BF122" s="21"/>
      <c r="BG122" s="21"/>
      <c r="BH122" s="21"/>
      <c r="BI122" s="21"/>
    </row>
    <row r="123" spans="1:61" x14ac:dyDescent="0.4">
      <c r="A123" s="8" t="s">
        <v>123</v>
      </c>
      <c r="B123" s="8"/>
      <c r="C123" s="25"/>
      <c r="D123" s="25"/>
      <c r="E123" s="25"/>
      <c r="F123" s="1">
        <v>3</v>
      </c>
      <c r="G123" s="39">
        <v>106</v>
      </c>
      <c r="H123" s="8">
        <v>97</v>
      </c>
      <c r="I123" s="3" t="s">
        <v>222</v>
      </c>
      <c r="J123" s="70"/>
      <c r="K123" s="39">
        <v>4204.5</v>
      </c>
      <c r="L123" s="75"/>
      <c r="M123" s="34"/>
      <c r="N123" s="39">
        <v>586</v>
      </c>
      <c r="O123" s="65">
        <f t="shared" si="31"/>
        <v>0.13937447972410513</v>
      </c>
      <c r="P123" s="65">
        <f t="shared" si="32"/>
        <v>0</v>
      </c>
      <c r="Q123" s="35">
        <f t="shared" si="33"/>
        <v>0</v>
      </c>
      <c r="R123" s="35">
        <f t="shared" si="48"/>
        <v>0</v>
      </c>
      <c r="S123" s="39">
        <v>17</v>
      </c>
      <c r="T123" s="36">
        <f t="shared" ref="T123:T154" si="53">ROUND(N123*$T$2,2)</f>
        <v>175.8</v>
      </c>
      <c r="U123" s="9">
        <f t="shared" ref="U123:U154" si="54">K123+T123+0.15*S123+0.05*Q123</f>
        <v>4382.8500000000004</v>
      </c>
      <c r="V123" s="39">
        <v>4535773595.3299999</v>
      </c>
      <c r="W123" s="39">
        <v>27965</v>
      </c>
      <c r="X123" s="17">
        <f t="shared" si="36"/>
        <v>162194.66</v>
      </c>
      <c r="Y123" s="37">
        <f t="shared" si="37"/>
        <v>0.86874399999999996</v>
      </c>
      <c r="Z123" s="35">
        <v>115137</v>
      </c>
      <c r="AA123" s="37">
        <f t="shared" si="38"/>
        <v>0.99989099999999997</v>
      </c>
      <c r="AB123" s="37">
        <f t="shared" si="39"/>
        <v>9.1911999999999994E-2</v>
      </c>
      <c r="AC123" s="71">
        <f t="shared" ref="AC123:AC154" si="55">IF(C123=1,MAX($T$7,AB123),MAX($T$6,AB123))</f>
        <v>9.1911999999999994E-2</v>
      </c>
      <c r="AD123" s="38">
        <f t="shared" si="49"/>
        <v>0</v>
      </c>
      <c r="AE123" s="74">
        <f t="shared" si="50"/>
        <v>9.1911999999999994E-2</v>
      </c>
      <c r="AF123" s="39">
        <v>0</v>
      </c>
      <c r="AG123" s="39">
        <v>0</v>
      </c>
      <c r="AH123" s="9">
        <f t="shared" si="41"/>
        <v>0</v>
      </c>
      <c r="AI123" s="11">
        <f t="shared" si="42"/>
        <v>0</v>
      </c>
      <c r="AJ123" s="11">
        <f t="shared" si="43"/>
        <v>4642691</v>
      </c>
      <c r="AK123" s="11">
        <f t="shared" si="44"/>
        <v>4642691</v>
      </c>
      <c r="AL123" s="35">
        <v>4893944</v>
      </c>
      <c r="AM123" s="11">
        <f t="shared" si="51"/>
        <v>251253</v>
      </c>
      <c r="AN123" s="72" t="str">
        <f t="shared" si="52"/>
        <v>No</v>
      </c>
      <c r="AO123" s="35">
        <v>4516620</v>
      </c>
      <c r="AP123" s="35">
        <f t="shared" ref="AP123:AP154" si="56">IF(AN123="Yes",+AM123*$L$9,+AM123*$L$10)</f>
        <v>20929.374899999999</v>
      </c>
      <c r="AQ123" s="35">
        <f t="shared" ref="AQ123:AQ154" si="57">IF(AN123="Yes",+AO123+AP123,+AO123-AP123)</f>
        <v>4495690.6250999998</v>
      </c>
      <c r="AR123" s="35">
        <f t="shared" ref="AR123:AR154" si="58">IF(C123=1,MAX(AQ123,AL123),AQ123)</f>
        <v>4495690.6250999998</v>
      </c>
      <c r="AS123" s="66"/>
      <c r="AT123" s="67"/>
      <c r="AU123" s="35"/>
      <c r="AV123" s="68"/>
      <c r="AW123" s="35"/>
      <c r="AX123" s="21"/>
      <c r="AZ123" s="21"/>
      <c r="BA123" s="21"/>
      <c r="BE123" s="21"/>
      <c r="BF123" s="21"/>
      <c r="BG123" s="21"/>
      <c r="BH123" s="21"/>
      <c r="BI123" s="21"/>
    </row>
    <row r="124" spans="1:61" x14ac:dyDescent="0.4">
      <c r="A124" s="8" t="s">
        <v>121</v>
      </c>
      <c r="B124" s="8"/>
      <c r="C124" s="25"/>
      <c r="D124" s="25"/>
      <c r="E124" s="25"/>
      <c r="F124" s="1">
        <v>2</v>
      </c>
      <c r="G124" s="39">
        <v>135</v>
      </c>
      <c r="H124" s="8">
        <v>98</v>
      </c>
      <c r="I124" s="3" t="s">
        <v>223</v>
      </c>
      <c r="J124" s="70"/>
      <c r="K124" s="39">
        <v>155.02000000000001</v>
      </c>
      <c r="L124" s="75"/>
      <c r="M124" s="34"/>
      <c r="N124" s="39">
        <v>52</v>
      </c>
      <c r="O124" s="65">
        <f t="shared" si="31"/>
        <v>0.33544058831118562</v>
      </c>
      <c r="P124" s="65">
        <f t="shared" si="32"/>
        <v>0</v>
      </c>
      <c r="Q124" s="35">
        <f t="shared" si="33"/>
        <v>0</v>
      </c>
      <c r="R124" s="35">
        <f t="shared" si="48"/>
        <v>0</v>
      </c>
      <c r="S124" s="39">
        <v>3</v>
      </c>
      <c r="T124" s="36">
        <f t="shared" si="53"/>
        <v>15.6</v>
      </c>
      <c r="U124" s="9">
        <f t="shared" si="54"/>
        <v>171.07</v>
      </c>
      <c r="V124" s="39">
        <v>382538065.67000002</v>
      </c>
      <c r="W124" s="39">
        <v>1642</v>
      </c>
      <c r="X124" s="17">
        <f t="shared" si="36"/>
        <v>232970.81</v>
      </c>
      <c r="Y124" s="37">
        <f t="shared" si="37"/>
        <v>1.2478340000000001</v>
      </c>
      <c r="Z124" s="35">
        <v>74844</v>
      </c>
      <c r="AA124" s="37">
        <f t="shared" si="38"/>
        <v>0.64997199999999999</v>
      </c>
      <c r="AB124" s="37">
        <f t="shared" si="39"/>
        <v>-6.8474999999999994E-2</v>
      </c>
      <c r="AC124" s="71">
        <f t="shared" si="55"/>
        <v>0.01</v>
      </c>
      <c r="AD124" s="38">
        <f t="shared" si="49"/>
        <v>0</v>
      </c>
      <c r="AE124" s="74">
        <f t="shared" si="50"/>
        <v>0.01</v>
      </c>
      <c r="AF124" s="39">
        <v>78</v>
      </c>
      <c r="AG124" s="39">
        <v>6</v>
      </c>
      <c r="AH124" s="9">
        <f t="shared" si="41"/>
        <v>46.15</v>
      </c>
      <c r="AI124" s="11">
        <f t="shared" si="42"/>
        <v>3600</v>
      </c>
      <c r="AJ124" s="11">
        <f t="shared" si="43"/>
        <v>19716</v>
      </c>
      <c r="AK124" s="11">
        <f t="shared" si="44"/>
        <v>23316</v>
      </c>
      <c r="AL124" s="35">
        <v>25815</v>
      </c>
      <c r="AM124" s="11">
        <f t="shared" si="51"/>
        <v>2499</v>
      </c>
      <c r="AN124" s="72" t="str">
        <f t="shared" si="52"/>
        <v>No</v>
      </c>
      <c r="AO124" s="35">
        <v>26148</v>
      </c>
      <c r="AP124" s="35">
        <f t="shared" si="56"/>
        <v>208.16669999999999</v>
      </c>
      <c r="AQ124" s="35">
        <f t="shared" si="57"/>
        <v>25939.833299999998</v>
      </c>
      <c r="AR124" s="35">
        <f t="shared" si="58"/>
        <v>25939.833299999998</v>
      </c>
      <c r="AS124" s="66"/>
      <c r="AT124" s="67"/>
      <c r="AU124" s="35"/>
      <c r="AV124" s="68"/>
      <c r="AW124" s="35"/>
      <c r="AX124" s="21"/>
      <c r="AZ124" s="21"/>
      <c r="BA124" s="21"/>
      <c r="BE124" s="21"/>
      <c r="BF124" s="21"/>
      <c r="BG124" s="21"/>
      <c r="BH124" s="21"/>
      <c r="BI124" s="21"/>
    </row>
    <row r="125" spans="1:61" x14ac:dyDescent="0.4">
      <c r="A125" s="8" t="s">
        <v>121</v>
      </c>
      <c r="B125" s="8"/>
      <c r="C125" s="25"/>
      <c r="D125" s="25"/>
      <c r="E125" s="25"/>
      <c r="F125" s="1">
        <v>6</v>
      </c>
      <c r="G125" s="39">
        <v>68</v>
      </c>
      <c r="H125" s="8">
        <v>99</v>
      </c>
      <c r="I125" s="3" t="s">
        <v>224</v>
      </c>
      <c r="J125" s="70"/>
      <c r="K125" s="39">
        <v>1758.42</v>
      </c>
      <c r="L125" s="75"/>
      <c r="M125" s="34"/>
      <c r="N125" s="39">
        <v>402</v>
      </c>
      <c r="O125" s="65">
        <f t="shared" si="31"/>
        <v>0.22861432422288189</v>
      </c>
      <c r="P125" s="65">
        <f t="shared" si="32"/>
        <v>0</v>
      </c>
      <c r="Q125" s="35">
        <f t="shared" si="33"/>
        <v>0</v>
      </c>
      <c r="R125" s="35">
        <f t="shared" si="48"/>
        <v>0</v>
      </c>
      <c r="S125" s="39">
        <v>15</v>
      </c>
      <c r="T125" s="36">
        <f t="shared" si="53"/>
        <v>120.6</v>
      </c>
      <c r="U125" s="9">
        <f t="shared" si="54"/>
        <v>1881.27</v>
      </c>
      <c r="V125" s="39">
        <v>1809172863.3299999</v>
      </c>
      <c r="W125" s="39">
        <v>14208</v>
      </c>
      <c r="X125" s="17">
        <f t="shared" si="36"/>
        <v>127334.8</v>
      </c>
      <c r="Y125" s="37">
        <f t="shared" si="37"/>
        <v>0.68202799999999997</v>
      </c>
      <c r="Z125" s="35">
        <v>83637</v>
      </c>
      <c r="AA125" s="37">
        <f t="shared" si="38"/>
        <v>0.72633300000000001</v>
      </c>
      <c r="AB125" s="37">
        <f t="shared" si="39"/>
        <v>0.30468099999999998</v>
      </c>
      <c r="AC125" s="71">
        <f t="shared" si="55"/>
        <v>0.30468099999999998</v>
      </c>
      <c r="AD125" s="38">
        <f t="shared" si="49"/>
        <v>0</v>
      </c>
      <c r="AE125" s="74">
        <f t="shared" si="50"/>
        <v>0.30468099999999998</v>
      </c>
      <c r="AF125" s="39">
        <v>0</v>
      </c>
      <c r="AG125" s="39">
        <v>0</v>
      </c>
      <c r="AH125" s="9">
        <f t="shared" si="41"/>
        <v>0</v>
      </c>
      <c r="AI125" s="11">
        <f t="shared" si="42"/>
        <v>0</v>
      </c>
      <c r="AJ125" s="11">
        <f t="shared" si="43"/>
        <v>6605983</v>
      </c>
      <c r="AK125" s="11">
        <f t="shared" si="44"/>
        <v>6605983</v>
      </c>
      <c r="AL125" s="35">
        <v>8076776</v>
      </c>
      <c r="AM125" s="11">
        <f t="shared" si="51"/>
        <v>1470793</v>
      </c>
      <c r="AN125" s="72" t="str">
        <f t="shared" si="52"/>
        <v>No</v>
      </c>
      <c r="AO125" s="35">
        <v>7453844</v>
      </c>
      <c r="AP125" s="35">
        <f t="shared" si="56"/>
        <v>122517.0569</v>
      </c>
      <c r="AQ125" s="35">
        <f t="shared" si="57"/>
        <v>7331326.9430999998</v>
      </c>
      <c r="AR125" s="35">
        <f t="shared" si="58"/>
        <v>7331326.9430999998</v>
      </c>
      <c r="AS125" s="66"/>
      <c r="AT125" s="67"/>
      <c r="AU125" s="35"/>
      <c r="AV125" s="68"/>
      <c r="AW125" s="35"/>
      <c r="AX125" s="21"/>
      <c r="AZ125" s="21"/>
      <c r="BA125" s="21"/>
      <c r="BE125" s="21"/>
      <c r="BF125" s="21"/>
      <c r="BG125" s="21"/>
      <c r="BH125" s="21"/>
      <c r="BI125" s="21"/>
    </row>
    <row r="126" spans="1:61" x14ac:dyDescent="0.4">
      <c r="A126" s="8" t="s">
        <v>145</v>
      </c>
      <c r="B126" s="8"/>
      <c r="C126" s="25"/>
      <c r="D126" s="25"/>
      <c r="E126" s="25"/>
      <c r="F126" s="1">
        <v>8</v>
      </c>
      <c r="G126" s="39">
        <v>53</v>
      </c>
      <c r="H126" s="8">
        <v>100</v>
      </c>
      <c r="I126" s="3" t="s">
        <v>225</v>
      </c>
      <c r="J126" s="70"/>
      <c r="K126" s="39">
        <v>347.63</v>
      </c>
      <c r="L126" s="75"/>
      <c r="M126" s="34"/>
      <c r="N126" s="39">
        <v>167</v>
      </c>
      <c r="O126" s="65">
        <f t="shared" si="31"/>
        <v>0.48039582314529816</v>
      </c>
      <c r="P126" s="65">
        <f t="shared" si="32"/>
        <v>0</v>
      </c>
      <c r="Q126" s="35">
        <f t="shared" si="33"/>
        <v>0</v>
      </c>
      <c r="R126" s="35">
        <f t="shared" si="48"/>
        <v>0</v>
      </c>
      <c r="S126" s="39">
        <v>13</v>
      </c>
      <c r="T126" s="36">
        <f t="shared" si="53"/>
        <v>50.1</v>
      </c>
      <c r="U126" s="9">
        <f t="shared" si="54"/>
        <v>399.68</v>
      </c>
      <c r="V126" s="39">
        <v>444616887.32999998</v>
      </c>
      <c r="W126" s="39">
        <v>3279</v>
      </c>
      <c r="X126" s="17">
        <f t="shared" si="36"/>
        <v>135595.26999999999</v>
      </c>
      <c r="Y126" s="37">
        <f t="shared" si="37"/>
        <v>0.72627299999999995</v>
      </c>
      <c r="Z126" s="35">
        <v>72411</v>
      </c>
      <c r="AA126" s="37">
        <f t="shared" si="38"/>
        <v>0.62884300000000004</v>
      </c>
      <c r="AB126" s="37">
        <f t="shared" si="39"/>
        <v>0.302956</v>
      </c>
      <c r="AC126" s="71">
        <f t="shared" si="55"/>
        <v>0.302956</v>
      </c>
      <c r="AD126" s="38">
        <f t="shared" si="49"/>
        <v>0</v>
      </c>
      <c r="AE126" s="74">
        <f t="shared" si="50"/>
        <v>0.302956</v>
      </c>
      <c r="AF126" s="39">
        <v>102</v>
      </c>
      <c r="AG126" s="39">
        <v>4</v>
      </c>
      <c r="AH126" s="9">
        <f t="shared" si="41"/>
        <v>30.77</v>
      </c>
      <c r="AI126" s="11">
        <f t="shared" si="42"/>
        <v>3139</v>
      </c>
      <c r="AJ126" s="11">
        <f t="shared" si="43"/>
        <v>1395510</v>
      </c>
      <c r="AK126" s="11">
        <f t="shared" si="44"/>
        <v>1398649</v>
      </c>
      <c r="AL126" s="35">
        <v>2044243</v>
      </c>
      <c r="AM126" s="11">
        <f t="shared" si="51"/>
        <v>645594</v>
      </c>
      <c r="AN126" s="72" t="str">
        <f t="shared" si="52"/>
        <v>No</v>
      </c>
      <c r="AO126" s="35">
        <v>1835732</v>
      </c>
      <c r="AP126" s="35">
        <f t="shared" si="56"/>
        <v>53777.980199999998</v>
      </c>
      <c r="AQ126" s="35">
        <f t="shared" si="57"/>
        <v>1781954.0197999999</v>
      </c>
      <c r="AR126" s="35">
        <f t="shared" si="58"/>
        <v>1781954.0197999999</v>
      </c>
      <c r="AS126" s="66"/>
      <c r="AT126" s="67"/>
      <c r="AU126" s="35"/>
      <c r="AV126" s="68"/>
      <c r="AW126" s="35"/>
      <c r="AX126" s="21"/>
      <c r="AZ126" s="21"/>
      <c r="BA126" s="21"/>
      <c r="BE126" s="21"/>
      <c r="BF126" s="21"/>
      <c r="BG126" s="21"/>
      <c r="BH126" s="21"/>
      <c r="BI126" s="21"/>
    </row>
    <row r="127" spans="1:61" x14ac:dyDescent="0.4">
      <c r="A127" s="8" t="s">
        <v>127</v>
      </c>
      <c r="B127" s="8"/>
      <c r="C127" s="25"/>
      <c r="D127" s="25"/>
      <c r="E127" s="25"/>
      <c r="F127" s="1">
        <v>4</v>
      </c>
      <c r="G127" s="39">
        <v>75</v>
      </c>
      <c r="H127" s="8">
        <v>101</v>
      </c>
      <c r="I127" s="3" t="s">
        <v>226</v>
      </c>
      <c r="J127" s="70"/>
      <c r="K127" s="39">
        <v>3228.15</v>
      </c>
      <c r="L127" s="75"/>
      <c r="M127" s="34"/>
      <c r="N127" s="39">
        <v>651</v>
      </c>
      <c r="O127" s="65">
        <f t="shared" si="31"/>
        <v>0.20166349147344453</v>
      </c>
      <c r="P127" s="65">
        <f t="shared" si="32"/>
        <v>0</v>
      </c>
      <c r="Q127" s="35">
        <f t="shared" si="33"/>
        <v>0</v>
      </c>
      <c r="R127" s="35">
        <f t="shared" si="48"/>
        <v>0</v>
      </c>
      <c r="S127" s="39">
        <v>94</v>
      </c>
      <c r="T127" s="36">
        <f t="shared" si="53"/>
        <v>195.3</v>
      </c>
      <c r="U127" s="9">
        <f t="shared" si="54"/>
        <v>3437.55</v>
      </c>
      <c r="V127" s="39">
        <v>4150772021.3299999</v>
      </c>
      <c r="W127" s="39">
        <v>23751</v>
      </c>
      <c r="X127" s="17">
        <f t="shared" si="36"/>
        <v>174761.99</v>
      </c>
      <c r="Y127" s="37">
        <f t="shared" si="37"/>
        <v>0.93605700000000003</v>
      </c>
      <c r="Z127" s="35">
        <v>96273</v>
      </c>
      <c r="AA127" s="37">
        <f t="shared" si="38"/>
        <v>0.83606899999999995</v>
      </c>
      <c r="AB127" s="37">
        <f t="shared" si="39"/>
        <v>9.3938999999999995E-2</v>
      </c>
      <c r="AC127" s="71">
        <f t="shared" si="55"/>
        <v>9.3938999999999995E-2</v>
      </c>
      <c r="AD127" s="38">
        <f t="shared" si="49"/>
        <v>0</v>
      </c>
      <c r="AE127" s="74">
        <f t="shared" si="50"/>
        <v>9.3938999999999995E-2</v>
      </c>
      <c r="AF127" s="39">
        <v>0</v>
      </c>
      <c r="AG127" s="39">
        <v>0</v>
      </c>
      <c r="AH127" s="9">
        <f t="shared" si="41"/>
        <v>0</v>
      </c>
      <c r="AI127" s="11">
        <f t="shared" si="42"/>
        <v>0</v>
      </c>
      <c r="AJ127" s="11">
        <f t="shared" si="43"/>
        <v>3721653</v>
      </c>
      <c r="AK127" s="11">
        <f t="shared" si="44"/>
        <v>3721653</v>
      </c>
      <c r="AL127" s="35">
        <v>3842088</v>
      </c>
      <c r="AM127" s="11">
        <f t="shared" si="51"/>
        <v>120435</v>
      </c>
      <c r="AN127" s="72" t="str">
        <f t="shared" si="52"/>
        <v>No</v>
      </c>
      <c r="AO127" s="35">
        <v>3861392</v>
      </c>
      <c r="AP127" s="35">
        <f t="shared" si="56"/>
        <v>10032.235500000001</v>
      </c>
      <c r="AQ127" s="35">
        <f t="shared" si="57"/>
        <v>3851359.7645</v>
      </c>
      <c r="AR127" s="35">
        <f t="shared" si="58"/>
        <v>3851359.7645</v>
      </c>
      <c r="AS127" s="66"/>
      <c r="AT127" s="67"/>
      <c r="AU127" s="35"/>
      <c r="AV127" s="68"/>
      <c r="AW127" s="35"/>
      <c r="AX127" s="21"/>
      <c r="AZ127" s="21"/>
      <c r="BA127" s="21"/>
      <c r="BE127" s="21"/>
      <c r="BF127" s="21"/>
      <c r="BG127" s="21"/>
      <c r="BH127" s="21"/>
      <c r="BI127" s="21"/>
    </row>
    <row r="128" spans="1:61" x14ac:dyDescent="0.4">
      <c r="A128" s="8" t="s">
        <v>121</v>
      </c>
      <c r="B128" s="8"/>
      <c r="C128" s="25"/>
      <c r="D128" s="25"/>
      <c r="E128" s="25"/>
      <c r="F128" s="1">
        <v>4</v>
      </c>
      <c r="G128" s="39">
        <v>72</v>
      </c>
      <c r="H128" s="8">
        <v>102</v>
      </c>
      <c r="I128" s="3" t="s">
        <v>227</v>
      </c>
      <c r="J128" s="70"/>
      <c r="K128" s="39">
        <v>765.08</v>
      </c>
      <c r="L128" s="75"/>
      <c r="M128" s="34"/>
      <c r="N128" s="39">
        <v>162</v>
      </c>
      <c r="O128" s="65">
        <f t="shared" si="31"/>
        <v>0.21174256286924242</v>
      </c>
      <c r="P128" s="65">
        <f t="shared" si="32"/>
        <v>0</v>
      </c>
      <c r="Q128" s="35">
        <f t="shared" si="33"/>
        <v>0</v>
      </c>
      <c r="R128" s="35">
        <f t="shared" si="48"/>
        <v>0</v>
      </c>
      <c r="S128" s="39">
        <v>0</v>
      </c>
      <c r="T128" s="36">
        <f t="shared" si="53"/>
        <v>48.6</v>
      </c>
      <c r="U128" s="9">
        <f t="shared" si="54"/>
        <v>813.68000000000006</v>
      </c>
      <c r="V128" s="39">
        <v>802577545.33000004</v>
      </c>
      <c r="W128" s="39">
        <v>5270</v>
      </c>
      <c r="X128" s="17">
        <f t="shared" si="36"/>
        <v>152291.75</v>
      </c>
      <c r="Y128" s="37">
        <f t="shared" si="37"/>
        <v>0.81570200000000004</v>
      </c>
      <c r="Z128" s="35">
        <v>84833</v>
      </c>
      <c r="AA128" s="37">
        <f t="shared" si="38"/>
        <v>0.73672000000000004</v>
      </c>
      <c r="AB128" s="37">
        <f t="shared" si="39"/>
        <v>0.20799300000000001</v>
      </c>
      <c r="AC128" s="71">
        <f t="shared" si="55"/>
        <v>0.20799300000000001</v>
      </c>
      <c r="AD128" s="38">
        <f t="shared" si="49"/>
        <v>0</v>
      </c>
      <c r="AE128" s="74">
        <f t="shared" si="50"/>
        <v>0.20799300000000001</v>
      </c>
      <c r="AF128" s="39">
        <v>0</v>
      </c>
      <c r="AG128" s="39">
        <v>0</v>
      </c>
      <c r="AH128" s="9">
        <f t="shared" si="41"/>
        <v>0</v>
      </c>
      <c r="AI128" s="11">
        <f t="shared" si="42"/>
        <v>0</v>
      </c>
      <c r="AJ128" s="11">
        <f t="shared" si="43"/>
        <v>1950488</v>
      </c>
      <c r="AK128" s="11">
        <f t="shared" si="44"/>
        <v>1950488</v>
      </c>
      <c r="AL128" s="35">
        <v>2834470</v>
      </c>
      <c r="AM128" s="11">
        <f t="shared" si="51"/>
        <v>883982</v>
      </c>
      <c r="AN128" s="72" t="str">
        <f t="shared" si="52"/>
        <v>No</v>
      </c>
      <c r="AO128" s="35">
        <v>2657840</v>
      </c>
      <c r="AP128" s="35">
        <f t="shared" si="56"/>
        <v>73635.700599999996</v>
      </c>
      <c r="AQ128" s="35">
        <f t="shared" si="57"/>
        <v>2584204.2993999999</v>
      </c>
      <c r="AR128" s="35">
        <f t="shared" si="58"/>
        <v>2584204.2993999999</v>
      </c>
      <c r="AS128" s="66"/>
      <c r="AT128" s="67"/>
      <c r="AU128" s="35"/>
      <c r="AV128" s="68"/>
      <c r="AW128" s="35"/>
      <c r="AX128" s="21"/>
      <c r="AZ128" s="21"/>
      <c r="BA128" s="21"/>
      <c r="BE128" s="21"/>
      <c r="BF128" s="21"/>
      <c r="BG128" s="21"/>
      <c r="BH128" s="21"/>
      <c r="BI128" s="21"/>
    </row>
    <row r="129" spans="1:61" x14ac:dyDescent="0.4">
      <c r="A129" s="8" t="s">
        <v>119</v>
      </c>
      <c r="B129" s="8">
        <v>1</v>
      </c>
      <c r="C129" s="25">
        <v>1</v>
      </c>
      <c r="D129" s="25">
        <v>1</v>
      </c>
      <c r="E129" s="25"/>
      <c r="F129" s="1">
        <v>3</v>
      </c>
      <c r="G129" s="39">
        <v>119</v>
      </c>
      <c r="H129" s="8">
        <v>103</v>
      </c>
      <c r="I129" s="3" t="s">
        <v>228</v>
      </c>
      <c r="J129" s="70"/>
      <c r="K129" s="39">
        <v>12227.26</v>
      </c>
      <c r="L129" s="75"/>
      <c r="M129" s="34"/>
      <c r="N129" s="39">
        <v>7231</v>
      </c>
      <c r="O129" s="65">
        <f t="shared" si="31"/>
        <v>0.59138351519473698</v>
      </c>
      <c r="P129" s="65">
        <f t="shared" si="32"/>
        <v>0</v>
      </c>
      <c r="Q129" s="35">
        <f t="shared" si="33"/>
        <v>0</v>
      </c>
      <c r="R129" s="35">
        <f t="shared" si="48"/>
        <v>0</v>
      </c>
      <c r="S129" s="39">
        <v>2050</v>
      </c>
      <c r="T129" s="36">
        <f t="shared" si="53"/>
        <v>2169.3000000000002</v>
      </c>
      <c r="U129" s="9">
        <f t="shared" si="54"/>
        <v>14704.060000000001</v>
      </c>
      <c r="V129" s="39">
        <v>19247902945.669998</v>
      </c>
      <c r="W129" s="39">
        <v>89005</v>
      </c>
      <c r="X129" s="17">
        <f t="shared" si="36"/>
        <v>216256.42</v>
      </c>
      <c r="Y129" s="37">
        <f t="shared" si="37"/>
        <v>1.158309</v>
      </c>
      <c r="Z129" s="35">
        <v>81546</v>
      </c>
      <c r="AA129" s="37">
        <f t="shared" si="38"/>
        <v>0.70817399999999997</v>
      </c>
      <c r="AB129" s="37">
        <f t="shared" si="39"/>
        <v>-2.3268E-2</v>
      </c>
      <c r="AC129" s="71">
        <f t="shared" si="55"/>
        <v>0.1</v>
      </c>
      <c r="AD129" s="38">
        <f t="shared" si="49"/>
        <v>0</v>
      </c>
      <c r="AE129" s="74">
        <f t="shared" si="50"/>
        <v>0.1</v>
      </c>
      <c r="AF129" s="39">
        <v>0</v>
      </c>
      <c r="AG129" s="39">
        <v>0</v>
      </c>
      <c r="AH129" s="9">
        <f t="shared" si="41"/>
        <v>0</v>
      </c>
      <c r="AI129" s="11">
        <f t="shared" si="42"/>
        <v>0</v>
      </c>
      <c r="AJ129" s="11">
        <f t="shared" si="43"/>
        <v>16946429</v>
      </c>
      <c r="AK129" s="11">
        <f t="shared" si="44"/>
        <v>16946429</v>
      </c>
      <c r="AL129" s="35">
        <v>11243340</v>
      </c>
      <c r="AM129" s="11">
        <f t="shared" si="51"/>
        <v>5703089</v>
      </c>
      <c r="AN129" s="72" t="str">
        <f t="shared" si="52"/>
        <v>Yes</v>
      </c>
      <c r="AO129" s="35">
        <v>11982530</v>
      </c>
      <c r="AP129" s="35">
        <f t="shared" si="56"/>
        <v>607949.28740000003</v>
      </c>
      <c r="AQ129" s="35">
        <f t="shared" si="57"/>
        <v>12590479.2874</v>
      </c>
      <c r="AR129" s="35">
        <f t="shared" si="58"/>
        <v>12590479.2874</v>
      </c>
      <c r="AS129" s="66"/>
      <c r="AT129" s="67"/>
      <c r="AU129" s="35"/>
      <c r="AV129" s="68"/>
      <c r="AW129" s="35"/>
      <c r="AX129" s="21"/>
      <c r="AZ129" s="21"/>
      <c r="BA129" s="21"/>
      <c r="BE129" s="21"/>
      <c r="BF129" s="21"/>
      <c r="BG129" s="21"/>
      <c r="BH129" s="21"/>
      <c r="BI129" s="21"/>
    </row>
    <row r="130" spans="1:61" x14ac:dyDescent="0.4">
      <c r="A130" s="8" t="s">
        <v>119</v>
      </c>
      <c r="B130" s="8">
        <v>1</v>
      </c>
      <c r="C130" s="25">
        <v>1</v>
      </c>
      <c r="D130" s="25">
        <v>0</v>
      </c>
      <c r="E130" s="25">
        <v>1</v>
      </c>
      <c r="F130" s="1">
        <v>10</v>
      </c>
      <c r="G130" s="39">
        <v>11</v>
      </c>
      <c r="H130" s="8">
        <v>104</v>
      </c>
      <c r="I130" s="3" t="s">
        <v>229</v>
      </c>
      <c r="J130" s="70"/>
      <c r="K130" s="39">
        <v>5317.7</v>
      </c>
      <c r="L130" s="76"/>
      <c r="M130" s="34"/>
      <c r="N130" s="39">
        <v>3501</v>
      </c>
      <c r="O130" s="65">
        <f t="shared" si="31"/>
        <v>0.65836733926321533</v>
      </c>
      <c r="P130" s="65">
        <f t="shared" si="32"/>
        <v>0</v>
      </c>
      <c r="Q130" s="35">
        <f t="shared" si="33"/>
        <v>0</v>
      </c>
      <c r="R130" s="35">
        <f t="shared" si="48"/>
        <v>0</v>
      </c>
      <c r="S130" s="39">
        <v>836</v>
      </c>
      <c r="T130" s="36">
        <f t="shared" si="53"/>
        <v>1050.3</v>
      </c>
      <c r="U130" s="9">
        <f t="shared" si="54"/>
        <v>6493.4</v>
      </c>
      <c r="V130" s="39">
        <v>2740124138.3299999</v>
      </c>
      <c r="W130" s="39">
        <v>39470</v>
      </c>
      <c r="X130" s="17">
        <f t="shared" si="36"/>
        <v>69422.960000000006</v>
      </c>
      <c r="Y130" s="37">
        <f t="shared" si="37"/>
        <v>0.37184200000000001</v>
      </c>
      <c r="Z130" s="35">
        <v>53682</v>
      </c>
      <c r="AA130" s="37">
        <f t="shared" si="38"/>
        <v>0.466194</v>
      </c>
      <c r="AB130" s="37">
        <f t="shared" si="39"/>
        <v>0.59985200000000005</v>
      </c>
      <c r="AC130" s="71">
        <f t="shared" si="55"/>
        <v>0.59985200000000005</v>
      </c>
      <c r="AD130" s="38">
        <f t="shared" si="49"/>
        <v>0.04</v>
      </c>
      <c r="AE130" s="74">
        <f t="shared" si="50"/>
        <v>0.63985200000000009</v>
      </c>
      <c r="AF130" s="39">
        <v>0</v>
      </c>
      <c r="AG130" s="39">
        <v>0</v>
      </c>
      <c r="AH130" s="9">
        <f t="shared" si="41"/>
        <v>0</v>
      </c>
      <c r="AI130" s="11">
        <f t="shared" si="42"/>
        <v>0</v>
      </c>
      <c r="AJ130" s="11">
        <f t="shared" si="43"/>
        <v>47884243</v>
      </c>
      <c r="AK130" s="11">
        <f t="shared" si="44"/>
        <v>47884243</v>
      </c>
      <c r="AL130" s="35">
        <v>36209664</v>
      </c>
      <c r="AM130" s="11">
        <f t="shared" si="51"/>
        <v>11674579</v>
      </c>
      <c r="AN130" s="72" t="str">
        <f t="shared" si="52"/>
        <v>Yes</v>
      </c>
      <c r="AO130" s="35">
        <v>37983728</v>
      </c>
      <c r="AP130" s="35">
        <f t="shared" si="56"/>
        <v>1244510.1214000001</v>
      </c>
      <c r="AQ130" s="35">
        <f t="shared" si="57"/>
        <v>39228238.121399999</v>
      </c>
      <c r="AR130" s="35">
        <f t="shared" si="58"/>
        <v>39228238.121399999</v>
      </c>
      <c r="AS130" s="66"/>
      <c r="AT130" s="67"/>
      <c r="AU130" s="35"/>
      <c r="AV130" s="68"/>
      <c r="AW130" s="35"/>
      <c r="AX130" s="21"/>
      <c r="AZ130" s="21"/>
      <c r="BA130" s="21"/>
      <c r="BE130" s="21"/>
      <c r="BF130" s="21"/>
      <c r="BG130" s="21"/>
      <c r="BH130" s="21"/>
      <c r="BI130" s="21"/>
    </row>
    <row r="131" spans="1:61" x14ac:dyDescent="0.4">
      <c r="A131" s="8" t="s">
        <v>117</v>
      </c>
      <c r="B131" s="8"/>
      <c r="C131" s="25"/>
      <c r="D131" s="25"/>
      <c r="E131" s="25"/>
      <c r="F131" s="1">
        <v>2</v>
      </c>
      <c r="G131" s="39">
        <v>141</v>
      </c>
      <c r="H131" s="8">
        <v>105</v>
      </c>
      <c r="I131" s="3" t="s">
        <v>230</v>
      </c>
      <c r="J131" s="70"/>
      <c r="K131" s="39">
        <v>1050.19</v>
      </c>
      <c r="L131" s="75"/>
      <c r="M131" s="34"/>
      <c r="N131" s="39">
        <v>181</v>
      </c>
      <c r="O131" s="65">
        <f t="shared" si="31"/>
        <v>0.17234976528056828</v>
      </c>
      <c r="P131" s="65">
        <f t="shared" si="32"/>
        <v>0</v>
      </c>
      <c r="Q131" s="35">
        <f t="shared" si="33"/>
        <v>0</v>
      </c>
      <c r="R131" s="35">
        <f t="shared" si="48"/>
        <v>0</v>
      </c>
      <c r="S131" s="39">
        <v>26</v>
      </c>
      <c r="T131" s="36">
        <f t="shared" si="53"/>
        <v>54.3</v>
      </c>
      <c r="U131" s="9">
        <f t="shared" si="54"/>
        <v>1108.3900000000001</v>
      </c>
      <c r="V131" s="39">
        <v>2283828484.6700001</v>
      </c>
      <c r="W131" s="39">
        <v>7432</v>
      </c>
      <c r="X131" s="17">
        <f t="shared" si="36"/>
        <v>307296.62</v>
      </c>
      <c r="Y131" s="37">
        <f t="shared" si="37"/>
        <v>1.6459360000000001</v>
      </c>
      <c r="Z131" s="35">
        <v>95175</v>
      </c>
      <c r="AA131" s="37">
        <f t="shared" si="38"/>
        <v>0.82653299999999996</v>
      </c>
      <c r="AB131" s="37">
        <f t="shared" si="39"/>
        <v>-0.400115</v>
      </c>
      <c r="AC131" s="71">
        <f t="shared" si="55"/>
        <v>0.01</v>
      </c>
      <c r="AD131" s="38">
        <f t="shared" si="49"/>
        <v>0</v>
      </c>
      <c r="AE131" s="74">
        <f t="shared" si="50"/>
        <v>0.01</v>
      </c>
      <c r="AF131" s="39">
        <v>1041</v>
      </c>
      <c r="AG131" s="39">
        <v>13</v>
      </c>
      <c r="AH131" s="9">
        <f t="shared" si="41"/>
        <v>100</v>
      </c>
      <c r="AI131" s="11">
        <f t="shared" si="42"/>
        <v>104100</v>
      </c>
      <c r="AJ131" s="11">
        <f t="shared" si="43"/>
        <v>127742</v>
      </c>
      <c r="AK131" s="11">
        <f t="shared" si="44"/>
        <v>231842</v>
      </c>
      <c r="AL131" s="35">
        <v>247462</v>
      </c>
      <c r="AM131" s="11">
        <f t="shared" si="51"/>
        <v>15620</v>
      </c>
      <c r="AN131" s="72" t="str">
        <f t="shared" si="52"/>
        <v>No</v>
      </c>
      <c r="AO131" s="35">
        <v>239884</v>
      </c>
      <c r="AP131" s="35">
        <f t="shared" si="56"/>
        <v>1301.146</v>
      </c>
      <c r="AQ131" s="35">
        <f t="shared" si="57"/>
        <v>238582.85399999999</v>
      </c>
      <c r="AR131" s="35">
        <f t="shared" si="58"/>
        <v>238582.85399999999</v>
      </c>
      <c r="AS131" s="66"/>
      <c r="AT131" s="67"/>
      <c r="AU131" s="35"/>
      <c r="AV131" s="68"/>
      <c r="AW131" s="35"/>
      <c r="AX131" s="21"/>
      <c r="AZ131" s="21"/>
      <c r="BA131" s="21"/>
      <c r="BE131" s="21"/>
      <c r="BF131" s="21"/>
      <c r="BG131" s="21"/>
      <c r="BH131" s="21"/>
      <c r="BI131" s="21"/>
    </row>
    <row r="132" spans="1:61" x14ac:dyDescent="0.4">
      <c r="A132" s="8" t="s">
        <v>127</v>
      </c>
      <c r="B132" s="8"/>
      <c r="C132" s="25"/>
      <c r="D132" s="25"/>
      <c r="E132" s="25"/>
      <c r="F132" s="1">
        <v>2</v>
      </c>
      <c r="G132" s="39">
        <v>150</v>
      </c>
      <c r="H132" s="8">
        <v>106</v>
      </c>
      <c r="I132" s="3" t="s">
        <v>231</v>
      </c>
      <c r="J132" s="70"/>
      <c r="K132" s="39">
        <v>1170.93</v>
      </c>
      <c r="L132" s="75"/>
      <c r="M132" s="34"/>
      <c r="N132" s="39">
        <v>330</v>
      </c>
      <c r="O132" s="65">
        <f t="shared" si="31"/>
        <v>0.28182726550690473</v>
      </c>
      <c r="P132" s="65">
        <f t="shared" si="32"/>
        <v>0</v>
      </c>
      <c r="Q132" s="35">
        <f t="shared" si="33"/>
        <v>0</v>
      </c>
      <c r="R132" s="35">
        <f t="shared" si="48"/>
        <v>0</v>
      </c>
      <c r="S132" s="39">
        <v>68</v>
      </c>
      <c r="T132" s="36">
        <f t="shared" si="53"/>
        <v>99</v>
      </c>
      <c r="U132" s="9">
        <f t="shared" si="54"/>
        <v>1280.1300000000001</v>
      </c>
      <c r="V132" s="39">
        <v>3257697104.3299999</v>
      </c>
      <c r="W132" s="39">
        <v>10132</v>
      </c>
      <c r="X132" s="17">
        <f t="shared" si="36"/>
        <v>321525.57</v>
      </c>
      <c r="Y132" s="37">
        <f t="shared" si="37"/>
        <v>1.7221489999999999</v>
      </c>
      <c r="Z132" s="35">
        <v>74185</v>
      </c>
      <c r="AA132" s="37">
        <f t="shared" si="38"/>
        <v>0.64424899999999996</v>
      </c>
      <c r="AB132" s="37">
        <f t="shared" si="39"/>
        <v>-0.39877899999999999</v>
      </c>
      <c r="AC132" s="71">
        <f t="shared" si="55"/>
        <v>0.01</v>
      </c>
      <c r="AD132" s="38">
        <f t="shared" si="49"/>
        <v>0</v>
      </c>
      <c r="AE132" s="74">
        <f t="shared" si="50"/>
        <v>0.01</v>
      </c>
      <c r="AF132" s="39">
        <v>0</v>
      </c>
      <c r="AG132" s="39">
        <v>0</v>
      </c>
      <c r="AH132" s="9">
        <f t="shared" si="41"/>
        <v>0</v>
      </c>
      <c r="AI132" s="11">
        <f t="shared" si="42"/>
        <v>0</v>
      </c>
      <c r="AJ132" s="11">
        <f t="shared" si="43"/>
        <v>147535</v>
      </c>
      <c r="AK132" s="11">
        <f t="shared" si="44"/>
        <v>147535</v>
      </c>
      <c r="AL132" s="35">
        <v>122907</v>
      </c>
      <c r="AM132" s="11">
        <f t="shared" si="51"/>
        <v>24628</v>
      </c>
      <c r="AN132" s="72" t="str">
        <f t="shared" si="52"/>
        <v>Yes</v>
      </c>
      <c r="AO132" s="35">
        <v>127089</v>
      </c>
      <c r="AP132" s="35">
        <f t="shared" si="56"/>
        <v>2625.3447999999999</v>
      </c>
      <c r="AQ132" s="35">
        <f t="shared" si="57"/>
        <v>129714.34480000001</v>
      </c>
      <c r="AR132" s="35">
        <f t="shared" si="58"/>
        <v>129714.34480000001</v>
      </c>
      <c r="AS132" s="66"/>
      <c r="AT132" s="67"/>
      <c r="AU132" s="35"/>
      <c r="AV132" s="68"/>
      <c r="AW132" s="35"/>
      <c r="AX132" s="21"/>
      <c r="AZ132" s="21"/>
      <c r="BA132" s="21"/>
      <c r="BE132" s="21"/>
      <c r="BF132" s="21"/>
      <c r="BG132" s="21"/>
      <c r="BH132" s="21"/>
      <c r="BI132" s="21"/>
    </row>
    <row r="133" spans="1:61" x14ac:dyDescent="0.4">
      <c r="A133" s="8" t="s">
        <v>123</v>
      </c>
      <c r="B133" s="8"/>
      <c r="C133" s="25"/>
      <c r="D133" s="25"/>
      <c r="E133" s="25"/>
      <c r="F133" s="1">
        <v>3</v>
      </c>
      <c r="G133" s="39">
        <v>126</v>
      </c>
      <c r="H133" s="8">
        <v>107</v>
      </c>
      <c r="I133" s="3" t="s">
        <v>232</v>
      </c>
      <c r="J133" s="70"/>
      <c r="K133" s="39">
        <v>2341.84</v>
      </c>
      <c r="L133" s="75"/>
      <c r="M133" s="34"/>
      <c r="N133" s="39">
        <v>265</v>
      </c>
      <c r="O133" s="65">
        <f t="shared" si="31"/>
        <v>0.11315888361288559</v>
      </c>
      <c r="P133" s="65">
        <f t="shared" si="32"/>
        <v>0</v>
      </c>
      <c r="Q133" s="35">
        <f t="shared" si="33"/>
        <v>0</v>
      </c>
      <c r="R133" s="35">
        <f t="shared" si="48"/>
        <v>0</v>
      </c>
      <c r="S133" s="39">
        <v>77</v>
      </c>
      <c r="T133" s="36">
        <f t="shared" si="53"/>
        <v>79.5</v>
      </c>
      <c r="U133" s="9">
        <f t="shared" si="54"/>
        <v>2432.8900000000003</v>
      </c>
      <c r="V133" s="39">
        <v>2928306085.3299999</v>
      </c>
      <c r="W133" s="39">
        <v>13997</v>
      </c>
      <c r="X133" s="17">
        <f t="shared" si="36"/>
        <v>209209.55</v>
      </c>
      <c r="Y133" s="37">
        <f t="shared" si="37"/>
        <v>1.1205639999999999</v>
      </c>
      <c r="Z133" s="35">
        <v>109538</v>
      </c>
      <c r="AA133" s="37">
        <f t="shared" si="38"/>
        <v>0.95126699999999997</v>
      </c>
      <c r="AB133" s="37">
        <f t="shared" si="39"/>
        <v>-6.9775000000000004E-2</v>
      </c>
      <c r="AC133" s="71">
        <f t="shared" si="55"/>
        <v>0.01</v>
      </c>
      <c r="AD133" s="38">
        <f t="shared" si="49"/>
        <v>0</v>
      </c>
      <c r="AE133" s="74">
        <f t="shared" si="50"/>
        <v>0.01</v>
      </c>
      <c r="AF133" s="39">
        <v>1103</v>
      </c>
      <c r="AG133" s="39">
        <v>6</v>
      </c>
      <c r="AH133" s="9">
        <f t="shared" si="41"/>
        <v>46.15</v>
      </c>
      <c r="AI133" s="11">
        <f t="shared" si="42"/>
        <v>50903</v>
      </c>
      <c r="AJ133" s="11">
        <f t="shared" si="43"/>
        <v>280391</v>
      </c>
      <c r="AK133" s="11">
        <f t="shared" si="44"/>
        <v>331294</v>
      </c>
      <c r="AL133" s="35">
        <v>1509226</v>
      </c>
      <c r="AM133" s="11">
        <f t="shared" si="51"/>
        <v>1177932</v>
      </c>
      <c r="AN133" s="72" t="str">
        <f t="shared" si="52"/>
        <v>No</v>
      </c>
      <c r="AO133" s="35">
        <v>1113620</v>
      </c>
      <c r="AP133" s="35">
        <f t="shared" si="56"/>
        <v>98121.7356</v>
      </c>
      <c r="AQ133" s="35">
        <f t="shared" si="57"/>
        <v>1015498.2644</v>
      </c>
      <c r="AR133" s="35">
        <f t="shared" si="58"/>
        <v>1015498.2644</v>
      </c>
      <c r="AS133" s="66"/>
      <c r="AT133" s="67"/>
      <c r="AU133" s="35"/>
      <c r="AV133" s="68"/>
      <c r="AW133" s="35"/>
      <c r="AX133" s="21"/>
      <c r="AZ133" s="21"/>
      <c r="BA133" s="21"/>
      <c r="BE133" s="21"/>
      <c r="BF133" s="21"/>
      <c r="BG133" s="21"/>
      <c r="BH133" s="21"/>
      <c r="BI133" s="21"/>
    </row>
    <row r="134" spans="1:61" x14ac:dyDescent="0.4">
      <c r="A134" s="8" t="s">
        <v>117</v>
      </c>
      <c r="B134" s="8"/>
      <c r="C134" s="25"/>
      <c r="D134" s="25"/>
      <c r="E134" s="25"/>
      <c r="F134" s="1">
        <v>3</v>
      </c>
      <c r="G134" s="39">
        <v>117</v>
      </c>
      <c r="H134" s="8">
        <v>108</v>
      </c>
      <c r="I134" s="3" t="s">
        <v>233</v>
      </c>
      <c r="J134" s="70"/>
      <c r="K134" s="39">
        <v>1784.31</v>
      </c>
      <c r="L134" s="75"/>
      <c r="M134" s="34"/>
      <c r="N134" s="39">
        <v>241</v>
      </c>
      <c r="O134" s="65">
        <f t="shared" si="31"/>
        <v>0.13506621607231928</v>
      </c>
      <c r="P134" s="65">
        <f t="shared" si="32"/>
        <v>0</v>
      </c>
      <c r="Q134" s="35">
        <f t="shared" si="33"/>
        <v>0</v>
      </c>
      <c r="R134" s="35">
        <f t="shared" si="48"/>
        <v>0</v>
      </c>
      <c r="S134" s="39">
        <v>49</v>
      </c>
      <c r="T134" s="36">
        <f t="shared" si="53"/>
        <v>72.3</v>
      </c>
      <c r="U134" s="9">
        <f t="shared" si="54"/>
        <v>1863.9599999999998</v>
      </c>
      <c r="V134" s="39">
        <v>2181839421</v>
      </c>
      <c r="W134" s="39">
        <v>13035</v>
      </c>
      <c r="X134" s="17">
        <f t="shared" si="36"/>
        <v>167383.15</v>
      </c>
      <c r="Y134" s="37">
        <f t="shared" si="37"/>
        <v>0.89653499999999997</v>
      </c>
      <c r="Z134" s="35">
        <v>104316</v>
      </c>
      <c r="AA134" s="37">
        <f t="shared" si="38"/>
        <v>0.90591699999999997</v>
      </c>
      <c r="AB134" s="37">
        <f t="shared" si="39"/>
        <v>0.10065</v>
      </c>
      <c r="AC134" s="71">
        <f t="shared" si="55"/>
        <v>0.10065</v>
      </c>
      <c r="AD134" s="38">
        <f t="shared" si="49"/>
        <v>0</v>
      </c>
      <c r="AE134" s="74">
        <f t="shared" si="50"/>
        <v>0.10065</v>
      </c>
      <c r="AF134" s="39">
        <v>0</v>
      </c>
      <c r="AG134" s="39">
        <v>0</v>
      </c>
      <c r="AH134" s="9">
        <f t="shared" si="41"/>
        <v>0</v>
      </c>
      <c r="AI134" s="11">
        <f t="shared" si="42"/>
        <v>0</v>
      </c>
      <c r="AJ134" s="11">
        <f t="shared" si="43"/>
        <v>2162177</v>
      </c>
      <c r="AK134" s="11">
        <f t="shared" si="44"/>
        <v>2162177</v>
      </c>
      <c r="AL134" s="35">
        <v>4528763</v>
      </c>
      <c r="AM134" s="11">
        <f t="shared" si="51"/>
        <v>2366586</v>
      </c>
      <c r="AN134" s="72" t="str">
        <f t="shared" si="52"/>
        <v>No</v>
      </c>
      <c r="AO134" s="35">
        <v>3874148</v>
      </c>
      <c r="AP134" s="35">
        <f t="shared" si="56"/>
        <v>197136.61379999999</v>
      </c>
      <c r="AQ134" s="35">
        <f t="shared" si="57"/>
        <v>3677011.3862000001</v>
      </c>
      <c r="AR134" s="35">
        <f t="shared" si="58"/>
        <v>3677011.3862000001</v>
      </c>
      <c r="AS134" s="66"/>
      <c r="AT134" s="67"/>
      <c r="AU134" s="35"/>
      <c r="AV134" s="68"/>
      <c r="AW134" s="35"/>
      <c r="AX134" s="21"/>
      <c r="AZ134" s="21"/>
      <c r="BA134" s="21"/>
      <c r="BE134" s="21"/>
      <c r="BF134" s="21"/>
      <c r="BG134" s="21"/>
      <c r="BH134" s="21"/>
      <c r="BI134" s="21"/>
    </row>
    <row r="135" spans="1:61" x14ac:dyDescent="0.4">
      <c r="A135" s="8" t="s">
        <v>132</v>
      </c>
      <c r="B135" s="8"/>
      <c r="C135" s="25"/>
      <c r="D135" s="25"/>
      <c r="E135" s="25"/>
      <c r="F135" s="1">
        <v>9</v>
      </c>
      <c r="G135" s="39">
        <v>19</v>
      </c>
      <c r="H135" s="8">
        <v>109</v>
      </c>
      <c r="I135" s="3" t="s">
        <v>234</v>
      </c>
      <c r="J135" s="70"/>
      <c r="K135" s="39">
        <v>2150.4</v>
      </c>
      <c r="L135" s="76"/>
      <c r="M135" s="34"/>
      <c r="N135" s="39">
        <v>1196</v>
      </c>
      <c r="O135" s="65">
        <f t="shared" si="31"/>
        <v>0.55617559523809523</v>
      </c>
      <c r="P135" s="65">
        <f t="shared" si="32"/>
        <v>0</v>
      </c>
      <c r="Q135" s="35">
        <f t="shared" si="33"/>
        <v>0</v>
      </c>
      <c r="R135" s="35">
        <f t="shared" si="48"/>
        <v>0</v>
      </c>
      <c r="S135" s="39">
        <v>35</v>
      </c>
      <c r="T135" s="36">
        <f t="shared" si="53"/>
        <v>358.8</v>
      </c>
      <c r="U135" s="9">
        <f t="shared" si="54"/>
        <v>2514.4500000000003</v>
      </c>
      <c r="V135" s="39">
        <v>1403366056</v>
      </c>
      <c r="W135" s="39">
        <v>15093</v>
      </c>
      <c r="X135" s="17">
        <f t="shared" si="36"/>
        <v>92981.25</v>
      </c>
      <c r="Y135" s="37">
        <f t="shared" si="37"/>
        <v>0.49802400000000002</v>
      </c>
      <c r="Z135" s="35">
        <v>67409</v>
      </c>
      <c r="AA135" s="37">
        <f t="shared" si="38"/>
        <v>0.58540400000000004</v>
      </c>
      <c r="AB135" s="37">
        <f t="shared" si="39"/>
        <v>0.47576200000000002</v>
      </c>
      <c r="AC135" s="71">
        <f t="shared" si="55"/>
        <v>0.47576200000000002</v>
      </c>
      <c r="AD135" s="38">
        <f t="shared" si="49"/>
        <v>0.03</v>
      </c>
      <c r="AE135" s="74">
        <f t="shared" si="50"/>
        <v>0.50576200000000004</v>
      </c>
      <c r="AF135" s="39">
        <v>0</v>
      </c>
      <c r="AG135" s="39">
        <v>0</v>
      </c>
      <c r="AH135" s="9">
        <f t="shared" si="41"/>
        <v>0</v>
      </c>
      <c r="AI135" s="11">
        <f t="shared" si="42"/>
        <v>0</v>
      </c>
      <c r="AJ135" s="11">
        <f t="shared" si="43"/>
        <v>14656495</v>
      </c>
      <c r="AK135" s="11">
        <f t="shared" si="44"/>
        <v>14656495</v>
      </c>
      <c r="AL135" s="35">
        <v>15364444</v>
      </c>
      <c r="AM135" s="11">
        <f t="shared" si="51"/>
        <v>707949</v>
      </c>
      <c r="AN135" s="72" t="str">
        <f t="shared" si="52"/>
        <v>No</v>
      </c>
      <c r="AO135" s="35">
        <v>15049019</v>
      </c>
      <c r="AP135" s="35">
        <f t="shared" si="56"/>
        <v>58972.151700000002</v>
      </c>
      <c r="AQ135" s="35">
        <f t="shared" si="57"/>
        <v>14990046.848300001</v>
      </c>
      <c r="AR135" s="35">
        <f t="shared" si="58"/>
        <v>14990046.848300001</v>
      </c>
      <c r="AS135" s="66"/>
      <c r="AT135" s="67"/>
      <c r="AU135" s="35"/>
      <c r="AV135" s="68"/>
      <c r="AW135" s="35"/>
      <c r="AX135" s="21"/>
      <c r="AZ135" s="21"/>
      <c r="BA135" s="21"/>
      <c r="BE135" s="21"/>
      <c r="BF135" s="21"/>
      <c r="BG135" s="21"/>
      <c r="BH135" s="21"/>
      <c r="BI135" s="21"/>
    </row>
    <row r="136" spans="1:61" x14ac:dyDescent="0.4">
      <c r="A136" s="8" t="s">
        <v>145</v>
      </c>
      <c r="B136" s="8"/>
      <c r="C136" s="25"/>
      <c r="D136" s="25"/>
      <c r="E136" s="25"/>
      <c r="F136" s="1">
        <v>8</v>
      </c>
      <c r="G136" s="39">
        <v>44</v>
      </c>
      <c r="H136" s="8">
        <v>110</v>
      </c>
      <c r="I136" s="3" t="s">
        <v>235</v>
      </c>
      <c r="J136" s="70"/>
      <c r="K136" s="39">
        <v>2304.65</v>
      </c>
      <c r="L136" s="76"/>
      <c r="M136" s="34"/>
      <c r="N136" s="39">
        <v>850</v>
      </c>
      <c r="O136" s="65">
        <f t="shared" si="31"/>
        <v>0.36881956045386499</v>
      </c>
      <c r="P136" s="65">
        <f t="shared" si="32"/>
        <v>0</v>
      </c>
      <c r="Q136" s="35">
        <f t="shared" si="33"/>
        <v>0</v>
      </c>
      <c r="R136" s="35">
        <f t="shared" si="48"/>
        <v>0</v>
      </c>
      <c r="S136" s="39">
        <v>155</v>
      </c>
      <c r="T136" s="36">
        <f t="shared" si="53"/>
        <v>255</v>
      </c>
      <c r="U136" s="9">
        <f t="shared" si="54"/>
        <v>2582.9</v>
      </c>
      <c r="V136" s="39">
        <v>1974807350.6700001</v>
      </c>
      <c r="W136" s="39">
        <v>17705</v>
      </c>
      <c r="X136" s="17">
        <f t="shared" si="36"/>
        <v>111539.53</v>
      </c>
      <c r="Y136" s="37">
        <f t="shared" si="37"/>
        <v>0.59742600000000001</v>
      </c>
      <c r="Z136" s="35">
        <v>62459</v>
      </c>
      <c r="AA136" s="37">
        <f t="shared" si="38"/>
        <v>0.54241600000000001</v>
      </c>
      <c r="AB136" s="37">
        <f t="shared" si="39"/>
        <v>0.41907699999999998</v>
      </c>
      <c r="AC136" s="71">
        <f t="shared" si="55"/>
        <v>0.41907699999999998</v>
      </c>
      <c r="AD136" s="38">
        <f t="shared" si="49"/>
        <v>0</v>
      </c>
      <c r="AE136" s="74">
        <f t="shared" si="50"/>
        <v>0.41907699999999998</v>
      </c>
      <c r="AF136" s="39">
        <v>0</v>
      </c>
      <c r="AG136" s="39">
        <v>0</v>
      </c>
      <c r="AH136" s="9">
        <f t="shared" si="41"/>
        <v>0</v>
      </c>
      <c r="AI136" s="11">
        <f t="shared" si="42"/>
        <v>0</v>
      </c>
      <c r="AJ136" s="11">
        <f t="shared" si="43"/>
        <v>12475052</v>
      </c>
      <c r="AK136" s="11">
        <f t="shared" si="44"/>
        <v>12475052</v>
      </c>
      <c r="AL136" s="35">
        <v>10272197</v>
      </c>
      <c r="AM136" s="11">
        <f t="shared" si="51"/>
        <v>2202855</v>
      </c>
      <c r="AN136" s="72" t="str">
        <f t="shared" si="52"/>
        <v>Yes</v>
      </c>
      <c r="AO136" s="35">
        <v>10577242</v>
      </c>
      <c r="AP136" s="35">
        <f t="shared" si="56"/>
        <v>234824.34299999999</v>
      </c>
      <c r="AQ136" s="35">
        <f t="shared" si="57"/>
        <v>10812066.343</v>
      </c>
      <c r="AR136" s="35">
        <f t="shared" si="58"/>
        <v>10812066.343</v>
      </c>
      <c r="AS136" s="66"/>
      <c r="AT136" s="67"/>
      <c r="AU136" s="35"/>
      <c r="AV136" s="68"/>
      <c r="AW136" s="35"/>
      <c r="AX136" s="21"/>
      <c r="AZ136" s="21"/>
      <c r="BA136" s="21"/>
      <c r="BE136" s="21"/>
      <c r="BF136" s="21"/>
      <c r="BG136" s="21"/>
      <c r="BH136" s="21"/>
      <c r="BI136" s="21"/>
    </row>
    <row r="137" spans="1:61" x14ac:dyDescent="0.4">
      <c r="A137" s="8" t="s">
        <v>145</v>
      </c>
      <c r="B137" s="8"/>
      <c r="C137" s="25"/>
      <c r="D137" s="25"/>
      <c r="E137" s="25"/>
      <c r="F137" s="1">
        <v>8</v>
      </c>
      <c r="G137" s="39">
        <v>18</v>
      </c>
      <c r="H137" s="8">
        <v>111</v>
      </c>
      <c r="I137" s="3" t="s">
        <v>236</v>
      </c>
      <c r="J137" s="70"/>
      <c r="K137" s="39">
        <v>1495.6</v>
      </c>
      <c r="L137" s="76"/>
      <c r="M137" s="34"/>
      <c r="N137" s="39">
        <v>628</v>
      </c>
      <c r="O137" s="65">
        <f t="shared" si="31"/>
        <v>0.41989836854774004</v>
      </c>
      <c r="P137" s="65">
        <f t="shared" si="32"/>
        <v>0</v>
      </c>
      <c r="Q137" s="35">
        <f t="shared" si="33"/>
        <v>0</v>
      </c>
      <c r="R137" s="35">
        <f t="shared" si="48"/>
        <v>0</v>
      </c>
      <c r="S137" s="39">
        <v>20</v>
      </c>
      <c r="T137" s="36">
        <f t="shared" si="53"/>
        <v>188.4</v>
      </c>
      <c r="U137" s="9">
        <f t="shared" si="54"/>
        <v>1687</v>
      </c>
      <c r="V137" s="39">
        <v>1105032570.3299999</v>
      </c>
      <c r="W137" s="39">
        <v>11718</v>
      </c>
      <c r="X137" s="17">
        <f t="shared" si="36"/>
        <v>94302.15</v>
      </c>
      <c r="Y137" s="37">
        <f t="shared" si="37"/>
        <v>0.50509899999999996</v>
      </c>
      <c r="Z137" s="35">
        <v>73430</v>
      </c>
      <c r="AA137" s="37">
        <f t="shared" si="38"/>
        <v>0.63769200000000004</v>
      </c>
      <c r="AB137" s="37">
        <f t="shared" si="39"/>
        <v>0.455123</v>
      </c>
      <c r="AC137" s="71">
        <f t="shared" si="55"/>
        <v>0.455123</v>
      </c>
      <c r="AD137" s="38">
        <f t="shared" si="49"/>
        <v>0.03</v>
      </c>
      <c r="AE137" s="74">
        <f t="shared" si="50"/>
        <v>0.48512299999999997</v>
      </c>
      <c r="AF137" s="39">
        <v>0</v>
      </c>
      <c r="AG137" s="39">
        <v>0</v>
      </c>
      <c r="AH137" s="9">
        <f t="shared" si="41"/>
        <v>0</v>
      </c>
      <c r="AI137" s="11">
        <f t="shared" si="42"/>
        <v>0</v>
      </c>
      <c r="AJ137" s="11">
        <f t="shared" si="43"/>
        <v>9432089</v>
      </c>
      <c r="AK137" s="11">
        <f t="shared" si="44"/>
        <v>9432089</v>
      </c>
      <c r="AL137" s="35">
        <v>9761632</v>
      </c>
      <c r="AM137" s="11">
        <f t="shared" si="51"/>
        <v>329543</v>
      </c>
      <c r="AN137" s="72" t="str">
        <f t="shared" si="52"/>
        <v>No</v>
      </c>
      <c r="AO137" s="35">
        <v>9829572</v>
      </c>
      <c r="AP137" s="35">
        <f t="shared" si="56"/>
        <v>27450.9319</v>
      </c>
      <c r="AQ137" s="35">
        <f t="shared" si="57"/>
        <v>9802121.0680999998</v>
      </c>
      <c r="AR137" s="35">
        <f t="shared" si="58"/>
        <v>9802121.0680999998</v>
      </c>
      <c r="AS137" s="66"/>
      <c r="AT137" s="67"/>
      <c r="AU137" s="35"/>
      <c r="AV137" s="68"/>
      <c r="AW137" s="35"/>
      <c r="AX137" s="21"/>
      <c r="AZ137" s="21"/>
      <c r="BA137" s="21"/>
      <c r="BE137" s="21"/>
      <c r="BF137" s="21"/>
      <c r="BG137" s="21"/>
      <c r="BH137" s="21"/>
      <c r="BI137" s="21"/>
    </row>
    <row r="138" spans="1:61" x14ac:dyDescent="0.4">
      <c r="A138" s="8" t="s">
        <v>117</v>
      </c>
      <c r="B138" s="8"/>
      <c r="C138" s="25"/>
      <c r="D138" s="25"/>
      <c r="E138" s="25"/>
      <c r="F138" s="1">
        <v>8</v>
      </c>
      <c r="G138" s="39">
        <v>115</v>
      </c>
      <c r="H138" s="8">
        <v>112</v>
      </c>
      <c r="I138" s="3" t="s">
        <v>237</v>
      </c>
      <c r="J138" s="70"/>
      <c r="K138" s="39">
        <v>580.24</v>
      </c>
      <c r="L138" s="75"/>
      <c r="M138" s="34"/>
      <c r="N138" s="39">
        <v>108</v>
      </c>
      <c r="O138" s="65">
        <f t="shared" si="31"/>
        <v>0.18612987729215497</v>
      </c>
      <c r="P138" s="65">
        <f t="shared" si="32"/>
        <v>0</v>
      </c>
      <c r="Q138" s="35">
        <f t="shared" si="33"/>
        <v>0</v>
      </c>
      <c r="R138" s="35">
        <f t="shared" si="48"/>
        <v>0</v>
      </c>
      <c r="S138" s="39">
        <v>0</v>
      </c>
      <c r="T138" s="36">
        <f t="shared" si="53"/>
        <v>32.4</v>
      </c>
      <c r="U138" s="9">
        <f t="shared" si="54"/>
        <v>612.64</v>
      </c>
      <c r="V138" s="39">
        <v>524050191.32999998</v>
      </c>
      <c r="W138" s="39">
        <v>4167</v>
      </c>
      <c r="X138" s="17">
        <f t="shared" si="36"/>
        <v>125761.98</v>
      </c>
      <c r="Y138" s="37">
        <f t="shared" si="37"/>
        <v>0.67360399999999998</v>
      </c>
      <c r="Z138" s="35">
        <v>84457</v>
      </c>
      <c r="AA138" s="37">
        <f t="shared" si="38"/>
        <v>0.73345499999999997</v>
      </c>
      <c r="AB138" s="37">
        <f t="shared" si="39"/>
        <v>0.30844100000000002</v>
      </c>
      <c r="AC138" s="71">
        <f t="shared" si="55"/>
        <v>0.30844100000000002</v>
      </c>
      <c r="AD138" s="38">
        <f t="shared" si="49"/>
        <v>0</v>
      </c>
      <c r="AE138" s="74">
        <f t="shared" si="50"/>
        <v>0.30844100000000002</v>
      </c>
      <c r="AF138" s="39">
        <v>0</v>
      </c>
      <c r="AG138" s="39">
        <v>0</v>
      </c>
      <c r="AH138" s="9">
        <f t="shared" si="41"/>
        <v>0</v>
      </c>
      <c r="AI138" s="11">
        <f t="shared" si="42"/>
        <v>0</v>
      </c>
      <c r="AJ138" s="11">
        <f t="shared" si="43"/>
        <v>2177802</v>
      </c>
      <c r="AK138" s="11">
        <f t="shared" si="44"/>
        <v>2177802</v>
      </c>
      <c r="AL138" s="35">
        <v>3073015</v>
      </c>
      <c r="AM138" s="11">
        <f t="shared" si="51"/>
        <v>895213</v>
      </c>
      <c r="AN138" s="72" t="str">
        <f t="shared" si="52"/>
        <v>No</v>
      </c>
      <c r="AO138" s="35">
        <v>2745558</v>
      </c>
      <c r="AP138" s="35">
        <f t="shared" si="56"/>
        <v>74571.242899999997</v>
      </c>
      <c r="AQ138" s="35">
        <f t="shared" si="57"/>
        <v>2670986.7571</v>
      </c>
      <c r="AR138" s="35">
        <f t="shared" si="58"/>
        <v>2670986.7571</v>
      </c>
      <c r="AS138" s="66"/>
      <c r="AT138" s="67"/>
      <c r="AU138" s="35"/>
      <c r="AV138" s="68"/>
      <c r="AW138" s="35"/>
      <c r="AX138" s="21"/>
      <c r="AZ138" s="21"/>
      <c r="BA138" s="21"/>
      <c r="BE138" s="21"/>
      <c r="BF138" s="21"/>
      <c r="BG138" s="21"/>
      <c r="BH138" s="21"/>
      <c r="BI138" s="21"/>
    </row>
    <row r="139" spans="1:61" x14ac:dyDescent="0.4">
      <c r="A139" s="8" t="s">
        <v>121</v>
      </c>
      <c r="B139" s="8"/>
      <c r="C139" s="25"/>
      <c r="D139" s="25"/>
      <c r="E139" s="25"/>
      <c r="F139" s="1">
        <v>6</v>
      </c>
      <c r="G139" s="39">
        <v>88</v>
      </c>
      <c r="H139" s="8">
        <v>113</v>
      </c>
      <c r="I139" s="3" t="s">
        <v>238</v>
      </c>
      <c r="J139" s="70"/>
      <c r="K139" s="39">
        <v>1336.4</v>
      </c>
      <c r="L139" s="75"/>
      <c r="M139" s="34"/>
      <c r="N139" s="39">
        <v>300</v>
      </c>
      <c r="O139" s="65">
        <f t="shared" si="31"/>
        <v>0.22448368751870695</v>
      </c>
      <c r="P139" s="65">
        <f t="shared" si="32"/>
        <v>0</v>
      </c>
      <c r="Q139" s="35">
        <f t="shared" si="33"/>
        <v>0</v>
      </c>
      <c r="R139" s="35">
        <f t="shared" si="48"/>
        <v>0</v>
      </c>
      <c r="S139" s="39">
        <v>31</v>
      </c>
      <c r="T139" s="36">
        <f t="shared" si="53"/>
        <v>90</v>
      </c>
      <c r="U139" s="9">
        <f t="shared" si="54"/>
        <v>1431.0500000000002</v>
      </c>
      <c r="V139" s="39">
        <v>1208677884.3299999</v>
      </c>
      <c r="W139" s="39">
        <v>9360</v>
      </c>
      <c r="X139" s="17">
        <f t="shared" si="36"/>
        <v>129132.25</v>
      </c>
      <c r="Y139" s="37">
        <f t="shared" si="37"/>
        <v>0.69165600000000005</v>
      </c>
      <c r="Z139" s="35">
        <v>88433</v>
      </c>
      <c r="AA139" s="37">
        <f t="shared" si="38"/>
        <v>0.767984</v>
      </c>
      <c r="AB139" s="37">
        <f t="shared" si="39"/>
        <v>0.28544599999999998</v>
      </c>
      <c r="AC139" s="71">
        <f t="shared" si="55"/>
        <v>0.28544599999999998</v>
      </c>
      <c r="AD139" s="38">
        <f t="shared" si="49"/>
        <v>0</v>
      </c>
      <c r="AE139" s="74">
        <f t="shared" si="50"/>
        <v>0.28544599999999998</v>
      </c>
      <c r="AF139" s="39">
        <v>0</v>
      </c>
      <c r="AG139" s="39">
        <v>0</v>
      </c>
      <c r="AH139" s="9">
        <f t="shared" si="41"/>
        <v>0</v>
      </c>
      <c r="AI139" s="11">
        <f t="shared" si="42"/>
        <v>0</v>
      </c>
      <c r="AJ139" s="11">
        <f t="shared" si="43"/>
        <v>4707818</v>
      </c>
      <c r="AK139" s="11">
        <f t="shared" si="44"/>
        <v>4707818</v>
      </c>
      <c r="AL139" s="35">
        <v>4363751</v>
      </c>
      <c r="AM139" s="11">
        <f t="shared" si="51"/>
        <v>344067</v>
      </c>
      <c r="AN139" s="72" t="str">
        <f t="shared" si="52"/>
        <v>Yes</v>
      </c>
      <c r="AO139" s="35">
        <v>4456627</v>
      </c>
      <c r="AP139" s="35">
        <f t="shared" si="56"/>
        <v>36677.542200000004</v>
      </c>
      <c r="AQ139" s="35">
        <f t="shared" si="57"/>
        <v>4493304.5422</v>
      </c>
      <c r="AR139" s="35">
        <f t="shared" si="58"/>
        <v>4493304.5422</v>
      </c>
      <c r="AS139" s="66"/>
      <c r="AT139" s="67"/>
      <c r="AU139" s="35"/>
      <c r="AV139" s="68"/>
      <c r="AW139" s="35"/>
      <c r="AX139" s="21"/>
      <c r="AZ139" s="21"/>
      <c r="BA139" s="21"/>
      <c r="BE139" s="21"/>
      <c r="BF139" s="21"/>
      <c r="BG139" s="21"/>
      <c r="BH139" s="21"/>
      <c r="BI139" s="21"/>
    </row>
    <row r="140" spans="1:61" x14ac:dyDescent="0.4">
      <c r="A140" s="8" t="s">
        <v>121</v>
      </c>
      <c r="B140" s="8"/>
      <c r="C140" s="25"/>
      <c r="D140" s="25"/>
      <c r="E140" s="25"/>
      <c r="F140" s="1">
        <v>7</v>
      </c>
      <c r="G140" s="39">
        <v>56</v>
      </c>
      <c r="H140" s="8">
        <v>114</v>
      </c>
      <c r="I140" s="3" t="s">
        <v>239</v>
      </c>
      <c r="J140" s="70"/>
      <c r="K140" s="39">
        <v>646.74</v>
      </c>
      <c r="L140" s="75"/>
      <c r="M140" s="34"/>
      <c r="N140" s="39">
        <v>194</v>
      </c>
      <c r="O140" s="65">
        <f t="shared" si="31"/>
        <v>0.29996598323901413</v>
      </c>
      <c r="P140" s="65">
        <f t="shared" si="32"/>
        <v>0</v>
      </c>
      <c r="Q140" s="35">
        <f t="shared" si="33"/>
        <v>0</v>
      </c>
      <c r="R140" s="35">
        <f t="shared" si="48"/>
        <v>0</v>
      </c>
      <c r="S140" s="39">
        <v>15</v>
      </c>
      <c r="T140" s="36">
        <f t="shared" si="53"/>
        <v>58.2</v>
      </c>
      <c r="U140" s="9">
        <f t="shared" si="54"/>
        <v>707.19</v>
      </c>
      <c r="V140" s="39">
        <v>611334504.66999996</v>
      </c>
      <c r="W140" s="39">
        <v>4666</v>
      </c>
      <c r="X140" s="17">
        <f t="shared" si="36"/>
        <v>131018.97</v>
      </c>
      <c r="Y140" s="37">
        <f t="shared" si="37"/>
        <v>0.70176099999999997</v>
      </c>
      <c r="Z140" s="35">
        <v>74083</v>
      </c>
      <c r="AA140" s="37">
        <f t="shared" si="38"/>
        <v>0.64336300000000002</v>
      </c>
      <c r="AB140" s="37">
        <f t="shared" si="39"/>
        <v>0.31575799999999998</v>
      </c>
      <c r="AC140" s="71">
        <f t="shared" si="55"/>
        <v>0.31575799999999998</v>
      </c>
      <c r="AD140" s="38">
        <f t="shared" si="49"/>
        <v>0</v>
      </c>
      <c r="AE140" s="74">
        <f t="shared" si="50"/>
        <v>0.31575799999999998</v>
      </c>
      <c r="AF140" s="39">
        <v>0</v>
      </c>
      <c r="AG140" s="39">
        <v>0</v>
      </c>
      <c r="AH140" s="9">
        <f t="shared" si="41"/>
        <v>0</v>
      </c>
      <c r="AI140" s="11">
        <f t="shared" si="42"/>
        <v>0</v>
      </c>
      <c r="AJ140" s="11">
        <f t="shared" si="43"/>
        <v>2573543</v>
      </c>
      <c r="AK140" s="11">
        <f t="shared" si="44"/>
        <v>2573543</v>
      </c>
      <c r="AL140" s="35">
        <v>3012017</v>
      </c>
      <c r="AM140" s="11">
        <f t="shared" si="51"/>
        <v>438474</v>
      </c>
      <c r="AN140" s="72" t="str">
        <f t="shared" si="52"/>
        <v>No</v>
      </c>
      <c r="AO140" s="35">
        <v>2989021</v>
      </c>
      <c r="AP140" s="35">
        <f t="shared" si="56"/>
        <v>36524.8842</v>
      </c>
      <c r="AQ140" s="35">
        <f t="shared" si="57"/>
        <v>2952496.1157999998</v>
      </c>
      <c r="AR140" s="35">
        <f t="shared" si="58"/>
        <v>2952496.1157999998</v>
      </c>
      <c r="AS140" s="66"/>
      <c r="AT140" s="67"/>
      <c r="AU140" s="35"/>
      <c r="AV140" s="68"/>
      <c r="AW140" s="35"/>
      <c r="AX140" s="21"/>
      <c r="AZ140" s="21"/>
      <c r="BA140" s="21"/>
      <c r="BE140" s="21"/>
      <c r="BF140" s="21"/>
      <c r="BG140" s="21"/>
      <c r="BH140" s="21"/>
      <c r="BI140" s="21"/>
    </row>
    <row r="141" spans="1:61" x14ac:dyDescent="0.4">
      <c r="A141" s="8" t="s">
        <v>121</v>
      </c>
      <c r="B141" s="8"/>
      <c r="C141" s="25"/>
      <c r="D141" s="25"/>
      <c r="E141" s="25"/>
      <c r="F141" s="1">
        <v>6</v>
      </c>
      <c r="G141" s="39">
        <v>67</v>
      </c>
      <c r="H141" s="8">
        <v>115</v>
      </c>
      <c r="I141" s="3" t="s">
        <v>240</v>
      </c>
      <c r="J141" s="70"/>
      <c r="K141" s="39">
        <v>1348.47</v>
      </c>
      <c r="L141" s="75"/>
      <c r="M141" s="34"/>
      <c r="N141" s="39">
        <v>287</v>
      </c>
      <c r="O141" s="65">
        <f t="shared" si="31"/>
        <v>0.21283380423739498</v>
      </c>
      <c r="P141" s="65">
        <f t="shared" si="32"/>
        <v>0</v>
      </c>
      <c r="Q141" s="35">
        <f t="shared" si="33"/>
        <v>0</v>
      </c>
      <c r="R141" s="35">
        <f t="shared" si="48"/>
        <v>0</v>
      </c>
      <c r="S141" s="39">
        <v>14</v>
      </c>
      <c r="T141" s="36">
        <f t="shared" si="53"/>
        <v>86.1</v>
      </c>
      <c r="U141" s="9">
        <f t="shared" si="54"/>
        <v>1436.6699999999998</v>
      </c>
      <c r="V141" s="39">
        <v>1235437377.6700001</v>
      </c>
      <c r="W141" s="39">
        <v>9797</v>
      </c>
      <c r="X141" s="17">
        <f t="shared" si="36"/>
        <v>126103.64</v>
      </c>
      <c r="Y141" s="37">
        <f t="shared" si="37"/>
        <v>0.67543399999999998</v>
      </c>
      <c r="Z141" s="35">
        <v>102617</v>
      </c>
      <c r="AA141" s="37">
        <f t="shared" si="38"/>
        <v>0.89116200000000001</v>
      </c>
      <c r="AB141" s="37">
        <f t="shared" si="39"/>
        <v>0.25984800000000002</v>
      </c>
      <c r="AC141" s="71">
        <f t="shared" si="55"/>
        <v>0.25984800000000002</v>
      </c>
      <c r="AD141" s="38">
        <f t="shared" si="49"/>
        <v>0</v>
      </c>
      <c r="AE141" s="74">
        <f t="shared" si="50"/>
        <v>0.25984800000000002</v>
      </c>
      <c r="AF141" s="39">
        <v>1337</v>
      </c>
      <c r="AG141" s="39">
        <v>13</v>
      </c>
      <c r="AH141" s="9">
        <f t="shared" si="41"/>
        <v>100</v>
      </c>
      <c r="AI141" s="11">
        <f t="shared" si="42"/>
        <v>133700</v>
      </c>
      <c r="AJ141" s="11">
        <f t="shared" si="43"/>
        <v>4302465</v>
      </c>
      <c r="AK141" s="11">
        <f t="shared" si="44"/>
        <v>4436165</v>
      </c>
      <c r="AL141" s="35">
        <v>5297609</v>
      </c>
      <c r="AM141" s="11">
        <f t="shared" si="51"/>
        <v>861444</v>
      </c>
      <c r="AN141" s="72" t="str">
        <f t="shared" si="52"/>
        <v>No</v>
      </c>
      <c r="AO141" s="35">
        <v>4933881</v>
      </c>
      <c r="AP141" s="35">
        <f t="shared" si="56"/>
        <v>71758.285199999998</v>
      </c>
      <c r="AQ141" s="35">
        <f t="shared" si="57"/>
        <v>4862122.7148000002</v>
      </c>
      <c r="AR141" s="35">
        <f t="shared" si="58"/>
        <v>4862122.7148000002</v>
      </c>
      <c r="AS141" s="66"/>
      <c r="AT141" s="67"/>
      <c r="AU141" s="35"/>
      <c r="AV141" s="68"/>
      <c r="AW141" s="35"/>
      <c r="AX141" s="21"/>
      <c r="AZ141" s="21"/>
      <c r="BA141" s="21"/>
      <c r="BE141" s="21"/>
      <c r="BF141" s="21"/>
      <c r="BG141" s="21"/>
      <c r="BH141" s="21"/>
      <c r="BI141" s="21"/>
    </row>
    <row r="142" spans="1:61" x14ac:dyDescent="0.4">
      <c r="A142" s="8" t="s">
        <v>132</v>
      </c>
      <c r="B142" s="40"/>
      <c r="C142" s="25">
        <v>1</v>
      </c>
      <c r="D142" s="25">
        <v>1</v>
      </c>
      <c r="E142" s="25"/>
      <c r="F142" s="1">
        <v>10</v>
      </c>
      <c r="G142" s="39">
        <v>34</v>
      </c>
      <c r="H142" s="8">
        <v>116</v>
      </c>
      <c r="I142" s="3" t="s">
        <v>241</v>
      </c>
      <c r="J142" s="70"/>
      <c r="K142" s="39">
        <v>1139.1400000000001</v>
      </c>
      <c r="L142" s="76"/>
      <c r="M142" s="34"/>
      <c r="N142" s="39">
        <v>614</v>
      </c>
      <c r="O142" s="65">
        <f t="shared" si="31"/>
        <v>0.53900310760749337</v>
      </c>
      <c r="P142" s="65">
        <f t="shared" si="32"/>
        <v>0</v>
      </c>
      <c r="Q142" s="35">
        <f t="shared" si="33"/>
        <v>0</v>
      </c>
      <c r="R142" s="35">
        <f t="shared" si="48"/>
        <v>0</v>
      </c>
      <c r="S142" s="39">
        <v>47</v>
      </c>
      <c r="T142" s="36">
        <f t="shared" si="53"/>
        <v>184.2</v>
      </c>
      <c r="U142" s="9">
        <f t="shared" si="54"/>
        <v>1330.39</v>
      </c>
      <c r="V142" s="39">
        <v>949510603.33000004</v>
      </c>
      <c r="W142" s="39">
        <v>9357</v>
      </c>
      <c r="X142" s="17">
        <f t="shared" si="36"/>
        <v>101475.96</v>
      </c>
      <c r="Y142" s="37">
        <f t="shared" si="37"/>
        <v>0.54352400000000001</v>
      </c>
      <c r="Z142" s="35">
        <v>58416</v>
      </c>
      <c r="AA142" s="37">
        <f t="shared" si="38"/>
        <v>0.50730500000000001</v>
      </c>
      <c r="AB142" s="37">
        <f t="shared" si="39"/>
        <v>0.46734199999999998</v>
      </c>
      <c r="AC142" s="71">
        <f t="shared" si="55"/>
        <v>0.46734199999999998</v>
      </c>
      <c r="AD142" s="38">
        <f t="shared" si="49"/>
        <v>0</v>
      </c>
      <c r="AE142" s="74">
        <f t="shared" si="50"/>
        <v>0.46734199999999998</v>
      </c>
      <c r="AF142" s="39">
        <v>0</v>
      </c>
      <c r="AG142" s="39">
        <v>0</v>
      </c>
      <c r="AH142" s="9">
        <f t="shared" si="41"/>
        <v>0</v>
      </c>
      <c r="AI142" s="11">
        <f t="shared" si="42"/>
        <v>0</v>
      </c>
      <c r="AJ142" s="11">
        <f t="shared" si="43"/>
        <v>7165636</v>
      </c>
      <c r="AK142" s="11">
        <f t="shared" si="44"/>
        <v>7165636</v>
      </c>
      <c r="AL142" s="35">
        <v>8340282</v>
      </c>
      <c r="AM142" s="11">
        <f t="shared" si="51"/>
        <v>1174646</v>
      </c>
      <c r="AN142" s="72" t="str">
        <f t="shared" si="52"/>
        <v>No</v>
      </c>
      <c r="AO142" s="35">
        <v>8340282</v>
      </c>
      <c r="AP142" s="35">
        <f t="shared" si="56"/>
        <v>97848.011799999993</v>
      </c>
      <c r="AQ142" s="35">
        <f t="shared" si="57"/>
        <v>8242433.9881999996</v>
      </c>
      <c r="AR142" s="35">
        <f t="shared" si="58"/>
        <v>8340282</v>
      </c>
      <c r="AS142" s="66"/>
      <c r="AT142" s="67"/>
      <c r="AU142" s="35"/>
      <c r="AV142" s="68"/>
      <c r="AW142" s="35"/>
      <c r="AX142" s="21"/>
      <c r="AZ142" s="21"/>
      <c r="BA142" s="21"/>
      <c r="BE142" s="21"/>
      <c r="BF142" s="21"/>
      <c r="BG142" s="21"/>
      <c r="BH142" s="21"/>
      <c r="BI142" s="21"/>
    </row>
    <row r="143" spans="1:61" x14ac:dyDescent="0.4">
      <c r="A143" s="8" t="s">
        <v>159</v>
      </c>
      <c r="B143" s="8"/>
      <c r="C143" s="25"/>
      <c r="D143" s="25"/>
      <c r="E143" s="25"/>
      <c r="F143" s="1">
        <v>1</v>
      </c>
      <c r="G143" s="39">
        <v>153</v>
      </c>
      <c r="H143" s="8">
        <v>117</v>
      </c>
      <c r="I143" s="3" t="s">
        <v>242</v>
      </c>
      <c r="J143" s="70"/>
      <c r="K143" s="39">
        <v>1287.21</v>
      </c>
      <c r="L143" s="75"/>
      <c r="M143" s="34"/>
      <c r="N143" s="39">
        <v>112</v>
      </c>
      <c r="O143" s="65">
        <f t="shared" si="31"/>
        <v>8.7009889606202553E-2</v>
      </c>
      <c r="P143" s="65">
        <f t="shared" si="32"/>
        <v>0</v>
      </c>
      <c r="Q143" s="35">
        <f t="shared" si="33"/>
        <v>0</v>
      </c>
      <c r="R143" s="35">
        <f t="shared" si="48"/>
        <v>0</v>
      </c>
      <c r="S143" s="39">
        <v>13</v>
      </c>
      <c r="T143" s="36">
        <f t="shared" si="53"/>
        <v>33.6</v>
      </c>
      <c r="U143" s="9">
        <f t="shared" si="54"/>
        <v>1322.76</v>
      </c>
      <c r="V143" s="39">
        <v>2342784612.3299999</v>
      </c>
      <c r="W143" s="39">
        <v>9233</v>
      </c>
      <c r="X143" s="17">
        <f t="shared" si="36"/>
        <v>253740.35</v>
      </c>
      <c r="Y143" s="37">
        <f t="shared" si="37"/>
        <v>1.3590789999999999</v>
      </c>
      <c r="Z143" s="35">
        <v>129763</v>
      </c>
      <c r="AA143" s="37">
        <f t="shared" si="38"/>
        <v>1.126908</v>
      </c>
      <c r="AB143" s="37">
        <f t="shared" si="39"/>
        <v>-0.28942800000000002</v>
      </c>
      <c r="AC143" s="71">
        <f t="shared" si="55"/>
        <v>0.01</v>
      </c>
      <c r="AD143" s="38">
        <f t="shared" si="49"/>
        <v>0</v>
      </c>
      <c r="AE143" s="74">
        <f t="shared" si="50"/>
        <v>0.01</v>
      </c>
      <c r="AF143" s="39">
        <v>473</v>
      </c>
      <c r="AG143" s="39">
        <v>4</v>
      </c>
      <c r="AH143" s="9">
        <f t="shared" si="41"/>
        <v>30.77</v>
      </c>
      <c r="AI143" s="11">
        <f t="shared" si="42"/>
        <v>14554</v>
      </c>
      <c r="AJ143" s="11">
        <f t="shared" si="43"/>
        <v>152448</v>
      </c>
      <c r="AK143" s="11">
        <f t="shared" si="44"/>
        <v>167002</v>
      </c>
      <c r="AL143" s="35">
        <v>180135</v>
      </c>
      <c r="AM143" s="11">
        <f t="shared" si="51"/>
        <v>13133</v>
      </c>
      <c r="AN143" s="72" t="str">
        <f t="shared" si="52"/>
        <v>No</v>
      </c>
      <c r="AO143" s="35">
        <v>179134</v>
      </c>
      <c r="AP143" s="35">
        <f t="shared" si="56"/>
        <v>1093.9789000000001</v>
      </c>
      <c r="AQ143" s="35">
        <f t="shared" si="57"/>
        <v>178040.02110000001</v>
      </c>
      <c r="AR143" s="35">
        <f t="shared" si="58"/>
        <v>178040.02110000001</v>
      </c>
      <c r="AS143" s="66"/>
      <c r="AT143" s="67"/>
      <c r="AU143" s="35"/>
      <c r="AV143" s="68"/>
      <c r="AW143" s="35"/>
      <c r="AX143" s="21"/>
      <c r="AZ143" s="21"/>
      <c r="BA143" s="21"/>
      <c r="BE143" s="21"/>
      <c r="BF143" s="21"/>
      <c r="BG143" s="21"/>
      <c r="BH143" s="21"/>
      <c r="BI143" s="21"/>
    </row>
    <row r="144" spans="1:61" x14ac:dyDescent="0.4">
      <c r="A144" s="8" t="s">
        <v>159</v>
      </c>
      <c r="B144" s="8"/>
      <c r="C144" s="25"/>
      <c r="D144" s="25"/>
      <c r="E144" s="25"/>
      <c r="F144" s="1">
        <v>1</v>
      </c>
      <c r="G144" s="39">
        <v>157</v>
      </c>
      <c r="H144" s="8">
        <v>118</v>
      </c>
      <c r="I144" s="3" t="s">
        <v>243</v>
      </c>
      <c r="J144" s="70"/>
      <c r="K144" s="39">
        <v>4701.68</v>
      </c>
      <c r="L144" s="75"/>
      <c r="M144" s="34"/>
      <c r="N144" s="39">
        <v>248</v>
      </c>
      <c r="O144" s="65">
        <f t="shared" si="31"/>
        <v>5.274710316312467E-2</v>
      </c>
      <c r="P144" s="65">
        <f t="shared" si="32"/>
        <v>0</v>
      </c>
      <c r="Q144" s="35">
        <f t="shared" si="33"/>
        <v>0</v>
      </c>
      <c r="R144" s="35">
        <f t="shared" si="48"/>
        <v>0</v>
      </c>
      <c r="S144" s="39">
        <v>56</v>
      </c>
      <c r="T144" s="36">
        <f t="shared" si="53"/>
        <v>74.400000000000006</v>
      </c>
      <c r="U144" s="9">
        <f t="shared" si="54"/>
        <v>4784.4799999999996</v>
      </c>
      <c r="V144" s="39">
        <v>7090092542</v>
      </c>
      <c r="W144" s="39">
        <v>25187</v>
      </c>
      <c r="X144" s="17">
        <f t="shared" si="36"/>
        <v>281498.09999999998</v>
      </c>
      <c r="Y144" s="37">
        <f t="shared" si="37"/>
        <v>1.507755</v>
      </c>
      <c r="Z144" s="35">
        <v>151399</v>
      </c>
      <c r="AA144" s="37">
        <f t="shared" si="38"/>
        <v>1.3148029999999999</v>
      </c>
      <c r="AB144" s="37">
        <f t="shared" si="39"/>
        <v>-0.44986900000000002</v>
      </c>
      <c r="AC144" s="71">
        <f t="shared" si="55"/>
        <v>0.01</v>
      </c>
      <c r="AD144" s="38">
        <f t="shared" si="49"/>
        <v>0</v>
      </c>
      <c r="AE144" s="74">
        <f t="shared" si="50"/>
        <v>0.01</v>
      </c>
      <c r="AF144" s="39">
        <v>0</v>
      </c>
      <c r="AG144" s="39">
        <v>0</v>
      </c>
      <c r="AH144" s="9">
        <f t="shared" si="41"/>
        <v>0</v>
      </c>
      <c r="AI144" s="11">
        <f t="shared" si="42"/>
        <v>0</v>
      </c>
      <c r="AJ144" s="11">
        <f t="shared" si="43"/>
        <v>551411</v>
      </c>
      <c r="AK144" s="11">
        <f t="shared" si="44"/>
        <v>551411</v>
      </c>
      <c r="AL144" s="35">
        <v>571648</v>
      </c>
      <c r="AM144" s="11">
        <f t="shared" si="51"/>
        <v>20237</v>
      </c>
      <c r="AN144" s="72" t="str">
        <f t="shared" si="52"/>
        <v>No</v>
      </c>
      <c r="AO144" s="35">
        <v>570386</v>
      </c>
      <c r="AP144" s="35">
        <f t="shared" si="56"/>
        <v>1685.7420999999999</v>
      </c>
      <c r="AQ144" s="35">
        <f t="shared" si="57"/>
        <v>568700.25789999997</v>
      </c>
      <c r="AR144" s="35">
        <f t="shared" si="58"/>
        <v>568700.25789999997</v>
      </c>
      <c r="AS144" s="66"/>
      <c r="AT144" s="67"/>
      <c r="AU144" s="35"/>
      <c r="AV144" s="68"/>
      <c r="AW144" s="35"/>
      <c r="AX144" s="21"/>
      <c r="AZ144" s="21"/>
      <c r="BA144" s="21"/>
      <c r="BE144" s="21"/>
      <c r="BF144" s="21"/>
      <c r="BG144" s="21"/>
      <c r="BH144" s="21"/>
      <c r="BI144" s="21"/>
    </row>
    <row r="145" spans="1:61" x14ac:dyDescent="0.4">
      <c r="A145" s="8" t="s">
        <v>127</v>
      </c>
      <c r="B145" s="8"/>
      <c r="C145" s="25"/>
      <c r="D145" s="25"/>
      <c r="E145" s="25"/>
      <c r="F145" s="1">
        <v>6</v>
      </c>
      <c r="G145" s="39">
        <v>111</v>
      </c>
      <c r="H145" s="8">
        <v>119</v>
      </c>
      <c r="I145" s="3" t="s">
        <v>244</v>
      </c>
      <c r="J145" s="70"/>
      <c r="K145" s="39">
        <v>2815.63</v>
      </c>
      <c r="L145" s="75"/>
      <c r="M145" s="34"/>
      <c r="N145" s="39">
        <v>614</v>
      </c>
      <c r="O145" s="65">
        <f t="shared" si="31"/>
        <v>0.21806842518370667</v>
      </c>
      <c r="P145" s="65">
        <f t="shared" si="32"/>
        <v>0</v>
      </c>
      <c r="Q145" s="35">
        <f t="shared" si="33"/>
        <v>0</v>
      </c>
      <c r="R145" s="35">
        <f t="shared" si="48"/>
        <v>0</v>
      </c>
      <c r="S145" s="39">
        <v>226</v>
      </c>
      <c r="T145" s="36">
        <f t="shared" si="53"/>
        <v>184.2</v>
      </c>
      <c r="U145" s="9">
        <f t="shared" si="54"/>
        <v>3033.73</v>
      </c>
      <c r="V145" s="39">
        <v>3065225724.3299999</v>
      </c>
      <c r="W145" s="39">
        <v>20105</v>
      </c>
      <c r="X145" s="17">
        <f t="shared" si="36"/>
        <v>152460.87</v>
      </c>
      <c r="Y145" s="37">
        <f t="shared" si="37"/>
        <v>0.816608</v>
      </c>
      <c r="Z145" s="35">
        <v>79421</v>
      </c>
      <c r="AA145" s="37">
        <f t="shared" si="38"/>
        <v>0.68972</v>
      </c>
      <c r="AB145" s="37">
        <f t="shared" si="39"/>
        <v>0.22145799999999999</v>
      </c>
      <c r="AC145" s="71">
        <f t="shared" si="55"/>
        <v>0.22145799999999999</v>
      </c>
      <c r="AD145" s="38">
        <f t="shared" si="49"/>
        <v>0</v>
      </c>
      <c r="AE145" s="74">
        <f t="shared" si="50"/>
        <v>0.22145799999999999</v>
      </c>
      <c r="AF145" s="39">
        <v>0</v>
      </c>
      <c r="AG145" s="39">
        <v>0</v>
      </c>
      <c r="AH145" s="9">
        <f t="shared" si="41"/>
        <v>0</v>
      </c>
      <c r="AI145" s="11">
        <f t="shared" si="42"/>
        <v>0</v>
      </c>
      <c r="AJ145" s="11">
        <f t="shared" si="43"/>
        <v>7743000</v>
      </c>
      <c r="AK145" s="11">
        <f t="shared" si="44"/>
        <v>7743000</v>
      </c>
      <c r="AL145" s="35">
        <v>4250230</v>
      </c>
      <c r="AM145" s="11">
        <f t="shared" si="51"/>
        <v>3492770</v>
      </c>
      <c r="AN145" s="72" t="str">
        <f t="shared" si="52"/>
        <v>Yes</v>
      </c>
      <c r="AO145" s="35">
        <v>4638485</v>
      </c>
      <c r="AP145" s="35">
        <f t="shared" si="56"/>
        <v>372329.28200000001</v>
      </c>
      <c r="AQ145" s="35">
        <f t="shared" si="57"/>
        <v>5010814.2819999997</v>
      </c>
      <c r="AR145" s="35">
        <f t="shared" si="58"/>
        <v>5010814.2819999997</v>
      </c>
      <c r="AS145" s="66"/>
      <c r="AT145" s="67"/>
      <c r="AU145" s="35"/>
      <c r="AV145" s="68"/>
      <c r="AW145" s="35"/>
      <c r="AX145" s="21"/>
      <c r="AZ145" s="21"/>
      <c r="BA145" s="21"/>
      <c r="BE145" s="21"/>
      <c r="BF145" s="21"/>
      <c r="BG145" s="21"/>
      <c r="BH145" s="21"/>
      <c r="BI145" s="21"/>
    </row>
    <row r="146" spans="1:61" x14ac:dyDescent="0.4">
      <c r="A146" s="8" t="s">
        <v>117</v>
      </c>
      <c r="B146" s="8"/>
      <c r="C146" s="25"/>
      <c r="D146" s="25"/>
      <c r="E146" s="25"/>
      <c r="F146" s="1">
        <v>1</v>
      </c>
      <c r="G146" s="39">
        <v>165</v>
      </c>
      <c r="H146" s="8">
        <v>120</v>
      </c>
      <c r="I146" s="3" t="s">
        <v>245</v>
      </c>
      <c r="J146" s="70"/>
      <c r="K146" s="39">
        <v>181.63</v>
      </c>
      <c r="L146" s="75"/>
      <c r="M146" s="34"/>
      <c r="N146" s="39">
        <v>34</v>
      </c>
      <c r="O146" s="65">
        <f t="shared" si="31"/>
        <v>0.18719374552662005</v>
      </c>
      <c r="P146" s="65">
        <f t="shared" si="32"/>
        <v>0</v>
      </c>
      <c r="Q146" s="35">
        <f t="shared" si="33"/>
        <v>0</v>
      </c>
      <c r="R146" s="35">
        <f t="shared" si="48"/>
        <v>0</v>
      </c>
      <c r="S146" s="39">
        <v>2</v>
      </c>
      <c r="T146" s="36">
        <f t="shared" si="53"/>
        <v>10.199999999999999</v>
      </c>
      <c r="U146" s="9">
        <f t="shared" si="54"/>
        <v>192.13</v>
      </c>
      <c r="V146" s="39">
        <v>964643570.66999996</v>
      </c>
      <c r="W146" s="39">
        <v>2171</v>
      </c>
      <c r="X146" s="17">
        <f t="shared" si="36"/>
        <v>444331.45</v>
      </c>
      <c r="Y146" s="37">
        <f t="shared" si="37"/>
        <v>2.3799199999999998</v>
      </c>
      <c r="Z146" s="35">
        <v>119167</v>
      </c>
      <c r="AA146" s="37">
        <f t="shared" si="38"/>
        <v>1.0348889999999999</v>
      </c>
      <c r="AB146" s="37">
        <f t="shared" si="39"/>
        <v>-0.97641100000000003</v>
      </c>
      <c r="AC146" s="71">
        <f t="shared" si="55"/>
        <v>0.01</v>
      </c>
      <c r="AD146" s="38">
        <f t="shared" si="49"/>
        <v>0</v>
      </c>
      <c r="AE146" s="74">
        <f t="shared" si="50"/>
        <v>0.01</v>
      </c>
      <c r="AF146" s="39">
        <v>179</v>
      </c>
      <c r="AG146" s="39">
        <v>13</v>
      </c>
      <c r="AH146" s="9">
        <f t="shared" si="41"/>
        <v>100</v>
      </c>
      <c r="AI146" s="11">
        <f t="shared" si="42"/>
        <v>17900</v>
      </c>
      <c r="AJ146" s="11">
        <f t="shared" si="43"/>
        <v>22143</v>
      </c>
      <c r="AK146" s="11">
        <f t="shared" si="44"/>
        <v>40043</v>
      </c>
      <c r="AL146" s="35">
        <v>33612</v>
      </c>
      <c r="AM146" s="11">
        <f t="shared" si="51"/>
        <v>6431</v>
      </c>
      <c r="AN146" s="72" t="str">
        <f t="shared" si="52"/>
        <v>Yes</v>
      </c>
      <c r="AO146" s="35">
        <v>35361</v>
      </c>
      <c r="AP146" s="35">
        <f t="shared" si="56"/>
        <v>685.54459999999995</v>
      </c>
      <c r="AQ146" s="35">
        <f t="shared" si="57"/>
        <v>36046.544600000001</v>
      </c>
      <c r="AR146" s="35">
        <f t="shared" si="58"/>
        <v>36046.544600000001</v>
      </c>
      <c r="AS146" s="66"/>
      <c r="AT146" s="67"/>
      <c r="AU146" s="35"/>
      <c r="AV146" s="68"/>
      <c r="AW146" s="35"/>
      <c r="AX146" s="21"/>
      <c r="AZ146" s="21"/>
      <c r="BA146" s="21"/>
      <c r="BE146" s="21"/>
      <c r="BF146" s="21"/>
      <c r="BG146" s="21"/>
      <c r="BH146" s="21"/>
      <c r="BI146" s="21"/>
    </row>
    <row r="147" spans="1:61" x14ac:dyDescent="0.4">
      <c r="A147" s="8" t="s">
        <v>117</v>
      </c>
      <c r="B147" s="8"/>
      <c r="C147" s="25"/>
      <c r="D147" s="25"/>
      <c r="E147" s="25"/>
      <c r="F147" s="1">
        <v>5</v>
      </c>
      <c r="G147" s="39">
        <v>77</v>
      </c>
      <c r="H147" s="8">
        <v>121</v>
      </c>
      <c r="I147" s="3" t="s">
        <v>246</v>
      </c>
      <c r="J147" s="70"/>
      <c r="K147" s="39">
        <v>631.52</v>
      </c>
      <c r="L147" s="75"/>
      <c r="M147" s="34"/>
      <c r="N147" s="39">
        <v>115</v>
      </c>
      <c r="O147" s="65">
        <f t="shared" si="31"/>
        <v>0.182100329364074</v>
      </c>
      <c r="P147" s="65">
        <f t="shared" si="32"/>
        <v>0</v>
      </c>
      <c r="Q147" s="35">
        <f t="shared" si="33"/>
        <v>0</v>
      </c>
      <c r="R147" s="35">
        <f t="shared" si="48"/>
        <v>0</v>
      </c>
      <c r="S147" s="39">
        <v>2</v>
      </c>
      <c r="T147" s="36">
        <f t="shared" si="53"/>
        <v>34.5</v>
      </c>
      <c r="U147" s="9">
        <f t="shared" si="54"/>
        <v>666.31999999999994</v>
      </c>
      <c r="V147" s="39">
        <v>533503331.67000002</v>
      </c>
      <c r="W147" s="39">
        <v>4141</v>
      </c>
      <c r="X147" s="17">
        <f t="shared" si="36"/>
        <v>128834.42</v>
      </c>
      <c r="Y147" s="37">
        <f t="shared" si="37"/>
        <v>0.69006100000000004</v>
      </c>
      <c r="Z147" s="35">
        <v>106719</v>
      </c>
      <c r="AA147" s="37">
        <f t="shared" si="38"/>
        <v>0.926786</v>
      </c>
      <c r="AB147" s="37">
        <f t="shared" si="39"/>
        <v>0.238922</v>
      </c>
      <c r="AC147" s="71">
        <f t="shared" si="55"/>
        <v>0.238922</v>
      </c>
      <c r="AD147" s="38">
        <f t="shared" si="49"/>
        <v>0</v>
      </c>
      <c r="AE147" s="74">
        <f t="shared" si="50"/>
        <v>0.238922</v>
      </c>
      <c r="AF147" s="39">
        <v>0</v>
      </c>
      <c r="AG147" s="39">
        <v>0</v>
      </c>
      <c r="AH147" s="9">
        <f t="shared" si="41"/>
        <v>0</v>
      </c>
      <c r="AI147" s="11">
        <f t="shared" si="42"/>
        <v>0</v>
      </c>
      <c r="AJ147" s="11">
        <f t="shared" si="43"/>
        <v>1834763</v>
      </c>
      <c r="AK147" s="11">
        <f t="shared" si="44"/>
        <v>1834763</v>
      </c>
      <c r="AL147" s="35">
        <v>3049314</v>
      </c>
      <c r="AM147" s="11">
        <f t="shared" si="51"/>
        <v>1214551</v>
      </c>
      <c r="AN147" s="72" t="str">
        <f t="shared" si="52"/>
        <v>No</v>
      </c>
      <c r="AO147" s="35">
        <v>2626251</v>
      </c>
      <c r="AP147" s="35">
        <f t="shared" si="56"/>
        <v>101172.0983</v>
      </c>
      <c r="AQ147" s="35">
        <f t="shared" si="57"/>
        <v>2525078.9016999998</v>
      </c>
      <c r="AR147" s="35">
        <f t="shared" si="58"/>
        <v>2525078.9016999998</v>
      </c>
      <c r="AS147" s="66"/>
      <c r="AT147" s="67"/>
      <c r="AU147" s="35"/>
      <c r="AV147" s="68"/>
      <c r="AW147" s="35"/>
      <c r="AX147" s="21"/>
      <c r="AZ147" s="21"/>
      <c r="BA147" s="21"/>
      <c r="BE147" s="21"/>
      <c r="BF147" s="21"/>
      <c r="BG147" s="21"/>
      <c r="BH147" s="21"/>
      <c r="BI147" s="21"/>
    </row>
    <row r="148" spans="1:61" x14ac:dyDescent="0.4">
      <c r="A148" s="8" t="s">
        <v>121</v>
      </c>
      <c r="B148" s="8"/>
      <c r="C148" s="25"/>
      <c r="D148" s="25"/>
      <c r="E148" s="25"/>
      <c r="F148" s="1">
        <v>1</v>
      </c>
      <c r="G148" s="39">
        <v>162</v>
      </c>
      <c r="H148" s="8">
        <v>122</v>
      </c>
      <c r="I148" s="3" t="s">
        <v>247</v>
      </c>
      <c r="J148" s="70"/>
      <c r="K148" s="39">
        <v>336.27</v>
      </c>
      <c r="L148" s="75"/>
      <c r="M148" s="34"/>
      <c r="N148" s="39">
        <v>94</v>
      </c>
      <c r="O148" s="65">
        <f t="shared" si="31"/>
        <v>0.27953727659321381</v>
      </c>
      <c r="P148" s="65">
        <f t="shared" si="32"/>
        <v>0</v>
      </c>
      <c r="Q148" s="35">
        <f t="shared" si="33"/>
        <v>0</v>
      </c>
      <c r="R148" s="35">
        <f t="shared" si="48"/>
        <v>0</v>
      </c>
      <c r="S148" s="39">
        <v>11</v>
      </c>
      <c r="T148" s="36">
        <f t="shared" si="53"/>
        <v>28.2</v>
      </c>
      <c r="U148" s="9">
        <f t="shared" si="54"/>
        <v>366.11999999999995</v>
      </c>
      <c r="V148" s="39">
        <v>1778589943.6700001</v>
      </c>
      <c r="W148" s="39">
        <v>3623</v>
      </c>
      <c r="X148" s="17">
        <f t="shared" si="36"/>
        <v>490916.35</v>
      </c>
      <c r="Y148" s="37">
        <f t="shared" si="37"/>
        <v>2.6294369999999998</v>
      </c>
      <c r="Z148" s="35">
        <v>83217</v>
      </c>
      <c r="AA148" s="37">
        <f t="shared" si="38"/>
        <v>0.72268600000000005</v>
      </c>
      <c r="AB148" s="37">
        <f t="shared" si="39"/>
        <v>-1.057412</v>
      </c>
      <c r="AC148" s="71">
        <f t="shared" si="55"/>
        <v>0.01</v>
      </c>
      <c r="AD148" s="38">
        <f t="shared" si="49"/>
        <v>0</v>
      </c>
      <c r="AE148" s="74">
        <f t="shared" si="50"/>
        <v>0.01</v>
      </c>
      <c r="AF148" s="39">
        <v>71</v>
      </c>
      <c r="AG148" s="39">
        <v>4</v>
      </c>
      <c r="AH148" s="9">
        <f t="shared" si="41"/>
        <v>30.77</v>
      </c>
      <c r="AI148" s="11">
        <f t="shared" si="42"/>
        <v>2185</v>
      </c>
      <c r="AJ148" s="11">
        <f t="shared" si="43"/>
        <v>42195</v>
      </c>
      <c r="AK148" s="11">
        <f t="shared" si="44"/>
        <v>44380</v>
      </c>
      <c r="AL148" s="35">
        <v>10871</v>
      </c>
      <c r="AM148" s="11">
        <f t="shared" si="51"/>
        <v>33509</v>
      </c>
      <c r="AN148" s="72" t="str">
        <f t="shared" si="52"/>
        <v>Yes</v>
      </c>
      <c r="AO148" s="35">
        <v>15958</v>
      </c>
      <c r="AP148" s="35">
        <f t="shared" si="56"/>
        <v>3572.0594000000001</v>
      </c>
      <c r="AQ148" s="35">
        <f t="shared" si="57"/>
        <v>19530.059399999998</v>
      </c>
      <c r="AR148" s="35">
        <f t="shared" si="58"/>
        <v>19530.059399999998</v>
      </c>
      <c r="AS148" s="66"/>
      <c r="AT148" s="67"/>
      <c r="AU148" s="35"/>
      <c r="AV148" s="68"/>
      <c r="AW148" s="35"/>
      <c r="AX148" s="21"/>
      <c r="AZ148" s="21"/>
      <c r="BA148" s="21"/>
      <c r="BE148" s="21"/>
      <c r="BF148" s="21"/>
      <c r="BG148" s="21"/>
      <c r="BH148" s="21"/>
      <c r="BI148" s="21"/>
    </row>
    <row r="149" spans="1:61" x14ac:dyDescent="0.4">
      <c r="A149" s="8" t="s">
        <v>121</v>
      </c>
      <c r="B149" s="8"/>
      <c r="C149" s="25"/>
      <c r="D149" s="25"/>
      <c r="E149" s="25"/>
      <c r="F149" s="1">
        <v>8</v>
      </c>
      <c r="G149" s="39">
        <v>28</v>
      </c>
      <c r="H149" s="8">
        <v>123</v>
      </c>
      <c r="I149" s="3" t="s">
        <v>248</v>
      </c>
      <c r="J149" s="70"/>
      <c r="K149" s="39">
        <v>184.76</v>
      </c>
      <c r="L149" s="76"/>
      <c r="M149" s="34"/>
      <c r="N149" s="39">
        <v>72</v>
      </c>
      <c r="O149" s="65">
        <f t="shared" si="31"/>
        <v>0.38969473912102187</v>
      </c>
      <c r="P149" s="65">
        <f t="shared" si="32"/>
        <v>0</v>
      </c>
      <c r="Q149" s="35">
        <f t="shared" si="33"/>
        <v>0</v>
      </c>
      <c r="R149" s="35">
        <f t="shared" si="48"/>
        <v>0</v>
      </c>
      <c r="S149" s="39">
        <v>1</v>
      </c>
      <c r="T149" s="36">
        <f t="shared" si="53"/>
        <v>21.6</v>
      </c>
      <c r="U149" s="9">
        <f t="shared" si="54"/>
        <v>206.51</v>
      </c>
      <c r="V149" s="39">
        <v>164179568</v>
      </c>
      <c r="W149" s="39">
        <v>1677</v>
      </c>
      <c r="X149" s="17">
        <f t="shared" si="36"/>
        <v>97900.76</v>
      </c>
      <c r="Y149" s="37">
        <f t="shared" si="37"/>
        <v>0.52437400000000001</v>
      </c>
      <c r="Z149" s="35">
        <v>85714</v>
      </c>
      <c r="AA149" s="37">
        <f t="shared" si="38"/>
        <v>0.744371</v>
      </c>
      <c r="AB149" s="37">
        <f t="shared" si="39"/>
        <v>0.40962700000000002</v>
      </c>
      <c r="AC149" s="71">
        <f t="shared" si="55"/>
        <v>0.40962700000000002</v>
      </c>
      <c r="AD149" s="38">
        <f t="shared" si="49"/>
        <v>0</v>
      </c>
      <c r="AE149" s="74">
        <f t="shared" si="50"/>
        <v>0.40962700000000002</v>
      </c>
      <c r="AF149" s="39">
        <v>88</v>
      </c>
      <c r="AG149" s="39">
        <v>6</v>
      </c>
      <c r="AH149" s="9">
        <f t="shared" si="41"/>
        <v>46.15</v>
      </c>
      <c r="AI149" s="11">
        <f t="shared" si="42"/>
        <v>4061</v>
      </c>
      <c r="AJ149" s="11">
        <f t="shared" si="43"/>
        <v>974924</v>
      </c>
      <c r="AK149" s="11">
        <f t="shared" si="44"/>
        <v>978985</v>
      </c>
      <c r="AL149" s="35">
        <v>1423001</v>
      </c>
      <c r="AM149" s="11">
        <f t="shared" si="51"/>
        <v>444016</v>
      </c>
      <c r="AN149" s="72" t="str">
        <f t="shared" si="52"/>
        <v>No</v>
      </c>
      <c r="AO149" s="35">
        <v>1311658</v>
      </c>
      <c r="AP149" s="35">
        <f t="shared" si="56"/>
        <v>36986.532800000001</v>
      </c>
      <c r="AQ149" s="35">
        <f t="shared" si="57"/>
        <v>1274671.4672000001</v>
      </c>
      <c r="AR149" s="35">
        <f t="shared" si="58"/>
        <v>1274671.4672000001</v>
      </c>
      <c r="AS149" s="66"/>
      <c r="AT149" s="67"/>
      <c r="AU149" s="35"/>
      <c r="AV149" s="68"/>
      <c r="AW149" s="35"/>
      <c r="AX149" s="21"/>
      <c r="AZ149" s="21"/>
      <c r="BA149" s="21"/>
      <c r="BE149" s="21"/>
      <c r="BF149" s="21"/>
      <c r="BG149" s="21"/>
      <c r="BH149" s="21"/>
      <c r="BI149" s="21"/>
    </row>
    <row r="150" spans="1:61" x14ac:dyDescent="0.4">
      <c r="A150" s="8" t="s">
        <v>145</v>
      </c>
      <c r="B150" s="8"/>
      <c r="C150" s="25"/>
      <c r="D150" s="25"/>
      <c r="E150" s="25"/>
      <c r="F150" s="1">
        <v>8</v>
      </c>
      <c r="G150" s="39">
        <v>32</v>
      </c>
      <c r="H150" s="8">
        <v>124</v>
      </c>
      <c r="I150" s="3" t="s">
        <v>249</v>
      </c>
      <c r="J150" s="70"/>
      <c r="K150" s="39">
        <v>2276.41</v>
      </c>
      <c r="L150" s="76"/>
      <c r="M150" s="34"/>
      <c r="N150" s="39">
        <v>905</v>
      </c>
      <c r="O150" s="65">
        <f t="shared" si="31"/>
        <v>0.39755580058073897</v>
      </c>
      <c r="P150" s="65">
        <f t="shared" si="32"/>
        <v>0</v>
      </c>
      <c r="Q150" s="35">
        <f t="shared" si="33"/>
        <v>0</v>
      </c>
      <c r="R150" s="35">
        <f t="shared" si="48"/>
        <v>0</v>
      </c>
      <c r="S150" s="39">
        <v>84</v>
      </c>
      <c r="T150" s="36">
        <f t="shared" si="53"/>
        <v>271.5</v>
      </c>
      <c r="U150" s="9">
        <f t="shared" si="54"/>
        <v>2560.5099999999998</v>
      </c>
      <c r="V150" s="39">
        <v>1760276387</v>
      </c>
      <c r="W150" s="39">
        <v>16583</v>
      </c>
      <c r="X150" s="17">
        <f t="shared" si="36"/>
        <v>106149.45</v>
      </c>
      <c r="Y150" s="37">
        <f t="shared" si="37"/>
        <v>0.56855599999999995</v>
      </c>
      <c r="Z150" s="35">
        <v>75550</v>
      </c>
      <c r="AA150" s="37">
        <f t="shared" si="38"/>
        <v>0.65610299999999999</v>
      </c>
      <c r="AB150" s="37">
        <f t="shared" si="39"/>
        <v>0.40517999999999998</v>
      </c>
      <c r="AC150" s="71">
        <f t="shared" si="55"/>
        <v>0.40517999999999998</v>
      </c>
      <c r="AD150" s="38">
        <f t="shared" si="49"/>
        <v>0</v>
      </c>
      <c r="AE150" s="74">
        <f t="shared" si="50"/>
        <v>0.40517999999999998</v>
      </c>
      <c r="AF150" s="39">
        <v>0</v>
      </c>
      <c r="AG150" s="39">
        <v>0</v>
      </c>
      <c r="AH150" s="9">
        <f t="shared" si="41"/>
        <v>0</v>
      </c>
      <c r="AI150" s="11">
        <f t="shared" si="42"/>
        <v>0</v>
      </c>
      <c r="AJ150" s="11">
        <f t="shared" si="43"/>
        <v>11956812</v>
      </c>
      <c r="AK150" s="11">
        <f t="shared" si="44"/>
        <v>11956812</v>
      </c>
      <c r="AL150" s="35">
        <v>10040987</v>
      </c>
      <c r="AM150" s="11">
        <f t="shared" si="51"/>
        <v>1915825</v>
      </c>
      <c r="AN150" s="72" t="str">
        <f t="shared" si="52"/>
        <v>Yes</v>
      </c>
      <c r="AO150" s="35">
        <v>10218859</v>
      </c>
      <c r="AP150" s="35">
        <f t="shared" si="56"/>
        <v>204226.94500000001</v>
      </c>
      <c r="AQ150" s="35">
        <f t="shared" si="57"/>
        <v>10423085.945</v>
      </c>
      <c r="AR150" s="35">
        <f t="shared" si="58"/>
        <v>10423085.945</v>
      </c>
      <c r="AS150" s="66"/>
      <c r="AT150" s="67"/>
      <c r="AU150" s="35"/>
      <c r="AV150" s="68"/>
      <c r="AW150" s="35"/>
      <c r="AX150" s="21"/>
      <c r="AZ150" s="21"/>
      <c r="BA150" s="21"/>
      <c r="BE150" s="21"/>
      <c r="BF150" s="21"/>
      <c r="BG150" s="21"/>
      <c r="BH150" s="21"/>
      <c r="BI150" s="21"/>
    </row>
    <row r="151" spans="1:61" x14ac:dyDescent="0.4">
      <c r="A151" s="8" t="s">
        <v>121</v>
      </c>
      <c r="B151" s="8"/>
      <c r="C151" s="25"/>
      <c r="D151" s="25"/>
      <c r="E151" s="25"/>
      <c r="F151" s="1">
        <v>1</v>
      </c>
      <c r="G151" s="39">
        <v>163</v>
      </c>
      <c r="H151" s="8">
        <v>125</v>
      </c>
      <c r="I151" s="3" t="s">
        <v>250</v>
      </c>
      <c r="J151" s="70"/>
      <c r="K151" s="39">
        <v>153.62</v>
      </c>
      <c r="L151" s="75"/>
      <c r="M151" s="34"/>
      <c r="N151" s="39">
        <v>63</v>
      </c>
      <c r="O151" s="65">
        <f t="shared" si="31"/>
        <v>0.41010285119125112</v>
      </c>
      <c r="P151" s="65">
        <f t="shared" si="32"/>
        <v>0</v>
      </c>
      <c r="Q151" s="35">
        <f t="shared" si="33"/>
        <v>0</v>
      </c>
      <c r="R151" s="35">
        <f t="shared" si="48"/>
        <v>0</v>
      </c>
      <c r="S151" s="39">
        <v>1</v>
      </c>
      <c r="T151" s="36">
        <f t="shared" si="53"/>
        <v>18.899999999999999</v>
      </c>
      <c r="U151" s="9">
        <f t="shared" si="54"/>
        <v>172.67000000000002</v>
      </c>
      <c r="V151" s="39">
        <v>1023780392.67</v>
      </c>
      <c r="W151" s="39">
        <v>2718</v>
      </c>
      <c r="X151" s="17">
        <f t="shared" si="36"/>
        <v>376666.81</v>
      </c>
      <c r="Y151" s="37">
        <f t="shared" si="37"/>
        <v>2.017496</v>
      </c>
      <c r="Z151" s="35">
        <v>81442</v>
      </c>
      <c r="AA151" s="37">
        <f t="shared" si="38"/>
        <v>0.70727099999999998</v>
      </c>
      <c r="AB151" s="37">
        <f t="shared" si="39"/>
        <v>-0.62442900000000001</v>
      </c>
      <c r="AC151" s="71">
        <f t="shared" si="55"/>
        <v>0.01</v>
      </c>
      <c r="AD151" s="38">
        <f t="shared" si="49"/>
        <v>0</v>
      </c>
      <c r="AE151" s="74">
        <f t="shared" si="50"/>
        <v>0.01</v>
      </c>
      <c r="AF151" s="39">
        <v>54</v>
      </c>
      <c r="AG151" s="39">
        <v>4</v>
      </c>
      <c r="AH151" s="9">
        <f t="shared" si="41"/>
        <v>30.77</v>
      </c>
      <c r="AI151" s="11">
        <f t="shared" si="42"/>
        <v>1662</v>
      </c>
      <c r="AJ151" s="11">
        <f t="shared" si="43"/>
        <v>19900</v>
      </c>
      <c r="AK151" s="11">
        <f t="shared" si="44"/>
        <v>21562</v>
      </c>
      <c r="AL151" s="35">
        <v>9960</v>
      </c>
      <c r="AM151" s="11">
        <f t="shared" si="51"/>
        <v>11602</v>
      </c>
      <c r="AN151" s="72" t="str">
        <f t="shared" si="52"/>
        <v>Yes</v>
      </c>
      <c r="AO151" s="35">
        <v>12200</v>
      </c>
      <c r="AP151" s="35">
        <f t="shared" si="56"/>
        <v>1236.7732000000001</v>
      </c>
      <c r="AQ151" s="35">
        <f t="shared" si="57"/>
        <v>13436.7732</v>
      </c>
      <c r="AR151" s="35">
        <f t="shared" si="58"/>
        <v>13436.7732</v>
      </c>
      <c r="AS151" s="66"/>
      <c r="AT151" s="67"/>
      <c r="AU151" s="35"/>
      <c r="AV151" s="68"/>
      <c r="AW151" s="35"/>
      <c r="AX151" s="21"/>
      <c r="AZ151" s="21"/>
      <c r="BA151" s="21"/>
      <c r="BE151" s="21"/>
      <c r="BF151" s="21"/>
      <c r="BG151" s="21"/>
      <c r="BH151" s="21"/>
      <c r="BI151" s="21"/>
    </row>
    <row r="152" spans="1:61" x14ac:dyDescent="0.4">
      <c r="A152" s="8" t="s">
        <v>127</v>
      </c>
      <c r="B152" s="8"/>
      <c r="C152" s="25"/>
      <c r="D152" s="25"/>
      <c r="E152" s="25"/>
      <c r="F152" s="1">
        <v>4</v>
      </c>
      <c r="G152" s="39">
        <v>109</v>
      </c>
      <c r="H152" s="8">
        <v>126</v>
      </c>
      <c r="I152" s="3" t="s">
        <v>251</v>
      </c>
      <c r="J152" s="70"/>
      <c r="K152" s="39">
        <v>4866.08</v>
      </c>
      <c r="L152" s="75"/>
      <c r="M152" s="34"/>
      <c r="N152" s="39">
        <v>1508</v>
      </c>
      <c r="O152" s="65">
        <f t="shared" si="31"/>
        <v>0.30990037155163913</v>
      </c>
      <c r="P152" s="65">
        <f t="shared" si="32"/>
        <v>0</v>
      </c>
      <c r="Q152" s="35">
        <f t="shared" si="33"/>
        <v>0</v>
      </c>
      <c r="R152" s="35">
        <f t="shared" si="48"/>
        <v>0</v>
      </c>
      <c r="S152" s="39">
        <v>260</v>
      </c>
      <c r="T152" s="36">
        <f t="shared" si="53"/>
        <v>452.4</v>
      </c>
      <c r="U152" s="9">
        <f t="shared" si="54"/>
        <v>5357.48</v>
      </c>
      <c r="V152" s="39">
        <v>6915192554</v>
      </c>
      <c r="W152" s="39">
        <v>41397</v>
      </c>
      <c r="X152" s="17">
        <f t="shared" si="36"/>
        <v>167045.74</v>
      </c>
      <c r="Y152" s="37">
        <f t="shared" si="37"/>
        <v>0.89472700000000005</v>
      </c>
      <c r="Z152" s="35">
        <v>89250</v>
      </c>
      <c r="AA152" s="37">
        <f t="shared" si="38"/>
        <v>0.77507899999999996</v>
      </c>
      <c r="AB152" s="37">
        <f t="shared" si="39"/>
        <v>0.14116699999999999</v>
      </c>
      <c r="AC152" s="71">
        <f t="shared" si="55"/>
        <v>0.14116699999999999</v>
      </c>
      <c r="AD152" s="38">
        <f t="shared" si="49"/>
        <v>0</v>
      </c>
      <c r="AE152" s="74">
        <f t="shared" si="50"/>
        <v>0.14116699999999999</v>
      </c>
      <c r="AF152" s="39">
        <v>0</v>
      </c>
      <c r="AG152" s="39">
        <v>0</v>
      </c>
      <c r="AH152" s="9">
        <f t="shared" si="41"/>
        <v>0</v>
      </c>
      <c r="AI152" s="11">
        <f t="shared" si="42"/>
        <v>0</v>
      </c>
      <c r="AJ152" s="11">
        <f t="shared" si="43"/>
        <v>8716350</v>
      </c>
      <c r="AK152" s="11">
        <f t="shared" si="44"/>
        <v>8716350</v>
      </c>
      <c r="AL152" s="35">
        <v>5893771</v>
      </c>
      <c r="AM152" s="11">
        <f t="shared" si="51"/>
        <v>2822579</v>
      </c>
      <c r="AN152" s="72" t="str">
        <f t="shared" si="52"/>
        <v>Yes</v>
      </c>
      <c r="AO152" s="35">
        <v>6340945</v>
      </c>
      <c r="AP152" s="35">
        <f t="shared" si="56"/>
        <v>300886.92139999999</v>
      </c>
      <c r="AQ152" s="35">
        <f t="shared" si="57"/>
        <v>6641831.9214000003</v>
      </c>
      <c r="AR152" s="35">
        <f t="shared" si="58"/>
        <v>6641831.9214000003</v>
      </c>
      <c r="AS152" s="66"/>
      <c r="AT152" s="67"/>
      <c r="AU152" s="35"/>
      <c r="AV152" s="68"/>
      <c r="AW152" s="35"/>
      <c r="AX152" s="21"/>
      <c r="AZ152" s="21"/>
      <c r="BA152" s="21"/>
      <c r="BE152" s="21"/>
      <c r="BF152" s="21"/>
      <c r="BG152" s="21"/>
      <c r="BH152" s="21"/>
      <c r="BI152" s="21"/>
    </row>
    <row r="153" spans="1:61" x14ac:dyDescent="0.4">
      <c r="A153" s="8" t="s">
        <v>117</v>
      </c>
      <c r="B153" s="8"/>
      <c r="C153" s="25"/>
      <c r="D153" s="25"/>
      <c r="E153" s="25"/>
      <c r="F153" s="1">
        <v>2</v>
      </c>
      <c r="G153" s="39">
        <v>158</v>
      </c>
      <c r="H153" s="8">
        <v>127</v>
      </c>
      <c r="I153" s="3" t="s">
        <v>252</v>
      </c>
      <c r="J153" s="70"/>
      <c r="K153" s="39">
        <v>391.73</v>
      </c>
      <c r="L153" s="75"/>
      <c r="M153" s="34"/>
      <c r="N153" s="39">
        <v>24</v>
      </c>
      <c r="O153" s="65">
        <f t="shared" si="31"/>
        <v>6.126668879074873E-2</v>
      </c>
      <c r="P153" s="65">
        <f t="shared" si="32"/>
        <v>0</v>
      </c>
      <c r="Q153" s="35">
        <f t="shared" si="33"/>
        <v>0</v>
      </c>
      <c r="R153" s="35">
        <f t="shared" si="48"/>
        <v>0</v>
      </c>
      <c r="S153" s="39">
        <v>5</v>
      </c>
      <c r="T153" s="36">
        <f t="shared" si="53"/>
        <v>7.2</v>
      </c>
      <c r="U153" s="9">
        <f t="shared" si="54"/>
        <v>399.68</v>
      </c>
      <c r="V153" s="39">
        <v>1015162090.67</v>
      </c>
      <c r="W153" s="39">
        <v>3643</v>
      </c>
      <c r="X153" s="17">
        <f t="shared" si="36"/>
        <v>278661.02</v>
      </c>
      <c r="Y153" s="37">
        <f t="shared" si="37"/>
        <v>1.492559</v>
      </c>
      <c r="Z153" s="35">
        <v>113636</v>
      </c>
      <c r="AA153" s="37">
        <f t="shared" si="38"/>
        <v>0.98685500000000004</v>
      </c>
      <c r="AB153" s="37">
        <f t="shared" si="39"/>
        <v>-0.34084799999999998</v>
      </c>
      <c r="AC153" s="71">
        <f t="shared" si="55"/>
        <v>0.01</v>
      </c>
      <c r="AD153" s="38">
        <f t="shared" si="49"/>
        <v>0</v>
      </c>
      <c r="AE153" s="74">
        <f t="shared" si="50"/>
        <v>0.01</v>
      </c>
      <c r="AF153" s="39">
        <v>0</v>
      </c>
      <c r="AG153" s="39">
        <v>0</v>
      </c>
      <c r="AH153" s="9">
        <f t="shared" si="41"/>
        <v>0</v>
      </c>
      <c r="AI153" s="11">
        <f t="shared" si="42"/>
        <v>0</v>
      </c>
      <c r="AJ153" s="11">
        <f t="shared" si="43"/>
        <v>46063</v>
      </c>
      <c r="AK153" s="11">
        <f t="shared" si="44"/>
        <v>46063</v>
      </c>
      <c r="AL153" s="35">
        <v>46611</v>
      </c>
      <c r="AM153" s="11">
        <f t="shared" si="51"/>
        <v>548</v>
      </c>
      <c r="AN153" s="72" t="str">
        <f t="shared" si="52"/>
        <v>No</v>
      </c>
      <c r="AO153" s="35">
        <v>47041</v>
      </c>
      <c r="AP153" s="35">
        <f t="shared" si="56"/>
        <v>45.648400000000002</v>
      </c>
      <c r="AQ153" s="35">
        <f t="shared" si="57"/>
        <v>46995.351600000002</v>
      </c>
      <c r="AR153" s="35">
        <f t="shared" si="58"/>
        <v>46995.351600000002</v>
      </c>
      <c r="AS153" s="66"/>
      <c r="AT153" s="67"/>
      <c r="AU153" s="35"/>
      <c r="AV153" s="68"/>
      <c r="AW153" s="35"/>
      <c r="AX153" s="21"/>
      <c r="AZ153" s="21"/>
      <c r="BA153" s="21"/>
      <c r="BE153" s="21"/>
      <c r="BF153" s="21"/>
      <c r="BG153" s="21"/>
      <c r="BH153" s="21"/>
      <c r="BI153" s="21"/>
    </row>
    <row r="154" spans="1:61" x14ac:dyDescent="0.4">
      <c r="A154" s="8" t="s">
        <v>123</v>
      </c>
      <c r="B154" s="8"/>
      <c r="C154" s="25"/>
      <c r="D154" s="25"/>
      <c r="E154" s="25"/>
      <c r="F154" s="1">
        <v>3</v>
      </c>
      <c r="G154" s="39">
        <v>136</v>
      </c>
      <c r="H154" s="8">
        <v>128</v>
      </c>
      <c r="I154" s="3" t="s">
        <v>253</v>
      </c>
      <c r="J154" s="70"/>
      <c r="K154" s="39">
        <v>4105.9399999999996</v>
      </c>
      <c r="L154" s="75"/>
      <c r="M154" s="34"/>
      <c r="N154" s="39">
        <v>497</v>
      </c>
      <c r="O154" s="65">
        <f t="shared" si="31"/>
        <v>0.12104414579852606</v>
      </c>
      <c r="P154" s="65">
        <f t="shared" si="32"/>
        <v>0</v>
      </c>
      <c r="Q154" s="35">
        <f t="shared" si="33"/>
        <v>0</v>
      </c>
      <c r="R154" s="35">
        <f t="shared" si="48"/>
        <v>0</v>
      </c>
      <c r="S154" s="39">
        <v>61</v>
      </c>
      <c r="T154" s="36">
        <f t="shared" si="53"/>
        <v>149.1</v>
      </c>
      <c r="U154" s="9">
        <f t="shared" si="54"/>
        <v>4264.1899999999996</v>
      </c>
      <c r="V154" s="39">
        <v>3573966645.3299999</v>
      </c>
      <c r="W154" s="39">
        <v>24952</v>
      </c>
      <c r="X154" s="17">
        <f t="shared" si="36"/>
        <v>143233.67000000001</v>
      </c>
      <c r="Y154" s="37">
        <f t="shared" si="37"/>
        <v>0.76718600000000003</v>
      </c>
      <c r="Z154" s="35">
        <v>116444</v>
      </c>
      <c r="AA154" s="37">
        <f t="shared" si="38"/>
        <v>1.0112410000000001</v>
      </c>
      <c r="AB154" s="37">
        <f t="shared" si="39"/>
        <v>0.15959799999999999</v>
      </c>
      <c r="AC154" s="71">
        <f t="shared" si="55"/>
        <v>0.15959799999999999</v>
      </c>
      <c r="AD154" s="38">
        <f t="shared" si="49"/>
        <v>0</v>
      </c>
      <c r="AE154" s="74">
        <f t="shared" si="50"/>
        <v>0.15959799999999999</v>
      </c>
      <c r="AF154" s="39">
        <v>0</v>
      </c>
      <c r="AG154" s="39">
        <v>0</v>
      </c>
      <c r="AH154" s="9">
        <f t="shared" si="41"/>
        <v>0</v>
      </c>
      <c r="AI154" s="11">
        <f t="shared" si="42"/>
        <v>0</v>
      </c>
      <c r="AJ154" s="11">
        <f t="shared" si="43"/>
        <v>7843410</v>
      </c>
      <c r="AK154" s="11">
        <f t="shared" si="44"/>
        <v>7843410</v>
      </c>
      <c r="AL154" s="35">
        <v>6087799</v>
      </c>
      <c r="AM154" s="11">
        <f t="shared" si="51"/>
        <v>1755611</v>
      </c>
      <c r="AN154" s="72" t="str">
        <f t="shared" si="52"/>
        <v>Yes</v>
      </c>
      <c r="AO154" s="35">
        <v>6129867</v>
      </c>
      <c r="AP154" s="35">
        <f t="shared" si="56"/>
        <v>187148.13260000001</v>
      </c>
      <c r="AQ154" s="35">
        <f t="shared" si="57"/>
        <v>6317015.1326000001</v>
      </c>
      <c r="AR154" s="35">
        <f t="shared" si="58"/>
        <v>6317015.1326000001</v>
      </c>
      <c r="AS154" s="66"/>
      <c r="AT154" s="67"/>
      <c r="AU154" s="35"/>
      <c r="AV154" s="68"/>
      <c r="AW154" s="35"/>
      <c r="AX154" s="21"/>
      <c r="AZ154" s="21"/>
      <c r="BA154" s="21"/>
      <c r="BE154" s="21"/>
      <c r="BF154" s="21"/>
      <c r="BG154" s="21"/>
      <c r="BH154" s="21"/>
      <c r="BI154" s="21"/>
    </row>
    <row r="155" spans="1:61" x14ac:dyDescent="0.4">
      <c r="A155" s="8" t="s">
        <v>117</v>
      </c>
      <c r="B155" s="8"/>
      <c r="C155" s="25"/>
      <c r="D155" s="25"/>
      <c r="E155" s="25"/>
      <c r="F155" s="1">
        <v>6</v>
      </c>
      <c r="G155" s="39">
        <v>99</v>
      </c>
      <c r="H155" s="8">
        <v>129</v>
      </c>
      <c r="I155" s="3" t="s">
        <v>254</v>
      </c>
      <c r="J155" s="70"/>
      <c r="K155" s="39">
        <v>1342.46</v>
      </c>
      <c r="L155" s="75"/>
      <c r="M155" s="34"/>
      <c r="N155" s="39">
        <v>131</v>
      </c>
      <c r="O155" s="65">
        <f t="shared" ref="O155:O195" si="59">N155/K155</f>
        <v>9.7582050861850636E-2</v>
      </c>
      <c r="P155" s="65">
        <f t="shared" ref="P155:P195" si="60">IF(O155&gt;0.75,+O155-0.75,0)</f>
        <v>0</v>
      </c>
      <c r="Q155" s="35">
        <f t="shared" ref="Q155:Q195" si="61">P155*K155</f>
        <v>0</v>
      </c>
      <c r="R155" s="35">
        <f t="shared" si="48"/>
        <v>0</v>
      </c>
      <c r="S155" s="39">
        <v>9</v>
      </c>
      <c r="T155" s="36">
        <f t="shared" ref="T155:T186" si="62">ROUND(N155*$T$2,2)</f>
        <v>39.299999999999997</v>
      </c>
      <c r="U155" s="9">
        <f t="shared" ref="U155:U186" si="63">K155+T155+0.15*S155+0.05*Q155</f>
        <v>1383.11</v>
      </c>
      <c r="V155" s="39">
        <v>1267723059.3299999</v>
      </c>
      <c r="W155" s="39">
        <v>11106</v>
      </c>
      <c r="X155" s="17">
        <f t="shared" ref="X155:X195" si="64">ROUND(V155/W155,2)</f>
        <v>114147.58</v>
      </c>
      <c r="Y155" s="37">
        <f t="shared" ref="Y155:Y195" si="65">(ROUND(X155/$Y$21,6))</f>
        <v>0.61139500000000002</v>
      </c>
      <c r="Z155" s="35">
        <v>101897</v>
      </c>
      <c r="AA155" s="37">
        <f t="shared" ref="AA155:AA195" si="66">(ROUND(Z155/$AA$21,6))</f>
        <v>0.88490999999999997</v>
      </c>
      <c r="AB155" s="37">
        <f t="shared" ref="AB155:AB195" si="67">ROUND(1-((Y155*$T$4)+(AA155*$T$5)),6)</f>
        <v>0.30655100000000002</v>
      </c>
      <c r="AC155" s="71">
        <f t="shared" ref="AC155:AC186" si="68">IF(C155=1,MAX($T$7,AB155),MAX($T$6,AB155))</f>
        <v>0.30655100000000002</v>
      </c>
      <c r="AD155" s="38">
        <f t="shared" si="49"/>
        <v>0</v>
      </c>
      <c r="AE155" s="74">
        <f t="shared" si="50"/>
        <v>0.30655100000000002</v>
      </c>
      <c r="AF155" s="39">
        <v>0</v>
      </c>
      <c r="AG155" s="39">
        <v>0</v>
      </c>
      <c r="AH155" s="9">
        <f t="shared" ref="AH155:AH195" si="69">ROUND((AG155/13)*100,2)</f>
        <v>0</v>
      </c>
      <c r="AI155" s="11">
        <f t="shared" ref="AI155:AI195" si="70">ROUND(AF155*AH155,0)</f>
        <v>0</v>
      </c>
      <c r="AJ155" s="11">
        <f t="shared" ref="AJ155:AJ195" si="71">ROUND(U155*AE155*$AJ$21,0)</f>
        <v>4886528</v>
      </c>
      <c r="AK155" s="11">
        <f t="shared" ref="AK155:AK195" si="72">IF(AJ155=0, 0,AI155+AJ155)</f>
        <v>4886528</v>
      </c>
      <c r="AL155" s="35">
        <v>5929453</v>
      </c>
      <c r="AM155" s="11">
        <f t="shared" si="51"/>
        <v>1042925</v>
      </c>
      <c r="AN155" s="72" t="str">
        <f t="shared" si="52"/>
        <v>No</v>
      </c>
      <c r="AO155" s="35">
        <v>5779507</v>
      </c>
      <c r="AP155" s="35">
        <f t="shared" ref="AP155:AP186" si="73">IF(AN155="Yes",+AM155*$L$9,+AM155*$L$10)</f>
        <v>86875.652499999997</v>
      </c>
      <c r="AQ155" s="35">
        <f t="shared" ref="AQ155:AQ186" si="74">IF(AN155="Yes",+AO155+AP155,+AO155-AP155)</f>
        <v>5692631.3475000001</v>
      </c>
      <c r="AR155" s="35">
        <f t="shared" ref="AR155:AR186" si="75">IF(C155=1,MAX(AQ155,AL155),AQ155)</f>
        <v>5692631.3475000001</v>
      </c>
      <c r="AS155" s="66"/>
      <c r="AT155" s="67"/>
      <c r="AU155" s="35"/>
      <c r="AV155" s="68"/>
      <c r="AW155" s="35"/>
      <c r="AX155" s="21"/>
      <c r="AZ155" s="21"/>
      <c r="BA155" s="21"/>
      <c r="BE155" s="21"/>
      <c r="BF155" s="21"/>
      <c r="BG155" s="21"/>
      <c r="BH155" s="21"/>
      <c r="BI155" s="21"/>
    </row>
    <row r="156" spans="1:61" x14ac:dyDescent="0.4">
      <c r="A156" s="8" t="s">
        <v>123</v>
      </c>
      <c r="B156" s="8"/>
      <c r="C156" s="25"/>
      <c r="D156" s="25"/>
      <c r="E156" s="25"/>
      <c r="F156" s="1">
        <v>5</v>
      </c>
      <c r="G156" s="39">
        <v>86</v>
      </c>
      <c r="H156" s="8">
        <v>130</v>
      </c>
      <c r="I156" s="3" t="s">
        <v>255</v>
      </c>
      <c r="J156" s="70"/>
      <c r="K156" s="39">
        <v>2431.33</v>
      </c>
      <c r="L156" s="75"/>
      <c r="M156" s="34"/>
      <c r="N156" s="39">
        <v>297</v>
      </c>
      <c r="O156" s="65">
        <f t="shared" si="59"/>
        <v>0.12215536352531331</v>
      </c>
      <c r="P156" s="65">
        <f t="shared" si="60"/>
        <v>0</v>
      </c>
      <c r="Q156" s="35">
        <f t="shared" si="61"/>
        <v>0</v>
      </c>
      <c r="R156" s="35">
        <f t="shared" ref="R156:R195" si="76">Q156*0.05</f>
        <v>0</v>
      </c>
      <c r="S156" s="39">
        <v>18</v>
      </c>
      <c r="T156" s="36">
        <f t="shared" si="62"/>
        <v>89.1</v>
      </c>
      <c r="U156" s="9">
        <f t="shared" si="63"/>
        <v>2523.1299999999997</v>
      </c>
      <c r="V156" s="39">
        <v>3149753134.3299999</v>
      </c>
      <c r="W156" s="39">
        <v>19571</v>
      </c>
      <c r="X156" s="17">
        <f t="shared" si="64"/>
        <v>160939.82</v>
      </c>
      <c r="Y156" s="37">
        <f t="shared" si="65"/>
        <v>0.86202299999999998</v>
      </c>
      <c r="Z156" s="35">
        <v>90324</v>
      </c>
      <c r="AA156" s="37">
        <f t="shared" si="66"/>
        <v>0.78440600000000005</v>
      </c>
      <c r="AB156" s="37">
        <f t="shared" si="67"/>
        <v>0.16126199999999999</v>
      </c>
      <c r="AC156" s="71">
        <f t="shared" si="68"/>
        <v>0.16126199999999999</v>
      </c>
      <c r="AD156" s="38">
        <f t="shared" ref="AD156:AD195" si="77">IF(G156&gt;=1,IF(G156&lt;=5,0.06,IF(G156&lt;=10,0.05,IF(G156&lt;=15,0.04,IF(G156&lt;=19,0.03,0)))),0)</f>
        <v>0</v>
      </c>
      <c r="AE156" s="74">
        <f t="shared" ref="AE156:AE195" si="78">+AD156+AC156</f>
        <v>0.16126199999999999</v>
      </c>
      <c r="AF156" s="39">
        <v>2432</v>
      </c>
      <c r="AG156" s="39">
        <v>13</v>
      </c>
      <c r="AH156" s="9">
        <f t="shared" si="69"/>
        <v>100</v>
      </c>
      <c r="AI156" s="11">
        <f t="shared" si="70"/>
        <v>243200</v>
      </c>
      <c r="AJ156" s="11">
        <f t="shared" si="71"/>
        <v>4689350</v>
      </c>
      <c r="AK156" s="11">
        <f t="shared" si="72"/>
        <v>4932550</v>
      </c>
      <c r="AL156" s="35">
        <v>3458266</v>
      </c>
      <c r="AM156" s="11">
        <f t="shared" ref="AM156:AM195" si="79">ABS(SUM(AL156,-AK156))</f>
        <v>1474284</v>
      </c>
      <c r="AN156" s="72" t="str">
        <f t="shared" ref="AN156:AN195" si="80">IF(AK156&gt;AL156,"Yes","No")</f>
        <v>Yes</v>
      </c>
      <c r="AO156" s="35">
        <v>3628482</v>
      </c>
      <c r="AP156" s="35">
        <f t="shared" si="73"/>
        <v>157158.67439999999</v>
      </c>
      <c r="AQ156" s="35">
        <f t="shared" si="74"/>
        <v>3785640.6743999999</v>
      </c>
      <c r="AR156" s="35">
        <f t="shared" si="75"/>
        <v>3785640.6743999999</v>
      </c>
      <c r="AS156" s="66"/>
      <c r="AT156" s="67"/>
      <c r="AU156" s="35"/>
      <c r="AV156" s="68"/>
      <c r="AW156" s="35"/>
      <c r="AX156" s="21"/>
      <c r="AZ156" s="21"/>
      <c r="BA156" s="21"/>
      <c r="BE156" s="21"/>
      <c r="BF156" s="21"/>
      <c r="BG156" s="21"/>
      <c r="BH156" s="21"/>
      <c r="BI156" s="21"/>
    </row>
    <row r="157" spans="1:61" x14ac:dyDescent="0.4">
      <c r="A157" s="8" t="s">
        <v>127</v>
      </c>
      <c r="B157" s="8"/>
      <c r="C157" s="25"/>
      <c r="D157" s="25"/>
      <c r="E157" s="25"/>
      <c r="F157" s="1">
        <v>6</v>
      </c>
      <c r="G157" s="39">
        <v>65</v>
      </c>
      <c r="H157" s="8">
        <v>131</v>
      </c>
      <c r="I157" s="3" t="s">
        <v>256</v>
      </c>
      <c r="J157" s="70"/>
      <c r="K157" s="39">
        <v>6308.72</v>
      </c>
      <c r="L157" s="75"/>
      <c r="M157" s="34"/>
      <c r="N157" s="39">
        <v>1428</v>
      </c>
      <c r="O157" s="65">
        <f t="shared" si="59"/>
        <v>0.22635336486640711</v>
      </c>
      <c r="P157" s="65">
        <f t="shared" si="60"/>
        <v>0</v>
      </c>
      <c r="Q157" s="35">
        <f t="shared" si="61"/>
        <v>0</v>
      </c>
      <c r="R157" s="35">
        <f t="shared" si="76"/>
        <v>0</v>
      </c>
      <c r="S157" s="39">
        <v>119</v>
      </c>
      <c r="T157" s="36">
        <f t="shared" si="62"/>
        <v>428.4</v>
      </c>
      <c r="U157" s="9">
        <f t="shared" si="63"/>
        <v>6754.97</v>
      </c>
      <c r="V157" s="39">
        <v>5834779503.6700001</v>
      </c>
      <c r="W157" s="39">
        <v>43863</v>
      </c>
      <c r="X157" s="17">
        <f t="shared" si="64"/>
        <v>133022.81</v>
      </c>
      <c r="Y157" s="37">
        <f t="shared" si="65"/>
        <v>0.71249399999999996</v>
      </c>
      <c r="Z157" s="35">
        <v>90796</v>
      </c>
      <c r="AA157" s="37">
        <f t="shared" si="66"/>
        <v>0.78850500000000001</v>
      </c>
      <c r="AB157" s="37">
        <f t="shared" si="67"/>
        <v>0.26470300000000002</v>
      </c>
      <c r="AC157" s="71">
        <f t="shared" si="68"/>
        <v>0.26470300000000002</v>
      </c>
      <c r="AD157" s="38">
        <f t="shared" si="77"/>
        <v>0</v>
      </c>
      <c r="AE157" s="74">
        <f t="shared" si="78"/>
        <v>0.26470300000000002</v>
      </c>
      <c r="AF157" s="39">
        <v>0</v>
      </c>
      <c r="AG157" s="39">
        <v>0</v>
      </c>
      <c r="AH157" s="9">
        <f t="shared" si="69"/>
        <v>0</v>
      </c>
      <c r="AI157" s="11">
        <f t="shared" si="70"/>
        <v>0</v>
      </c>
      <c r="AJ157" s="11">
        <f t="shared" si="71"/>
        <v>20607401</v>
      </c>
      <c r="AK157" s="11">
        <f t="shared" si="72"/>
        <v>20607401</v>
      </c>
      <c r="AL157" s="35">
        <v>20268059</v>
      </c>
      <c r="AM157" s="11">
        <f t="shared" si="79"/>
        <v>339342</v>
      </c>
      <c r="AN157" s="72" t="str">
        <f t="shared" si="80"/>
        <v>Yes</v>
      </c>
      <c r="AO157" s="35">
        <v>20430243</v>
      </c>
      <c r="AP157" s="35">
        <f t="shared" si="73"/>
        <v>36173.857199999999</v>
      </c>
      <c r="AQ157" s="35">
        <f t="shared" si="74"/>
        <v>20466416.8572</v>
      </c>
      <c r="AR157" s="35">
        <f t="shared" si="75"/>
        <v>20466416.8572</v>
      </c>
      <c r="AS157" s="66"/>
      <c r="AT157" s="67"/>
      <c r="AU157" s="35"/>
      <c r="AV157" s="68"/>
      <c r="AW157" s="35"/>
      <c r="AX157" s="21"/>
      <c r="AZ157" s="21"/>
      <c r="BA157" s="21"/>
      <c r="BE157" s="21"/>
      <c r="BF157" s="21"/>
      <c r="BG157" s="21"/>
      <c r="BH157" s="21"/>
      <c r="BI157" s="21"/>
    </row>
    <row r="158" spans="1:61" x14ac:dyDescent="0.4">
      <c r="A158" s="8" t="s">
        <v>123</v>
      </c>
      <c r="B158" s="8"/>
      <c r="C158" s="25"/>
      <c r="D158" s="25"/>
      <c r="E158" s="25"/>
      <c r="F158" s="1">
        <v>5</v>
      </c>
      <c r="G158" s="39">
        <v>71</v>
      </c>
      <c r="H158" s="8">
        <v>132</v>
      </c>
      <c r="I158" s="3" t="s">
        <v>257</v>
      </c>
      <c r="J158" s="70"/>
      <c r="K158" s="39">
        <v>4684.43</v>
      </c>
      <c r="L158" s="75"/>
      <c r="M158" s="34"/>
      <c r="N158" s="39">
        <v>748</v>
      </c>
      <c r="O158" s="65">
        <f t="shared" si="59"/>
        <v>0.15967791172031601</v>
      </c>
      <c r="P158" s="65">
        <f t="shared" si="60"/>
        <v>0</v>
      </c>
      <c r="Q158" s="35">
        <f t="shared" si="61"/>
        <v>0</v>
      </c>
      <c r="R158" s="35">
        <f t="shared" si="76"/>
        <v>0</v>
      </c>
      <c r="S158" s="39">
        <v>308</v>
      </c>
      <c r="T158" s="36">
        <f t="shared" si="62"/>
        <v>224.4</v>
      </c>
      <c r="U158" s="9">
        <f t="shared" si="63"/>
        <v>4955.03</v>
      </c>
      <c r="V158" s="39">
        <v>3875169833</v>
      </c>
      <c r="W158" s="39">
        <v>25937</v>
      </c>
      <c r="X158" s="17">
        <f t="shared" si="64"/>
        <v>149407.01999999999</v>
      </c>
      <c r="Y158" s="37">
        <f t="shared" si="65"/>
        <v>0.80025100000000005</v>
      </c>
      <c r="Z158" s="35">
        <v>105986</v>
      </c>
      <c r="AA158" s="37">
        <f t="shared" si="66"/>
        <v>0.92042000000000002</v>
      </c>
      <c r="AB158" s="37">
        <f t="shared" si="67"/>
        <v>0.16369800000000001</v>
      </c>
      <c r="AC158" s="71">
        <f t="shared" si="68"/>
        <v>0.16369800000000001</v>
      </c>
      <c r="AD158" s="38">
        <f t="shared" si="77"/>
        <v>0</v>
      </c>
      <c r="AE158" s="74">
        <f t="shared" si="78"/>
        <v>0.16369800000000001</v>
      </c>
      <c r="AF158" s="39">
        <v>0</v>
      </c>
      <c r="AG158" s="39">
        <v>0</v>
      </c>
      <c r="AH158" s="9">
        <f t="shared" si="69"/>
        <v>0</v>
      </c>
      <c r="AI158" s="11">
        <f t="shared" si="70"/>
        <v>0</v>
      </c>
      <c r="AJ158" s="11">
        <f t="shared" si="71"/>
        <v>9348256</v>
      </c>
      <c r="AK158" s="11">
        <f t="shared" si="72"/>
        <v>9348256</v>
      </c>
      <c r="AL158" s="35">
        <v>12826469</v>
      </c>
      <c r="AM158" s="11">
        <f t="shared" si="79"/>
        <v>3478213</v>
      </c>
      <c r="AN158" s="72" t="str">
        <f t="shared" si="80"/>
        <v>No</v>
      </c>
      <c r="AO158" s="35">
        <v>11697813</v>
      </c>
      <c r="AP158" s="35">
        <f t="shared" si="73"/>
        <v>289735.14289999998</v>
      </c>
      <c r="AQ158" s="35">
        <f t="shared" si="74"/>
        <v>11408077.857100001</v>
      </c>
      <c r="AR158" s="35">
        <f t="shared" si="75"/>
        <v>11408077.857100001</v>
      </c>
      <c r="AS158" s="66"/>
      <c r="AT158" s="67"/>
      <c r="AU158" s="35"/>
      <c r="AV158" s="68"/>
      <c r="AW158" s="35"/>
      <c r="AX158" s="21"/>
      <c r="AZ158" s="21"/>
      <c r="BA158" s="21"/>
      <c r="BE158" s="21"/>
      <c r="BF158" s="21"/>
      <c r="BG158" s="21"/>
      <c r="BH158" s="21"/>
      <c r="BI158" s="21"/>
    </row>
    <row r="159" spans="1:61" x14ac:dyDescent="0.4">
      <c r="A159" s="8" t="s">
        <v>145</v>
      </c>
      <c r="B159" s="8"/>
      <c r="C159" s="25"/>
      <c r="D159" s="25"/>
      <c r="E159" s="25"/>
      <c r="F159" s="1">
        <v>9</v>
      </c>
      <c r="G159" s="39">
        <v>20</v>
      </c>
      <c r="H159" s="8">
        <v>133</v>
      </c>
      <c r="I159" s="3" t="s">
        <v>258</v>
      </c>
      <c r="J159" s="70"/>
      <c r="K159" s="39">
        <v>382.01</v>
      </c>
      <c r="L159" s="76"/>
      <c r="M159" s="34"/>
      <c r="N159" s="39">
        <v>213</v>
      </c>
      <c r="O159" s="65">
        <f t="shared" si="59"/>
        <v>0.55757702677940368</v>
      </c>
      <c r="P159" s="65">
        <f t="shared" si="60"/>
        <v>0</v>
      </c>
      <c r="Q159" s="35">
        <f t="shared" si="61"/>
        <v>0</v>
      </c>
      <c r="R159" s="35">
        <f t="shared" si="76"/>
        <v>0</v>
      </c>
      <c r="S159" s="39">
        <v>8</v>
      </c>
      <c r="T159" s="36">
        <f t="shared" si="62"/>
        <v>63.9</v>
      </c>
      <c r="U159" s="9">
        <f t="shared" si="63"/>
        <v>447.10999999999996</v>
      </c>
      <c r="V159" s="39">
        <v>253210377</v>
      </c>
      <c r="W159" s="39">
        <v>2914</v>
      </c>
      <c r="X159" s="17">
        <f t="shared" si="64"/>
        <v>86894.43</v>
      </c>
      <c r="Y159" s="37">
        <f t="shared" si="65"/>
        <v>0.465422</v>
      </c>
      <c r="Z159" s="35">
        <v>62178</v>
      </c>
      <c r="AA159" s="37">
        <f t="shared" si="66"/>
        <v>0.53997600000000001</v>
      </c>
      <c r="AB159" s="37">
        <f t="shared" si="67"/>
        <v>0.512212</v>
      </c>
      <c r="AC159" s="71">
        <f t="shared" si="68"/>
        <v>0.512212</v>
      </c>
      <c r="AD159" s="38">
        <f t="shared" si="77"/>
        <v>0</v>
      </c>
      <c r="AE159" s="74">
        <f t="shared" si="78"/>
        <v>0.512212</v>
      </c>
      <c r="AF159" s="39">
        <v>0</v>
      </c>
      <c r="AG159" s="39">
        <v>0</v>
      </c>
      <c r="AH159" s="9">
        <f t="shared" si="69"/>
        <v>0</v>
      </c>
      <c r="AI159" s="11">
        <f t="shared" si="70"/>
        <v>0</v>
      </c>
      <c r="AJ159" s="11">
        <f t="shared" si="71"/>
        <v>2639399</v>
      </c>
      <c r="AK159" s="11">
        <f t="shared" si="72"/>
        <v>2639399</v>
      </c>
      <c r="AL159" s="35">
        <v>2612273</v>
      </c>
      <c r="AM159" s="11">
        <f t="shared" si="79"/>
        <v>27126</v>
      </c>
      <c r="AN159" s="72" t="str">
        <f t="shared" si="80"/>
        <v>Yes</v>
      </c>
      <c r="AO159" s="35">
        <v>2665202</v>
      </c>
      <c r="AP159" s="35">
        <f t="shared" si="73"/>
        <v>2891.6316000000002</v>
      </c>
      <c r="AQ159" s="35">
        <f t="shared" si="74"/>
        <v>2668093.6316</v>
      </c>
      <c r="AR159" s="35">
        <f t="shared" si="75"/>
        <v>2668093.6316</v>
      </c>
      <c r="AS159" s="66"/>
      <c r="AT159" s="67"/>
      <c r="AU159" s="35"/>
      <c r="AV159" s="68"/>
      <c r="AW159" s="35"/>
      <c r="AX159" s="21"/>
      <c r="AZ159" s="21"/>
      <c r="BA159" s="21"/>
      <c r="BE159" s="21"/>
      <c r="BF159" s="21"/>
      <c r="BG159" s="21"/>
      <c r="BH159" s="21"/>
      <c r="BI159" s="21"/>
    </row>
    <row r="160" spans="1:61" x14ac:dyDescent="0.4">
      <c r="A160" s="8" t="s">
        <v>145</v>
      </c>
      <c r="B160" s="8"/>
      <c r="C160" s="25"/>
      <c r="D160" s="25"/>
      <c r="E160" s="25"/>
      <c r="F160" s="1">
        <v>9</v>
      </c>
      <c r="G160" s="39">
        <v>33</v>
      </c>
      <c r="H160" s="8">
        <v>134</v>
      </c>
      <c r="I160" s="3" t="s">
        <v>259</v>
      </c>
      <c r="J160" s="70"/>
      <c r="K160" s="39">
        <v>1489.93</v>
      </c>
      <c r="L160" s="76"/>
      <c r="M160" s="34"/>
      <c r="N160" s="39">
        <v>604</v>
      </c>
      <c r="O160" s="65">
        <f t="shared" si="59"/>
        <v>0.40538817259871268</v>
      </c>
      <c r="P160" s="65">
        <f t="shared" si="60"/>
        <v>0</v>
      </c>
      <c r="Q160" s="35">
        <f t="shared" si="61"/>
        <v>0</v>
      </c>
      <c r="R160" s="35">
        <f t="shared" si="76"/>
        <v>0</v>
      </c>
      <c r="S160" s="39">
        <v>4</v>
      </c>
      <c r="T160" s="36">
        <f t="shared" si="62"/>
        <v>181.2</v>
      </c>
      <c r="U160" s="9">
        <f t="shared" si="63"/>
        <v>1671.73</v>
      </c>
      <c r="V160" s="39">
        <v>1146653741.6700001</v>
      </c>
      <c r="W160" s="39">
        <v>11949</v>
      </c>
      <c r="X160" s="17">
        <f t="shared" si="64"/>
        <v>95962.32</v>
      </c>
      <c r="Y160" s="37">
        <f t="shared" si="65"/>
        <v>0.513992</v>
      </c>
      <c r="Z160" s="35">
        <v>68813</v>
      </c>
      <c r="AA160" s="37">
        <f t="shared" si="66"/>
        <v>0.59759700000000004</v>
      </c>
      <c r="AB160" s="37">
        <f t="shared" si="67"/>
        <v>0.46092699999999998</v>
      </c>
      <c r="AC160" s="71">
        <f t="shared" si="68"/>
        <v>0.46092699999999998</v>
      </c>
      <c r="AD160" s="38">
        <f t="shared" si="77"/>
        <v>0</v>
      </c>
      <c r="AE160" s="74">
        <f t="shared" si="78"/>
        <v>0.46092699999999998</v>
      </c>
      <c r="AF160" s="39">
        <v>0</v>
      </c>
      <c r="AG160" s="39">
        <v>0</v>
      </c>
      <c r="AH160" s="9">
        <f t="shared" si="69"/>
        <v>0</v>
      </c>
      <c r="AI160" s="11">
        <f t="shared" si="70"/>
        <v>0</v>
      </c>
      <c r="AJ160" s="11">
        <f t="shared" si="71"/>
        <v>8880537</v>
      </c>
      <c r="AK160" s="11">
        <f t="shared" si="72"/>
        <v>8880537</v>
      </c>
      <c r="AL160" s="35">
        <v>9790490</v>
      </c>
      <c r="AM160" s="11">
        <f t="shared" si="79"/>
        <v>909953</v>
      </c>
      <c r="AN160" s="72" t="str">
        <f t="shared" si="80"/>
        <v>No</v>
      </c>
      <c r="AO160" s="35">
        <v>9627288</v>
      </c>
      <c r="AP160" s="35">
        <f t="shared" si="73"/>
        <v>75799.084900000002</v>
      </c>
      <c r="AQ160" s="35">
        <f t="shared" si="74"/>
        <v>9551488.9151000008</v>
      </c>
      <c r="AR160" s="35">
        <f t="shared" si="75"/>
        <v>9551488.9151000008</v>
      </c>
      <c r="AS160" s="66"/>
      <c r="AT160" s="67"/>
      <c r="AU160" s="35"/>
      <c r="AV160" s="68"/>
      <c r="AW160" s="35"/>
      <c r="AX160" s="21"/>
      <c r="AZ160" s="21"/>
      <c r="BA160" s="21"/>
      <c r="BE160" s="21"/>
      <c r="BF160" s="21"/>
      <c r="BG160" s="21"/>
      <c r="BH160" s="21"/>
      <c r="BI160" s="21"/>
    </row>
    <row r="161" spans="1:61" x14ac:dyDescent="0.4">
      <c r="A161" s="8" t="s">
        <v>119</v>
      </c>
      <c r="B161" s="8">
        <v>1</v>
      </c>
      <c r="C161" s="25">
        <v>1</v>
      </c>
      <c r="D161" s="25">
        <v>1</v>
      </c>
      <c r="E161" s="25"/>
      <c r="F161" s="1">
        <v>2</v>
      </c>
      <c r="G161" s="39">
        <v>132</v>
      </c>
      <c r="H161" s="8">
        <v>135</v>
      </c>
      <c r="I161" s="3" t="s">
        <v>260</v>
      </c>
      <c r="J161" s="70"/>
      <c r="K161" s="39">
        <v>16114.14</v>
      </c>
      <c r="L161" s="75"/>
      <c r="M161" s="34"/>
      <c r="N161" s="39">
        <v>9648</v>
      </c>
      <c r="O161" s="65">
        <f t="shared" si="59"/>
        <v>0.5987288182925059</v>
      </c>
      <c r="P161" s="65">
        <f t="shared" si="60"/>
        <v>0</v>
      </c>
      <c r="Q161" s="35">
        <f t="shared" si="61"/>
        <v>0</v>
      </c>
      <c r="R161" s="35">
        <f t="shared" si="76"/>
        <v>0</v>
      </c>
      <c r="S161" s="39">
        <v>2389</v>
      </c>
      <c r="T161" s="36">
        <f t="shared" si="62"/>
        <v>2894.4</v>
      </c>
      <c r="U161" s="9">
        <f t="shared" si="63"/>
        <v>19366.89</v>
      </c>
      <c r="V161" s="39">
        <v>32135587821.669998</v>
      </c>
      <c r="W161" s="39">
        <v>130824</v>
      </c>
      <c r="X161" s="17">
        <f t="shared" si="64"/>
        <v>245639.85</v>
      </c>
      <c r="Y161" s="37">
        <f t="shared" si="65"/>
        <v>1.3156920000000001</v>
      </c>
      <c r="Z161" s="35">
        <v>84893</v>
      </c>
      <c r="AA161" s="37">
        <f t="shared" si="66"/>
        <v>0.73724100000000004</v>
      </c>
      <c r="AB161" s="37">
        <f t="shared" si="67"/>
        <v>-0.14215700000000001</v>
      </c>
      <c r="AC161" s="71">
        <f t="shared" si="68"/>
        <v>0.1</v>
      </c>
      <c r="AD161" s="38">
        <f t="shared" si="77"/>
        <v>0</v>
      </c>
      <c r="AE161" s="74">
        <f t="shared" si="78"/>
        <v>0.1</v>
      </c>
      <c r="AF161" s="39">
        <v>0</v>
      </c>
      <c r="AG161" s="39">
        <v>0</v>
      </c>
      <c r="AH161" s="9">
        <f t="shared" si="69"/>
        <v>0</v>
      </c>
      <c r="AI161" s="11">
        <f t="shared" si="70"/>
        <v>0</v>
      </c>
      <c r="AJ161" s="11">
        <f t="shared" si="71"/>
        <v>22320341</v>
      </c>
      <c r="AK161" s="11">
        <f t="shared" si="72"/>
        <v>22320341</v>
      </c>
      <c r="AL161" s="35">
        <v>10803759</v>
      </c>
      <c r="AM161" s="11">
        <f t="shared" si="79"/>
        <v>11516582</v>
      </c>
      <c r="AN161" s="72" t="str">
        <f t="shared" si="80"/>
        <v>Yes</v>
      </c>
      <c r="AO161" s="35">
        <v>12362917</v>
      </c>
      <c r="AP161" s="35">
        <f t="shared" si="73"/>
        <v>1227667.6412</v>
      </c>
      <c r="AQ161" s="35">
        <f t="shared" si="74"/>
        <v>13590584.6412</v>
      </c>
      <c r="AR161" s="35">
        <f t="shared" si="75"/>
        <v>13590584.6412</v>
      </c>
      <c r="AS161" s="66"/>
      <c r="AT161" s="67"/>
      <c r="AU161" s="35"/>
      <c r="AV161" s="68"/>
      <c r="AW161" s="35"/>
      <c r="AX161" s="21"/>
      <c r="AZ161" s="21"/>
      <c r="BA161" s="21"/>
      <c r="BE161" s="21"/>
      <c r="BF161" s="21"/>
      <c r="BG161" s="21"/>
      <c r="BH161" s="21"/>
      <c r="BI161" s="21"/>
    </row>
    <row r="162" spans="1:61" x14ac:dyDescent="0.4">
      <c r="A162" s="8" t="s">
        <v>145</v>
      </c>
      <c r="B162" s="8"/>
      <c r="C162" s="25"/>
      <c r="D162" s="25"/>
      <c r="E162" s="25"/>
      <c r="F162" s="1">
        <v>9</v>
      </c>
      <c r="G162" s="39">
        <v>21</v>
      </c>
      <c r="H162" s="8">
        <v>136</v>
      </c>
      <c r="I162" s="3" t="s">
        <v>261</v>
      </c>
      <c r="J162" s="70"/>
      <c r="K162" s="39">
        <v>504.21</v>
      </c>
      <c r="L162" s="76"/>
      <c r="M162" s="34"/>
      <c r="N162" s="39">
        <v>199</v>
      </c>
      <c r="O162" s="65">
        <f t="shared" si="59"/>
        <v>0.39467682116578412</v>
      </c>
      <c r="P162" s="65">
        <f t="shared" si="60"/>
        <v>0</v>
      </c>
      <c r="Q162" s="35">
        <f t="shared" si="61"/>
        <v>0</v>
      </c>
      <c r="R162" s="35">
        <f t="shared" si="76"/>
        <v>0</v>
      </c>
      <c r="S162" s="39">
        <v>0</v>
      </c>
      <c r="T162" s="36">
        <f t="shared" si="62"/>
        <v>59.7</v>
      </c>
      <c r="U162" s="9">
        <f t="shared" si="63"/>
        <v>563.91</v>
      </c>
      <c r="V162" s="39">
        <v>339588173</v>
      </c>
      <c r="W162" s="39">
        <v>3742</v>
      </c>
      <c r="X162" s="17">
        <f t="shared" si="64"/>
        <v>90750.45</v>
      </c>
      <c r="Y162" s="37">
        <f t="shared" si="65"/>
        <v>0.48607600000000001</v>
      </c>
      <c r="Z162" s="35">
        <v>75574</v>
      </c>
      <c r="AA162" s="37">
        <f t="shared" si="66"/>
        <v>0.65631099999999998</v>
      </c>
      <c r="AB162" s="37">
        <f t="shared" si="67"/>
        <v>0.46285399999999999</v>
      </c>
      <c r="AC162" s="71">
        <f t="shared" si="68"/>
        <v>0.46285399999999999</v>
      </c>
      <c r="AD162" s="38">
        <f t="shared" si="77"/>
        <v>0</v>
      </c>
      <c r="AE162" s="74">
        <f t="shared" si="78"/>
        <v>0.46285399999999999</v>
      </c>
      <c r="AF162" s="39">
        <v>0</v>
      </c>
      <c r="AG162" s="39">
        <v>0</v>
      </c>
      <c r="AH162" s="9">
        <f t="shared" si="69"/>
        <v>0</v>
      </c>
      <c r="AI162" s="11">
        <f t="shared" si="70"/>
        <v>0</v>
      </c>
      <c r="AJ162" s="11">
        <f t="shared" si="71"/>
        <v>3008117</v>
      </c>
      <c r="AK162" s="11">
        <f t="shared" si="72"/>
        <v>3008117</v>
      </c>
      <c r="AL162" s="35">
        <v>3196216</v>
      </c>
      <c r="AM162" s="11">
        <f t="shared" si="79"/>
        <v>188099</v>
      </c>
      <c r="AN162" s="72" t="str">
        <f t="shared" si="80"/>
        <v>No</v>
      </c>
      <c r="AO162" s="35">
        <v>3190254</v>
      </c>
      <c r="AP162" s="35">
        <f t="shared" si="73"/>
        <v>15668.646699999999</v>
      </c>
      <c r="AQ162" s="35">
        <f t="shared" si="74"/>
        <v>3174585.3533000001</v>
      </c>
      <c r="AR162" s="35">
        <f t="shared" si="75"/>
        <v>3174585.3533000001</v>
      </c>
      <c r="AS162" s="66"/>
      <c r="AT162" s="67"/>
      <c r="AU162" s="35"/>
      <c r="AV162" s="68"/>
      <c r="AW162" s="35"/>
      <c r="AX162" s="21"/>
      <c r="AZ162" s="21"/>
      <c r="BA162" s="21"/>
      <c r="BE162" s="21"/>
      <c r="BF162" s="21"/>
      <c r="BG162" s="21"/>
      <c r="BH162" s="21"/>
      <c r="BI162" s="21"/>
    </row>
    <row r="163" spans="1:61" x14ac:dyDescent="0.4">
      <c r="A163" s="8" t="s">
        <v>127</v>
      </c>
      <c r="B163" s="8"/>
      <c r="C163" s="25"/>
      <c r="D163" s="25"/>
      <c r="E163" s="25"/>
      <c r="F163" s="1">
        <v>3</v>
      </c>
      <c r="G163" s="39">
        <v>139</v>
      </c>
      <c r="H163" s="8">
        <v>137</v>
      </c>
      <c r="I163" s="3" t="s">
        <v>262</v>
      </c>
      <c r="J163" s="70"/>
      <c r="K163" s="39">
        <v>2076.54</v>
      </c>
      <c r="L163" s="75"/>
      <c r="M163" s="34"/>
      <c r="N163" s="39">
        <v>561</v>
      </c>
      <c r="O163" s="65">
        <f t="shared" si="59"/>
        <v>0.27016094079574676</v>
      </c>
      <c r="P163" s="65">
        <f t="shared" si="60"/>
        <v>0</v>
      </c>
      <c r="Q163" s="35">
        <f t="shared" si="61"/>
        <v>0</v>
      </c>
      <c r="R163" s="35">
        <f t="shared" si="76"/>
        <v>0</v>
      </c>
      <c r="S163" s="39">
        <v>13</v>
      </c>
      <c r="T163" s="36">
        <f t="shared" si="62"/>
        <v>168.3</v>
      </c>
      <c r="U163" s="9">
        <f t="shared" si="63"/>
        <v>2246.79</v>
      </c>
      <c r="V163" s="39">
        <v>3965121389.3299999</v>
      </c>
      <c r="W163" s="39">
        <v>18593</v>
      </c>
      <c r="X163" s="17">
        <f t="shared" si="64"/>
        <v>213258.83</v>
      </c>
      <c r="Y163" s="37">
        <f t="shared" si="65"/>
        <v>1.142253</v>
      </c>
      <c r="Z163" s="35">
        <v>78875</v>
      </c>
      <c r="AA163" s="37">
        <f t="shared" si="66"/>
        <v>0.68497799999999998</v>
      </c>
      <c r="AB163" s="37">
        <f t="shared" si="67"/>
        <v>-5.0699999999999999E-3</v>
      </c>
      <c r="AC163" s="71">
        <f t="shared" si="68"/>
        <v>0.01</v>
      </c>
      <c r="AD163" s="38">
        <f t="shared" si="77"/>
        <v>0</v>
      </c>
      <c r="AE163" s="74">
        <f t="shared" si="78"/>
        <v>0.01</v>
      </c>
      <c r="AF163" s="39">
        <v>0</v>
      </c>
      <c r="AG163" s="39">
        <v>0</v>
      </c>
      <c r="AH163" s="9">
        <f t="shared" si="69"/>
        <v>0</v>
      </c>
      <c r="AI163" s="11">
        <f t="shared" si="70"/>
        <v>0</v>
      </c>
      <c r="AJ163" s="11">
        <f t="shared" si="71"/>
        <v>258943</v>
      </c>
      <c r="AK163" s="11">
        <f t="shared" si="72"/>
        <v>258943</v>
      </c>
      <c r="AL163" s="35">
        <v>1649159</v>
      </c>
      <c r="AM163" s="11">
        <f t="shared" si="79"/>
        <v>1390216</v>
      </c>
      <c r="AN163" s="72" t="str">
        <f t="shared" si="80"/>
        <v>No</v>
      </c>
      <c r="AO163" s="35">
        <v>1188816</v>
      </c>
      <c r="AP163" s="35">
        <f t="shared" si="73"/>
        <v>115804.99279999999</v>
      </c>
      <c r="AQ163" s="35">
        <f t="shared" si="74"/>
        <v>1073011.0072000001</v>
      </c>
      <c r="AR163" s="35">
        <f t="shared" si="75"/>
        <v>1073011.0072000001</v>
      </c>
      <c r="AS163" s="66"/>
      <c r="AT163" s="67"/>
      <c r="AU163" s="35"/>
      <c r="AV163" s="68"/>
      <c r="AW163" s="35"/>
      <c r="AX163" s="21"/>
      <c r="AZ163" s="21"/>
      <c r="BA163" s="21"/>
      <c r="BE163" s="21"/>
      <c r="BF163" s="21"/>
      <c r="BG163" s="21"/>
      <c r="BH163" s="21"/>
      <c r="BI163" s="21"/>
    </row>
    <row r="164" spans="1:61" x14ac:dyDescent="0.4">
      <c r="A164" s="8" t="s">
        <v>132</v>
      </c>
      <c r="B164" s="8"/>
      <c r="C164" s="25"/>
      <c r="D164" s="25"/>
      <c r="E164" s="25"/>
      <c r="F164" s="1">
        <v>8</v>
      </c>
      <c r="G164" s="39">
        <v>25</v>
      </c>
      <c r="H164" s="8">
        <v>138</v>
      </c>
      <c r="I164" s="3" t="s">
        <v>263</v>
      </c>
      <c r="J164" s="70"/>
      <c r="K164" s="39">
        <v>7165.98</v>
      </c>
      <c r="L164" s="76"/>
      <c r="M164" s="34"/>
      <c r="N164" s="39">
        <v>3629</v>
      </c>
      <c r="O164" s="65">
        <f t="shared" si="59"/>
        <v>0.50642061518452464</v>
      </c>
      <c r="P164" s="65">
        <f t="shared" si="60"/>
        <v>0</v>
      </c>
      <c r="Q164" s="35">
        <f t="shared" si="61"/>
        <v>0</v>
      </c>
      <c r="R164" s="35">
        <f t="shared" si="76"/>
        <v>0</v>
      </c>
      <c r="S164" s="39">
        <v>458</v>
      </c>
      <c r="T164" s="36">
        <f t="shared" si="62"/>
        <v>1088.7</v>
      </c>
      <c r="U164" s="9">
        <f t="shared" si="63"/>
        <v>8323.380000000001</v>
      </c>
      <c r="V164" s="39">
        <v>6700464842.6700001</v>
      </c>
      <c r="W164" s="39">
        <v>52345</v>
      </c>
      <c r="X164" s="17">
        <f t="shared" si="64"/>
        <v>128005.82</v>
      </c>
      <c r="Y164" s="37">
        <f t="shared" si="65"/>
        <v>0.68562199999999995</v>
      </c>
      <c r="Z164" s="35">
        <v>72757</v>
      </c>
      <c r="AA164" s="37">
        <f t="shared" si="66"/>
        <v>0.63184799999999997</v>
      </c>
      <c r="AB164" s="37">
        <f t="shared" si="67"/>
        <v>0.33051000000000003</v>
      </c>
      <c r="AC164" s="71">
        <f t="shared" si="68"/>
        <v>0.33051000000000003</v>
      </c>
      <c r="AD164" s="38">
        <f t="shared" si="77"/>
        <v>0</v>
      </c>
      <c r="AE164" s="74">
        <f t="shared" si="78"/>
        <v>0.33051000000000003</v>
      </c>
      <c r="AF164" s="39">
        <v>0</v>
      </c>
      <c r="AG164" s="39">
        <v>0</v>
      </c>
      <c r="AH164" s="9">
        <f t="shared" si="69"/>
        <v>0</v>
      </c>
      <c r="AI164" s="11">
        <f t="shared" si="70"/>
        <v>0</v>
      </c>
      <c r="AJ164" s="11">
        <f t="shared" si="71"/>
        <v>31704818</v>
      </c>
      <c r="AK164" s="11">
        <f t="shared" si="72"/>
        <v>31704818</v>
      </c>
      <c r="AL164" s="35">
        <v>21461782</v>
      </c>
      <c r="AM164" s="11">
        <f t="shared" si="79"/>
        <v>10243036</v>
      </c>
      <c r="AN164" s="72" t="str">
        <f t="shared" si="80"/>
        <v>Yes</v>
      </c>
      <c r="AO164" s="35">
        <v>23024429</v>
      </c>
      <c r="AP164" s="35">
        <f t="shared" si="73"/>
        <v>1091907.6376</v>
      </c>
      <c r="AQ164" s="35">
        <f t="shared" si="74"/>
        <v>24116336.637600001</v>
      </c>
      <c r="AR164" s="35">
        <f t="shared" si="75"/>
        <v>24116336.637600001</v>
      </c>
      <c r="AS164" s="66"/>
      <c r="AT164" s="67"/>
      <c r="AU164" s="35"/>
      <c r="AV164" s="68"/>
      <c r="AW164" s="35"/>
      <c r="AX164" s="21"/>
      <c r="AZ164" s="21"/>
      <c r="BA164" s="21"/>
      <c r="BE164" s="21"/>
      <c r="BF164" s="21"/>
      <c r="BG164" s="21"/>
      <c r="BH164" s="21"/>
      <c r="BI164" s="21"/>
    </row>
    <row r="165" spans="1:61" x14ac:dyDescent="0.4">
      <c r="A165" s="8" t="s">
        <v>117</v>
      </c>
      <c r="B165" s="8"/>
      <c r="C165" s="25"/>
      <c r="D165" s="25"/>
      <c r="E165" s="25"/>
      <c r="F165" s="1">
        <v>5</v>
      </c>
      <c r="G165" s="39">
        <v>107</v>
      </c>
      <c r="H165" s="8">
        <v>139</v>
      </c>
      <c r="I165" s="3" t="s">
        <v>264</v>
      </c>
      <c r="J165" s="70"/>
      <c r="K165" s="39">
        <v>2056.21</v>
      </c>
      <c r="L165" s="75"/>
      <c r="M165" s="34"/>
      <c r="N165" s="39">
        <v>329</v>
      </c>
      <c r="O165" s="65">
        <f t="shared" si="59"/>
        <v>0.16000311252255361</v>
      </c>
      <c r="P165" s="65">
        <f t="shared" si="60"/>
        <v>0</v>
      </c>
      <c r="Q165" s="35">
        <f t="shared" si="61"/>
        <v>0</v>
      </c>
      <c r="R165" s="35">
        <f t="shared" si="76"/>
        <v>0</v>
      </c>
      <c r="S165" s="39">
        <v>40</v>
      </c>
      <c r="T165" s="36">
        <f t="shared" si="62"/>
        <v>98.7</v>
      </c>
      <c r="U165" s="9">
        <f t="shared" si="63"/>
        <v>2160.91</v>
      </c>
      <c r="V165" s="39">
        <v>2054710901.6700001</v>
      </c>
      <c r="W165" s="39">
        <v>15698</v>
      </c>
      <c r="X165" s="17">
        <f t="shared" si="64"/>
        <v>130889.98</v>
      </c>
      <c r="Y165" s="37">
        <f t="shared" si="65"/>
        <v>0.70106999999999997</v>
      </c>
      <c r="Z165" s="35">
        <v>105777</v>
      </c>
      <c r="AA165" s="37">
        <f t="shared" si="66"/>
        <v>0.918605</v>
      </c>
      <c r="AB165" s="37">
        <f t="shared" si="67"/>
        <v>0.23366999999999999</v>
      </c>
      <c r="AC165" s="71">
        <f t="shared" si="68"/>
        <v>0.23366999999999999</v>
      </c>
      <c r="AD165" s="38">
        <f t="shared" si="77"/>
        <v>0</v>
      </c>
      <c r="AE165" s="74">
        <f t="shared" si="78"/>
        <v>0.23366999999999999</v>
      </c>
      <c r="AF165" s="39">
        <v>0</v>
      </c>
      <c r="AG165" s="39">
        <v>0</v>
      </c>
      <c r="AH165" s="9">
        <f t="shared" si="69"/>
        <v>0</v>
      </c>
      <c r="AI165" s="11">
        <f t="shared" si="70"/>
        <v>0</v>
      </c>
      <c r="AJ165" s="11">
        <f t="shared" si="71"/>
        <v>5819432</v>
      </c>
      <c r="AK165" s="11">
        <f t="shared" si="72"/>
        <v>5819432</v>
      </c>
      <c r="AL165" s="35">
        <v>6221145</v>
      </c>
      <c r="AM165" s="11">
        <f t="shared" si="79"/>
        <v>401713</v>
      </c>
      <c r="AN165" s="72" t="str">
        <f t="shared" si="80"/>
        <v>No</v>
      </c>
      <c r="AO165" s="35">
        <v>6181616</v>
      </c>
      <c r="AP165" s="35">
        <f t="shared" si="73"/>
        <v>33462.692900000002</v>
      </c>
      <c r="AQ165" s="35">
        <f t="shared" si="74"/>
        <v>6148153.3070999999</v>
      </c>
      <c r="AR165" s="35">
        <f t="shared" si="75"/>
        <v>6148153.3070999999</v>
      </c>
      <c r="AS165" s="66"/>
      <c r="AT165" s="67"/>
      <c r="AU165" s="35"/>
      <c r="AV165" s="68"/>
      <c r="AW165" s="35"/>
      <c r="AX165" s="21"/>
      <c r="AZ165" s="21"/>
      <c r="BA165" s="21"/>
      <c r="BE165" s="21"/>
      <c r="BF165" s="21"/>
      <c r="BG165" s="21"/>
      <c r="BH165" s="21"/>
      <c r="BI165" s="21"/>
    </row>
    <row r="166" spans="1:61" x14ac:dyDescent="0.4">
      <c r="A166" s="8" t="s">
        <v>121</v>
      </c>
      <c r="B166" s="8"/>
      <c r="C166" s="25"/>
      <c r="D166" s="25"/>
      <c r="E166" s="25"/>
      <c r="F166" s="1">
        <v>9</v>
      </c>
      <c r="G166" s="39">
        <v>41</v>
      </c>
      <c r="H166" s="8">
        <v>140</v>
      </c>
      <c r="I166" s="3" t="s">
        <v>265</v>
      </c>
      <c r="J166" s="70"/>
      <c r="K166" s="39">
        <v>972.05</v>
      </c>
      <c r="L166" s="76"/>
      <c r="M166" s="34"/>
      <c r="N166" s="39">
        <v>332</v>
      </c>
      <c r="O166" s="65">
        <f t="shared" si="59"/>
        <v>0.34154621675839719</v>
      </c>
      <c r="P166" s="65">
        <f t="shared" si="60"/>
        <v>0</v>
      </c>
      <c r="Q166" s="35">
        <f t="shared" si="61"/>
        <v>0</v>
      </c>
      <c r="R166" s="35">
        <f t="shared" si="76"/>
        <v>0</v>
      </c>
      <c r="S166" s="39">
        <v>13</v>
      </c>
      <c r="T166" s="36">
        <f t="shared" si="62"/>
        <v>99.6</v>
      </c>
      <c r="U166" s="9">
        <f t="shared" si="63"/>
        <v>1073.5999999999999</v>
      </c>
      <c r="V166" s="39">
        <v>785685200</v>
      </c>
      <c r="W166" s="39">
        <v>7602</v>
      </c>
      <c r="X166" s="17">
        <f t="shared" si="64"/>
        <v>103352.43</v>
      </c>
      <c r="Y166" s="37">
        <f t="shared" si="65"/>
        <v>0.55357400000000001</v>
      </c>
      <c r="Z166" s="35">
        <v>67639</v>
      </c>
      <c r="AA166" s="37">
        <f t="shared" si="66"/>
        <v>0.58740099999999995</v>
      </c>
      <c r="AB166" s="37">
        <f t="shared" si="67"/>
        <v>0.436278</v>
      </c>
      <c r="AC166" s="71">
        <f t="shared" si="68"/>
        <v>0.436278</v>
      </c>
      <c r="AD166" s="38">
        <f t="shared" si="77"/>
        <v>0</v>
      </c>
      <c r="AE166" s="74">
        <f t="shared" si="78"/>
        <v>0.436278</v>
      </c>
      <c r="AF166" s="39">
        <v>0</v>
      </c>
      <c r="AG166" s="39">
        <v>0</v>
      </c>
      <c r="AH166" s="9">
        <f t="shared" si="69"/>
        <v>0</v>
      </c>
      <c r="AI166" s="11">
        <f t="shared" si="70"/>
        <v>0</v>
      </c>
      <c r="AJ166" s="11">
        <f t="shared" si="71"/>
        <v>5398172</v>
      </c>
      <c r="AK166" s="11">
        <f t="shared" si="72"/>
        <v>5398172</v>
      </c>
      <c r="AL166" s="35">
        <v>5624815</v>
      </c>
      <c r="AM166" s="11">
        <f t="shared" si="79"/>
        <v>226643</v>
      </c>
      <c r="AN166" s="72" t="str">
        <f t="shared" si="80"/>
        <v>No</v>
      </c>
      <c r="AO166" s="35">
        <v>5500105</v>
      </c>
      <c r="AP166" s="35">
        <f t="shared" si="73"/>
        <v>18879.3619</v>
      </c>
      <c r="AQ166" s="35">
        <f t="shared" si="74"/>
        <v>5481225.6381000001</v>
      </c>
      <c r="AR166" s="35">
        <f t="shared" si="75"/>
        <v>5481225.6381000001</v>
      </c>
      <c r="AS166" s="66"/>
      <c r="AT166" s="67"/>
      <c r="AU166" s="35"/>
      <c r="AV166" s="68"/>
      <c r="AW166" s="35"/>
      <c r="AX166" s="21"/>
      <c r="AZ166" s="21"/>
      <c r="BA166" s="21"/>
      <c r="BE166" s="21"/>
      <c r="BF166" s="21"/>
      <c r="BG166" s="21"/>
      <c r="BH166" s="21"/>
      <c r="BI166" s="21"/>
    </row>
    <row r="167" spans="1:61" x14ac:dyDescent="0.4">
      <c r="A167" s="8" t="s">
        <v>145</v>
      </c>
      <c r="B167" s="8"/>
      <c r="C167" s="25">
        <v>1</v>
      </c>
      <c r="D167" s="25"/>
      <c r="E167" s="25"/>
      <c r="F167" s="1">
        <v>9</v>
      </c>
      <c r="G167" s="39">
        <v>46</v>
      </c>
      <c r="H167" s="8">
        <v>141</v>
      </c>
      <c r="I167" s="3" t="s">
        <v>266</v>
      </c>
      <c r="J167" s="70"/>
      <c r="K167" s="39">
        <v>1008.95</v>
      </c>
      <c r="L167" s="75"/>
      <c r="M167" s="34"/>
      <c r="N167" s="39">
        <v>472</v>
      </c>
      <c r="O167" s="65">
        <f t="shared" si="59"/>
        <v>0.46781307299667968</v>
      </c>
      <c r="P167" s="65">
        <f t="shared" si="60"/>
        <v>0</v>
      </c>
      <c r="Q167" s="35">
        <f t="shared" si="61"/>
        <v>0</v>
      </c>
      <c r="R167" s="35">
        <f t="shared" si="76"/>
        <v>0</v>
      </c>
      <c r="S167" s="39">
        <v>1</v>
      </c>
      <c r="T167" s="36">
        <f t="shared" si="62"/>
        <v>141.6</v>
      </c>
      <c r="U167" s="9">
        <f t="shared" si="63"/>
        <v>1150.7</v>
      </c>
      <c r="V167" s="39">
        <v>986522703.33000004</v>
      </c>
      <c r="W167" s="39">
        <v>9288</v>
      </c>
      <c r="X167" s="17">
        <f t="shared" si="64"/>
        <v>106214.76</v>
      </c>
      <c r="Y167" s="37">
        <f t="shared" si="65"/>
        <v>0.56890600000000002</v>
      </c>
      <c r="Z167" s="35">
        <v>77267</v>
      </c>
      <c r="AA167" s="37">
        <f t="shared" si="66"/>
        <v>0.671014</v>
      </c>
      <c r="AB167" s="37">
        <f t="shared" si="67"/>
        <v>0.40046199999999998</v>
      </c>
      <c r="AC167" s="71">
        <f t="shared" si="68"/>
        <v>0.40046199999999998</v>
      </c>
      <c r="AD167" s="38">
        <f t="shared" si="77"/>
        <v>0</v>
      </c>
      <c r="AE167" s="74">
        <f t="shared" si="78"/>
        <v>0.40046199999999998</v>
      </c>
      <c r="AF167" s="39">
        <v>0</v>
      </c>
      <c r="AG167" s="39">
        <v>0</v>
      </c>
      <c r="AH167" s="9">
        <f t="shared" si="69"/>
        <v>0</v>
      </c>
      <c r="AI167" s="11">
        <f t="shared" si="70"/>
        <v>0</v>
      </c>
      <c r="AJ167" s="11">
        <f t="shared" si="71"/>
        <v>5310854</v>
      </c>
      <c r="AK167" s="11">
        <f t="shared" si="72"/>
        <v>5310854</v>
      </c>
      <c r="AL167" s="35">
        <v>7534704</v>
      </c>
      <c r="AM167" s="11">
        <f t="shared" si="79"/>
        <v>2223850</v>
      </c>
      <c r="AN167" s="72" t="str">
        <f t="shared" si="80"/>
        <v>No</v>
      </c>
      <c r="AO167" s="35">
        <v>7534704</v>
      </c>
      <c r="AP167" s="35">
        <f t="shared" si="73"/>
        <v>185246.70499999999</v>
      </c>
      <c r="AQ167" s="35">
        <f t="shared" si="74"/>
        <v>7349457.2949999999</v>
      </c>
      <c r="AR167" s="35">
        <f t="shared" si="75"/>
        <v>7534704</v>
      </c>
      <c r="AS167" s="66"/>
      <c r="AT167" s="67"/>
      <c r="AU167" s="35"/>
      <c r="AV167" s="68"/>
      <c r="AW167" s="35"/>
      <c r="AX167" s="21"/>
      <c r="AZ167" s="21"/>
      <c r="BA167" s="21"/>
      <c r="BE167" s="21"/>
      <c r="BF167" s="21"/>
      <c r="BG167" s="21"/>
      <c r="BH167" s="21"/>
      <c r="BI167" s="21"/>
    </row>
    <row r="168" spans="1:61" x14ac:dyDescent="0.4">
      <c r="A168" s="8" t="s">
        <v>117</v>
      </c>
      <c r="B168" s="8"/>
      <c r="C168" s="25"/>
      <c r="D168" s="25"/>
      <c r="E168" s="25"/>
      <c r="F168" s="1">
        <v>5</v>
      </c>
      <c r="G168" s="39">
        <v>101</v>
      </c>
      <c r="H168" s="8">
        <v>142</v>
      </c>
      <c r="I168" s="3" t="s">
        <v>267</v>
      </c>
      <c r="J168" s="70"/>
      <c r="K168" s="39">
        <v>2413.08</v>
      </c>
      <c r="L168" s="75"/>
      <c r="M168" s="34"/>
      <c r="N168" s="39">
        <v>328</v>
      </c>
      <c r="O168" s="65">
        <f t="shared" si="59"/>
        <v>0.13592587067150697</v>
      </c>
      <c r="P168" s="65">
        <f t="shared" si="60"/>
        <v>0</v>
      </c>
      <c r="Q168" s="35">
        <f t="shared" si="61"/>
        <v>0</v>
      </c>
      <c r="R168" s="35">
        <f t="shared" si="76"/>
        <v>0</v>
      </c>
      <c r="S168" s="39">
        <v>13</v>
      </c>
      <c r="T168" s="36">
        <f t="shared" si="62"/>
        <v>98.4</v>
      </c>
      <c r="U168" s="9">
        <f t="shared" si="63"/>
        <v>2513.4299999999998</v>
      </c>
      <c r="V168" s="39">
        <v>1860457595.6700001</v>
      </c>
      <c r="W168" s="39">
        <v>14722</v>
      </c>
      <c r="X168" s="17">
        <f t="shared" si="64"/>
        <v>126372.61</v>
      </c>
      <c r="Y168" s="37">
        <f t="shared" si="65"/>
        <v>0.676875</v>
      </c>
      <c r="Z168" s="35">
        <v>112740</v>
      </c>
      <c r="AA168" s="37">
        <f t="shared" si="66"/>
        <v>0.979074</v>
      </c>
      <c r="AB168" s="37">
        <f t="shared" si="67"/>
        <v>0.232465</v>
      </c>
      <c r="AC168" s="71">
        <f t="shared" si="68"/>
        <v>0.232465</v>
      </c>
      <c r="AD168" s="38">
        <f t="shared" si="77"/>
        <v>0</v>
      </c>
      <c r="AE168" s="74">
        <f t="shared" si="78"/>
        <v>0.232465</v>
      </c>
      <c r="AF168" s="39">
        <v>0</v>
      </c>
      <c r="AG168" s="39">
        <v>0</v>
      </c>
      <c r="AH168" s="9">
        <f t="shared" si="69"/>
        <v>0</v>
      </c>
      <c r="AI168" s="11">
        <f t="shared" si="70"/>
        <v>0</v>
      </c>
      <c r="AJ168" s="11">
        <f t="shared" si="71"/>
        <v>6733879</v>
      </c>
      <c r="AK168" s="11">
        <f t="shared" si="72"/>
        <v>6733879</v>
      </c>
      <c r="AL168" s="35">
        <v>10699177</v>
      </c>
      <c r="AM168" s="11">
        <f t="shared" si="79"/>
        <v>3965298</v>
      </c>
      <c r="AN168" s="72" t="str">
        <f t="shared" si="80"/>
        <v>No</v>
      </c>
      <c r="AO168" s="35">
        <v>9435837</v>
      </c>
      <c r="AP168" s="35">
        <f t="shared" si="73"/>
        <v>330309.32339999999</v>
      </c>
      <c r="AQ168" s="35">
        <f t="shared" si="74"/>
        <v>9105527.6765999999</v>
      </c>
      <c r="AR168" s="35">
        <f t="shared" si="75"/>
        <v>9105527.6765999999</v>
      </c>
      <c r="AS168" s="66"/>
      <c r="AT168" s="67"/>
      <c r="AU168" s="35"/>
      <c r="AV168" s="68"/>
      <c r="AW168" s="35"/>
      <c r="AX168" s="21"/>
      <c r="AZ168" s="21"/>
      <c r="BA168" s="21"/>
      <c r="BE168" s="21"/>
      <c r="BF168" s="21"/>
      <c r="BG168" s="21"/>
      <c r="BH168" s="21"/>
      <c r="BI168" s="21"/>
    </row>
    <row r="169" spans="1:61" x14ac:dyDescent="0.4">
      <c r="A169" s="8" t="s">
        <v>132</v>
      </c>
      <c r="B169" s="8"/>
      <c r="C169" s="25">
        <v>1</v>
      </c>
      <c r="D169" s="25"/>
      <c r="E169" s="25"/>
      <c r="F169" s="1">
        <v>10</v>
      </c>
      <c r="G169" s="39">
        <v>15</v>
      </c>
      <c r="H169" s="8">
        <v>143</v>
      </c>
      <c r="I169" s="3" t="s">
        <v>268</v>
      </c>
      <c r="J169" s="70"/>
      <c r="K169" s="39">
        <v>4232.4399999999996</v>
      </c>
      <c r="L169" s="76"/>
      <c r="M169" s="34"/>
      <c r="N169" s="39">
        <v>2842</v>
      </c>
      <c r="O169" s="65">
        <f t="shared" si="59"/>
        <v>0.67148028087816958</v>
      </c>
      <c r="P169" s="65">
        <f t="shared" si="60"/>
        <v>0</v>
      </c>
      <c r="Q169" s="35">
        <f t="shared" si="61"/>
        <v>0</v>
      </c>
      <c r="R169" s="35">
        <f t="shared" si="76"/>
        <v>0</v>
      </c>
      <c r="S169" s="39">
        <v>394</v>
      </c>
      <c r="T169" s="36">
        <f t="shared" si="62"/>
        <v>852.6</v>
      </c>
      <c r="U169" s="9">
        <f t="shared" si="63"/>
        <v>5144.1400000000003</v>
      </c>
      <c r="V169" s="39">
        <v>2795803084.6700001</v>
      </c>
      <c r="W169" s="39">
        <v>34538</v>
      </c>
      <c r="X169" s="17">
        <f t="shared" si="64"/>
        <v>80948.61</v>
      </c>
      <c r="Y169" s="37">
        <f t="shared" si="65"/>
        <v>0.43357499999999999</v>
      </c>
      <c r="Z169" s="35">
        <v>61313</v>
      </c>
      <c r="AA169" s="37">
        <f t="shared" si="66"/>
        <v>0.53246400000000005</v>
      </c>
      <c r="AB169" s="37">
        <f t="shared" si="67"/>
        <v>0.53675799999999996</v>
      </c>
      <c r="AC169" s="71">
        <f t="shared" si="68"/>
        <v>0.53675799999999996</v>
      </c>
      <c r="AD169" s="38">
        <f t="shared" si="77"/>
        <v>0.04</v>
      </c>
      <c r="AE169" s="74">
        <f t="shared" si="78"/>
        <v>0.57675799999999999</v>
      </c>
      <c r="AF169" s="39">
        <v>0</v>
      </c>
      <c r="AG169" s="39">
        <v>0</v>
      </c>
      <c r="AH169" s="9">
        <f t="shared" si="69"/>
        <v>0</v>
      </c>
      <c r="AI169" s="11">
        <f t="shared" si="70"/>
        <v>0</v>
      </c>
      <c r="AJ169" s="11">
        <f t="shared" si="71"/>
        <v>34193798</v>
      </c>
      <c r="AK169" s="11">
        <f t="shared" si="72"/>
        <v>34193798</v>
      </c>
      <c r="AL169" s="35">
        <v>24482865</v>
      </c>
      <c r="AM169" s="11">
        <f t="shared" si="79"/>
        <v>9710933</v>
      </c>
      <c r="AN169" s="72" t="str">
        <f t="shared" si="80"/>
        <v>Yes</v>
      </c>
      <c r="AO169" s="35">
        <v>25922985</v>
      </c>
      <c r="AP169" s="35">
        <f t="shared" si="73"/>
        <v>1035185.4578</v>
      </c>
      <c r="AQ169" s="35">
        <f t="shared" si="74"/>
        <v>26958170.457800001</v>
      </c>
      <c r="AR169" s="35">
        <f t="shared" si="75"/>
        <v>26958170.457800001</v>
      </c>
      <c r="AS169" s="66"/>
      <c r="AT169" s="67"/>
      <c r="AU169" s="35"/>
      <c r="AV169" s="68"/>
      <c r="AW169" s="35"/>
      <c r="AX169" s="21"/>
      <c r="AZ169" s="21"/>
      <c r="BA169" s="21"/>
      <c r="BE169" s="21"/>
      <c r="BF169" s="21"/>
      <c r="BG169" s="21"/>
      <c r="BH169" s="21"/>
      <c r="BI169" s="21"/>
    </row>
    <row r="170" spans="1:61" x14ac:dyDescent="0.4">
      <c r="A170" s="8" t="s">
        <v>123</v>
      </c>
      <c r="B170" s="8"/>
      <c r="C170" s="25"/>
      <c r="D170" s="25"/>
      <c r="E170" s="25"/>
      <c r="F170" s="1">
        <v>3</v>
      </c>
      <c r="G170" s="39">
        <v>82</v>
      </c>
      <c r="H170" s="8">
        <v>144</v>
      </c>
      <c r="I170" s="3" t="s">
        <v>269</v>
      </c>
      <c r="J170" s="70"/>
      <c r="K170" s="39">
        <v>6647.98</v>
      </c>
      <c r="L170" s="75"/>
      <c r="M170" s="34"/>
      <c r="N170" s="39">
        <v>1140</v>
      </c>
      <c r="O170" s="65">
        <f t="shared" si="59"/>
        <v>0.17148066029079512</v>
      </c>
      <c r="P170" s="65">
        <f t="shared" si="60"/>
        <v>0</v>
      </c>
      <c r="Q170" s="35">
        <f t="shared" si="61"/>
        <v>0</v>
      </c>
      <c r="R170" s="35">
        <f t="shared" si="76"/>
        <v>0</v>
      </c>
      <c r="S170" s="39">
        <v>243</v>
      </c>
      <c r="T170" s="36">
        <f t="shared" si="62"/>
        <v>342</v>
      </c>
      <c r="U170" s="9">
        <f t="shared" si="63"/>
        <v>7026.4299999999994</v>
      </c>
      <c r="V170" s="39">
        <v>6807490435.3299999</v>
      </c>
      <c r="W170" s="39">
        <v>36154</v>
      </c>
      <c r="X170" s="17">
        <f t="shared" si="64"/>
        <v>188291.49</v>
      </c>
      <c r="Y170" s="37">
        <f t="shared" si="65"/>
        <v>1.0085230000000001</v>
      </c>
      <c r="Z170" s="35">
        <v>115346</v>
      </c>
      <c r="AA170" s="37">
        <f t="shared" si="66"/>
        <v>1.001706</v>
      </c>
      <c r="AB170" s="37">
        <f t="shared" si="67"/>
        <v>-6.4780000000000003E-3</v>
      </c>
      <c r="AC170" s="71">
        <f t="shared" si="68"/>
        <v>0.01</v>
      </c>
      <c r="AD170" s="38">
        <f t="shared" si="77"/>
        <v>0</v>
      </c>
      <c r="AE170" s="74">
        <f t="shared" si="78"/>
        <v>0.01</v>
      </c>
      <c r="AF170" s="39">
        <v>0</v>
      </c>
      <c r="AG170" s="39">
        <v>0</v>
      </c>
      <c r="AH170" s="9">
        <f t="shared" si="69"/>
        <v>0</v>
      </c>
      <c r="AI170" s="11">
        <f t="shared" si="70"/>
        <v>0</v>
      </c>
      <c r="AJ170" s="11">
        <f t="shared" si="71"/>
        <v>809796</v>
      </c>
      <c r="AK170" s="11">
        <f t="shared" si="72"/>
        <v>809796</v>
      </c>
      <c r="AL170" s="35">
        <v>3418401</v>
      </c>
      <c r="AM170" s="11">
        <f t="shared" si="79"/>
        <v>2608605</v>
      </c>
      <c r="AN170" s="72" t="str">
        <f t="shared" si="80"/>
        <v>No</v>
      </c>
      <c r="AO170" s="35">
        <v>2540838</v>
      </c>
      <c r="AP170" s="35">
        <f t="shared" si="73"/>
        <v>217296.7965</v>
      </c>
      <c r="AQ170" s="35">
        <f t="shared" si="74"/>
        <v>2323541.2034999998</v>
      </c>
      <c r="AR170" s="35">
        <f t="shared" si="75"/>
        <v>2323541.2034999998</v>
      </c>
      <c r="AS170" s="66"/>
      <c r="AT170" s="67"/>
      <c r="AU170" s="35"/>
      <c r="AV170" s="68"/>
      <c r="AW170" s="35"/>
      <c r="AX170" s="21"/>
      <c r="AZ170" s="21"/>
      <c r="BA170" s="21"/>
      <c r="BE170" s="21"/>
      <c r="BF170" s="21"/>
      <c r="BG170" s="21"/>
      <c r="BH170" s="21"/>
      <c r="BI170" s="21"/>
    </row>
    <row r="171" spans="1:61" x14ac:dyDescent="0.4">
      <c r="A171" s="8" t="s">
        <v>121</v>
      </c>
      <c r="B171" s="8"/>
      <c r="C171" s="25"/>
      <c r="D171" s="25"/>
      <c r="E171" s="25"/>
      <c r="F171" s="1">
        <v>4</v>
      </c>
      <c r="G171" s="39">
        <v>122</v>
      </c>
      <c r="H171" s="8">
        <v>145</v>
      </c>
      <c r="I171" s="3" t="s">
        <v>270</v>
      </c>
      <c r="J171" s="70"/>
      <c r="K171" s="39">
        <v>82.21</v>
      </c>
      <c r="L171" s="75"/>
      <c r="M171" s="34"/>
      <c r="N171" s="39">
        <v>6</v>
      </c>
      <c r="O171" s="65">
        <f t="shared" si="59"/>
        <v>7.2983821919474529E-2</v>
      </c>
      <c r="P171" s="65">
        <f t="shared" si="60"/>
        <v>0</v>
      </c>
      <c r="Q171" s="35">
        <f t="shared" si="61"/>
        <v>0</v>
      </c>
      <c r="R171" s="35">
        <f t="shared" si="76"/>
        <v>0</v>
      </c>
      <c r="S171" s="39">
        <v>0</v>
      </c>
      <c r="T171" s="36">
        <f t="shared" si="62"/>
        <v>1.8</v>
      </c>
      <c r="U171" s="9">
        <f t="shared" si="63"/>
        <v>84.009999999999991</v>
      </c>
      <c r="V171" s="39">
        <v>131968883</v>
      </c>
      <c r="W171" s="39">
        <v>839</v>
      </c>
      <c r="X171" s="17">
        <f t="shared" si="64"/>
        <v>157293.07</v>
      </c>
      <c r="Y171" s="37">
        <f t="shared" si="65"/>
        <v>0.84248999999999996</v>
      </c>
      <c r="Z171" s="35">
        <v>93750</v>
      </c>
      <c r="AA171" s="37">
        <f t="shared" si="66"/>
        <v>0.81415800000000005</v>
      </c>
      <c r="AB171" s="37">
        <f t="shared" si="67"/>
        <v>0.16600999999999999</v>
      </c>
      <c r="AC171" s="71">
        <f t="shared" si="68"/>
        <v>0.16600999999999999</v>
      </c>
      <c r="AD171" s="38">
        <f t="shared" si="77"/>
        <v>0</v>
      </c>
      <c r="AE171" s="74">
        <f t="shared" si="78"/>
        <v>0.16600999999999999</v>
      </c>
      <c r="AF171" s="39">
        <v>0</v>
      </c>
      <c r="AG171" s="39">
        <v>0</v>
      </c>
      <c r="AH171" s="9">
        <f t="shared" si="69"/>
        <v>0</v>
      </c>
      <c r="AI171" s="11">
        <f t="shared" si="70"/>
        <v>0</v>
      </c>
      <c r="AJ171" s="11">
        <f t="shared" si="71"/>
        <v>160733</v>
      </c>
      <c r="AK171" s="11">
        <f t="shared" si="72"/>
        <v>160733</v>
      </c>
      <c r="AL171" s="35">
        <v>237166</v>
      </c>
      <c r="AM171" s="11">
        <f t="shared" si="79"/>
        <v>76433</v>
      </c>
      <c r="AN171" s="72" t="str">
        <f t="shared" si="80"/>
        <v>No</v>
      </c>
      <c r="AO171" s="35">
        <v>218095</v>
      </c>
      <c r="AP171" s="35">
        <f t="shared" si="73"/>
        <v>6366.8688999999995</v>
      </c>
      <c r="AQ171" s="35">
        <f t="shared" si="74"/>
        <v>211728.1311</v>
      </c>
      <c r="AR171" s="35">
        <f t="shared" si="75"/>
        <v>211728.1311</v>
      </c>
      <c r="AS171" s="66"/>
      <c r="AT171" s="67"/>
      <c r="AU171" s="35"/>
      <c r="AV171" s="68"/>
      <c r="AW171" s="35"/>
      <c r="AX171" s="21"/>
      <c r="AZ171" s="21"/>
      <c r="BA171" s="21"/>
      <c r="BE171" s="21"/>
      <c r="BF171" s="21"/>
      <c r="BG171" s="21"/>
      <c r="BH171" s="21"/>
      <c r="BI171" s="21"/>
    </row>
    <row r="172" spans="1:61" x14ac:dyDescent="0.4">
      <c r="A172" s="8" t="s">
        <v>132</v>
      </c>
      <c r="B172" s="8"/>
      <c r="C172" s="25">
        <v>1</v>
      </c>
      <c r="D172" s="25">
        <v>1</v>
      </c>
      <c r="E172" s="25"/>
      <c r="F172" s="1">
        <v>9</v>
      </c>
      <c r="G172" s="39">
        <v>23</v>
      </c>
      <c r="H172" s="8">
        <v>146</v>
      </c>
      <c r="I172" s="3" t="s">
        <v>271</v>
      </c>
      <c r="J172" s="70"/>
      <c r="K172" s="39">
        <v>3406.64</v>
      </c>
      <c r="L172" s="76"/>
      <c r="M172" s="34"/>
      <c r="N172" s="39">
        <v>1824</v>
      </c>
      <c r="O172" s="65">
        <f t="shared" si="59"/>
        <v>0.53542493483314935</v>
      </c>
      <c r="P172" s="65">
        <f t="shared" si="60"/>
        <v>0</v>
      </c>
      <c r="Q172" s="35">
        <f t="shared" si="61"/>
        <v>0</v>
      </c>
      <c r="R172" s="35">
        <f t="shared" si="76"/>
        <v>0</v>
      </c>
      <c r="S172" s="39">
        <v>126</v>
      </c>
      <c r="T172" s="36">
        <f t="shared" si="62"/>
        <v>547.20000000000005</v>
      </c>
      <c r="U172" s="9">
        <f t="shared" si="63"/>
        <v>3972.7400000000002</v>
      </c>
      <c r="V172" s="39">
        <v>2673503802</v>
      </c>
      <c r="W172" s="39">
        <v>29289</v>
      </c>
      <c r="X172" s="17">
        <f t="shared" si="64"/>
        <v>91280.13</v>
      </c>
      <c r="Y172" s="37">
        <f t="shared" si="65"/>
        <v>0.48891299999999999</v>
      </c>
      <c r="Z172" s="35">
        <v>60648</v>
      </c>
      <c r="AA172" s="37">
        <f t="shared" si="66"/>
        <v>0.52668899999999996</v>
      </c>
      <c r="AB172" s="37">
        <f t="shared" si="67"/>
        <v>0.49975399999999998</v>
      </c>
      <c r="AC172" s="71">
        <f t="shared" si="68"/>
        <v>0.49975399999999998</v>
      </c>
      <c r="AD172" s="38">
        <f t="shared" si="77"/>
        <v>0</v>
      </c>
      <c r="AE172" s="74">
        <f t="shared" si="78"/>
        <v>0.49975399999999998</v>
      </c>
      <c r="AF172" s="39">
        <v>0</v>
      </c>
      <c r="AG172" s="39">
        <v>0</v>
      </c>
      <c r="AH172" s="9">
        <f t="shared" si="69"/>
        <v>0</v>
      </c>
      <c r="AI172" s="11">
        <f t="shared" si="70"/>
        <v>0</v>
      </c>
      <c r="AJ172" s="11">
        <f t="shared" si="71"/>
        <v>22881651</v>
      </c>
      <c r="AK172" s="11">
        <f t="shared" si="72"/>
        <v>22881651</v>
      </c>
      <c r="AL172" s="35">
        <v>19250233</v>
      </c>
      <c r="AM172" s="11">
        <f t="shared" si="79"/>
        <v>3631418</v>
      </c>
      <c r="AN172" s="72" t="str">
        <f t="shared" si="80"/>
        <v>Yes</v>
      </c>
      <c r="AO172" s="35">
        <v>19782980</v>
      </c>
      <c r="AP172" s="35">
        <f t="shared" si="73"/>
        <v>387109.15879999998</v>
      </c>
      <c r="AQ172" s="35">
        <f t="shared" si="74"/>
        <v>20170089.158799998</v>
      </c>
      <c r="AR172" s="35">
        <f t="shared" si="75"/>
        <v>20170089.158799998</v>
      </c>
      <c r="AS172" s="66"/>
      <c r="AT172" s="67"/>
      <c r="AU172" s="35"/>
      <c r="AV172" s="68"/>
      <c r="AW172" s="35"/>
      <c r="AX172" s="21"/>
      <c r="AZ172" s="21"/>
      <c r="BA172" s="21"/>
      <c r="BE172" s="21"/>
      <c r="BF172" s="21"/>
      <c r="BG172" s="21"/>
      <c r="BH172" s="21"/>
      <c r="BI172" s="21"/>
    </row>
    <row r="173" spans="1:61" x14ac:dyDescent="0.4">
      <c r="A173" s="8" t="s">
        <v>145</v>
      </c>
      <c r="B173" s="8"/>
      <c r="C173" s="25"/>
      <c r="D173" s="25"/>
      <c r="E173" s="25"/>
      <c r="F173" s="1">
        <v>8</v>
      </c>
      <c r="G173" s="39">
        <v>50</v>
      </c>
      <c r="H173" s="8">
        <v>147</v>
      </c>
      <c r="I173" s="3" t="s">
        <v>272</v>
      </c>
      <c r="J173" s="70"/>
      <c r="K173" s="39">
        <v>332.5</v>
      </c>
      <c r="L173" s="76"/>
      <c r="M173" s="34"/>
      <c r="N173" s="39">
        <v>87</v>
      </c>
      <c r="O173" s="65">
        <f t="shared" si="59"/>
        <v>0.26165413533834586</v>
      </c>
      <c r="P173" s="65">
        <f t="shared" si="60"/>
        <v>0</v>
      </c>
      <c r="Q173" s="35">
        <f t="shared" si="61"/>
        <v>0</v>
      </c>
      <c r="R173" s="35">
        <f t="shared" si="76"/>
        <v>0</v>
      </c>
      <c r="S173" s="39">
        <v>0</v>
      </c>
      <c r="T173" s="36">
        <f t="shared" si="62"/>
        <v>26.1</v>
      </c>
      <c r="U173" s="9">
        <f t="shared" si="63"/>
        <v>358.6</v>
      </c>
      <c r="V173" s="39">
        <v>301496674</v>
      </c>
      <c r="W173" s="39">
        <v>2558</v>
      </c>
      <c r="X173" s="17">
        <f t="shared" si="64"/>
        <v>117864.22</v>
      </c>
      <c r="Y173" s="37">
        <f t="shared" si="65"/>
        <v>0.63130200000000003</v>
      </c>
      <c r="Z173" s="35">
        <v>81400</v>
      </c>
      <c r="AA173" s="37">
        <f t="shared" si="66"/>
        <v>0.70690600000000003</v>
      </c>
      <c r="AB173" s="37">
        <f t="shared" si="67"/>
        <v>0.34601700000000002</v>
      </c>
      <c r="AC173" s="71">
        <f t="shared" si="68"/>
        <v>0.34601700000000002</v>
      </c>
      <c r="AD173" s="38">
        <f t="shared" si="77"/>
        <v>0</v>
      </c>
      <c r="AE173" s="74">
        <f t="shared" si="78"/>
        <v>0.34601700000000002</v>
      </c>
      <c r="AF173" s="39">
        <v>0</v>
      </c>
      <c r="AG173" s="39">
        <v>0</v>
      </c>
      <c r="AH173" s="9">
        <f t="shared" si="69"/>
        <v>0</v>
      </c>
      <c r="AI173" s="11">
        <f t="shared" si="70"/>
        <v>0</v>
      </c>
      <c r="AJ173" s="11">
        <f t="shared" si="71"/>
        <v>1430042</v>
      </c>
      <c r="AK173" s="11">
        <f t="shared" si="72"/>
        <v>1430042</v>
      </c>
      <c r="AL173" s="35">
        <v>2502621</v>
      </c>
      <c r="AM173" s="11">
        <f t="shared" si="79"/>
        <v>1072579</v>
      </c>
      <c r="AN173" s="72" t="str">
        <f t="shared" si="80"/>
        <v>No</v>
      </c>
      <c r="AO173" s="35">
        <v>2206589</v>
      </c>
      <c r="AP173" s="35">
        <f t="shared" si="73"/>
        <v>89345.830700000006</v>
      </c>
      <c r="AQ173" s="35">
        <f t="shared" si="74"/>
        <v>2117243.1693000002</v>
      </c>
      <c r="AR173" s="35">
        <f t="shared" si="75"/>
        <v>2117243.1693000002</v>
      </c>
      <c r="AS173" s="66"/>
      <c r="AT173" s="67"/>
      <c r="AU173" s="35"/>
      <c r="AV173" s="68"/>
      <c r="AW173" s="35"/>
      <c r="AX173" s="21"/>
      <c r="AZ173" s="21"/>
      <c r="BA173" s="21"/>
      <c r="BE173" s="21"/>
      <c r="BF173" s="21"/>
      <c r="BG173" s="21"/>
      <c r="BH173" s="21"/>
      <c r="BI173" s="21"/>
    </row>
    <row r="174" spans="1:61" x14ac:dyDescent="0.4">
      <c r="A174" s="8" t="s">
        <v>127</v>
      </c>
      <c r="B174" s="8"/>
      <c r="C174" s="25"/>
      <c r="D174" s="25"/>
      <c r="E174" s="25"/>
      <c r="F174" s="1">
        <v>6</v>
      </c>
      <c r="G174" s="39">
        <v>85</v>
      </c>
      <c r="H174" s="8">
        <v>148</v>
      </c>
      <c r="I174" s="3" t="s">
        <v>273</v>
      </c>
      <c r="J174" s="70"/>
      <c r="K174" s="39">
        <v>5723.74</v>
      </c>
      <c r="L174" s="75"/>
      <c r="M174" s="34"/>
      <c r="N174" s="39">
        <v>1840</v>
      </c>
      <c r="O174" s="65">
        <f t="shared" si="59"/>
        <v>0.32146813097729809</v>
      </c>
      <c r="P174" s="65">
        <f t="shared" si="60"/>
        <v>0</v>
      </c>
      <c r="Q174" s="35">
        <f t="shared" si="61"/>
        <v>0</v>
      </c>
      <c r="R174" s="35">
        <f t="shared" si="76"/>
        <v>0</v>
      </c>
      <c r="S174" s="39">
        <v>347</v>
      </c>
      <c r="T174" s="36">
        <f t="shared" si="62"/>
        <v>552</v>
      </c>
      <c r="U174" s="9">
        <f t="shared" si="63"/>
        <v>6327.79</v>
      </c>
      <c r="V174" s="39">
        <v>6179996621.6700001</v>
      </c>
      <c r="W174" s="39">
        <v>44741</v>
      </c>
      <c r="X174" s="17">
        <f t="shared" si="64"/>
        <v>138128.26</v>
      </c>
      <c r="Y174" s="37">
        <f t="shared" si="65"/>
        <v>0.73984000000000005</v>
      </c>
      <c r="Z174" s="35">
        <v>77128</v>
      </c>
      <c r="AA174" s="37">
        <f t="shared" si="66"/>
        <v>0.66980700000000004</v>
      </c>
      <c r="AB174" s="37">
        <f t="shared" si="67"/>
        <v>0.28116999999999998</v>
      </c>
      <c r="AC174" s="71">
        <f t="shared" si="68"/>
        <v>0.28116999999999998</v>
      </c>
      <c r="AD174" s="38">
        <f t="shared" si="77"/>
        <v>0</v>
      </c>
      <c r="AE174" s="74">
        <f t="shared" si="78"/>
        <v>0.28116999999999998</v>
      </c>
      <c r="AF174" s="39">
        <v>0</v>
      </c>
      <c r="AG174" s="39">
        <v>0</v>
      </c>
      <c r="AH174" s="9">
        <f t="shared" si="69"/>
        <v>0</v>
      </c>
      <c r="AI174" s="11">
        <f t="shared" si="70"/>
        <v>0</v>
      </c>
      <c r="AJ174" s="11">
        <f t="shared" si="71"/>
        <v>20505104</v>
      </c>
      <c r="AK174" s="11">
        <f t="shared" si="72"/>
        <v>20505104</v>
      </c>
      <c r="AL174" s="35">
        <v>21301522</v>
      </c>
      <c r="AM174" s="11">
        <f t="shared" si="79"/>
        <v>796418</v>
      </c>
      <c r="AN174" s="72" t="str">
        <f t="shared" si="80"/>
        <v>No</v>
      </c>
      <c r="AO174" s="35">
        <v>20921912</v>
      </c>
      <c r="AP174" s="35">
        <f t="shared" si="73"/>
        <v>66341.619399999996</v>
      </c>
      <c r="AQ174" s="35">
        <f t="shared" si="74"/>
        <v>20855570.380600002</v>
      </c>
      <c r="AR174" s="35">
        <f t="shared" si="75"/>
        <v>20855570.380600002</v>
      </c>
      <c r="AS174" s="66"/>
      <c r="AT174" s="67"/>
      <c r="AU174" s="35"/>
      <c r="AV174" s="68"/>
      <c r="AW174" s="35"/>
      <c r="AX174" s="21"/>
      <c r="AZ174" s="21"/>
      <c r="BA174" s="21"/>
      <c r="BE174" s="21"/>
      <c r="BF174" s="21"/>
      <c r="BG174" s="21"/>
      <c r="BH174" s="21"/>
      <c r="BI174" s="21"/>
    </row>
    <row r="175" spans="1:61" x14ac:dyDescent="0.4">
      <c r="A175" s="8" t="s">
        <v>121</v>
      </c>
      <c r="B175" s="8"/>
      <c r="C175" s="25"/>
      <c r="D175" s="25"/>
      <c r="E175" s="25"/>
      <c r="F175" s="1">
        <v>1</v>
      </c>
      <c r="G175" s="39">
        <v>155</v>
      </c>
      <c r="H175" s="8">
        <v>149</v>
      </c>
      <c r="I175" s="3" t="s">
        <v>274</v>
      </c>
      <c r="J175" s="70"/>
      <c r="K175" s="39">
        <v>135.75</v>
      </c>
      <c r="L175" s="75"/>
      <c r="M175" s="34"/>
      <c r="N175" s="39">
        <v>33</v>
      </c>
      <c r="O175" s="65">
        <f t="shared" si="59"/>
        <v>0.24309392265193369</v>
      </c>
      <c r="P175" s="65">
        <f t="shared" si="60"/>
        <v>0</v>
      </c>
      <c r="Q175" s="35">
        <f t="shared" si="61"/>
        <v>0</v>
      </c>
      <c r="R175" s="35">
        <f t="shared" si="76"/>
        <v>0</v>
      </c>
      <c r="S175" s="39">
        <v>0</v>
      </c>
      <c r="T175" s="36">
        <f t="shared" si="62"/>
        <v>9.9</v>
      </c>
      <c r="U175" s="9">
        <f t="shared" si="63"/>
        <v>145.65</v>
      </c>
      <c r="V175" s="39">
        <v>521714920</v>
      </c>
      <c r="W175" s="39">
        <v>1410</v>
      </c>
      <c r="X175" s="17">
        <f t="shared" si="64"/>
        <v>370010.58</v>
      </c>
      <c r="Y175" s="37">
        <f t="shared" si="65"/>
        <v>1.9818439999999999</v>
      </c>
      <c r="Z175" s="35">
        <v>98750</v>
      </c>
      <c r="AA175" s="37">
        <f t="shared" si="66"/>
        <v>0.85758000000000001</v>
      </c>
      <c r="AB175" s="37">
        <f t="shared" si="67"/>
        <v>-0.64456500000000005</v>
      </c>
      <c r="AC175" s="71">
        <f t="shared" si="68"/>
        <v>0.01</v>
      </c>
      <c r="AD175" s="38">
        <f t="shared" si="77"/>
        <v>0</v>
      </c>
      <c r="AE175" s="74">
        <f t="shared" si="78"/>
        <v>0.01</v>
      </c>
      <c r="AF175" s="39">
        <v>140</v>
      </c>
      <c r="AG175" s="39">
        <v>13</v>
      </c>
      <c r="AH175" s="9">
        <f t="shared" si="69"/>
        <v>100</v>
      </c>
      <c r="AI175" s="11">
        <f t="shared" si="70"/>
        <v>14000</v>
      </c>
      <c r="AJ175" s="11">
        <f t="shared" si="71"/>
        <v>16786</v>
      </c>
      <c r="AK175" s="11">
        <f t="shared" si="72"/>
        <v>30786</v>
      </c>
      <c r="AL175" s="35">
        <v>33205</v>
      </c>
      <c r="AM175" s="11">
        <f t="shared" si="79"/>
        <v>2419</v>
      </c>
      <c r="AN175" s="72" t="str">
        <f t="shared" si="80"/>
        <v>No</v>
      </c>
      <c r="AO175" s="35">
        <v>32317</v>
      </c>
      <c r="AP175" s="35">
        <f t="shared" si="73"/>
        <v>201.5027</v>
      </c>
      <c r="AQ175" s="35">
        <f t="shared" si="74"/>
        <v>32115.497299999999</v>
      </c>
      <c r="AR175" s="35">
        <f t="shared" si="75"/>
        <v>32115.497299999999</v>
      </c>
      <c r="AS175" s="66"/>
      <c r="AT175" s="67"/>
      <c r="AU175" s="35"/>
      <c r="AV175" s="68"/>
      <c r="AW175" s="35"/>
      <c r="AX175" s="21"/>
      <c r="AZ175" s="21"/>
      <c r="BA175" s="21"/>
      <c r="BE175" s="21"/>
      <c r="BF175" s="21"/>
      <c r="BG175" s="21"/>
      <c r="BH175" s="21"/>
      <c r="BI175" s="21"/>
    </row>
    <row r="176" spans="1:61" x14ac:dyDescent="0.4">
      <c r="A176" s="8" t="s">
        <v>117</v>
      </c>
      <c r="B176" s="8"/>
      <c r="C176" s="25"/>
      <c r="D176" s="25"/>
      <c r="E176" s="25"/>
      <c r="F176" s="1">
        <v>1</v>
      </c>
      <c r="G176" s="39">
        <v>164</v>
      </c>
      <c r="H176" s="8">
        <v>150</v>
      </c>
      <c r="I176" s="3" t="s">
        <v>275</v>
      </c>
      <c r="J176" s="70"/>
      <c r="K176" s="39">
        <v>269.86</v>
      </c>
      <c r="L176" s="75"/>
      <c r="M176" s="34"/>
      <c r="N176" s="39">
        <v>70</v>
      </c>
      <c r="O176" s="65">
        <f t="shared" si="59"/>
        <v>0.25939375972726597</v>
      </c>
      <c r="P176" s="65">
        <f t="shared" si="60"/>
        <v>0</v>
      </c>
      <c r="Q176" s="35">
        <f t="shared" si="61"/>
        <v>0</v>
      </c>
      <c r="R176" s="35">
        <f t="shared" si="76"/>
        <v>0</v>
      </c>
      <c r="S176" s="39">
        <v>4</v>
      </c>
      <c r="T176" s="36">
        <f t="shared" si="62"/>
        <v>21</v>
      </c>
      <c r="U176" s="9">
        <f t="shared" si="63"/>
        <v>291.46000000000004</v>
      </c>
      <c r="V176" s="39">
        <v>1695440512.3299999</v>
      </c>
      <c r="W176" s="39">
        <v>3453</v>
      </c>
      <c r="X176" s="17">
        <f t="shared" si="64"/>
        <v>491005.07</v>
      </c>
      <c r="Y176" s="37">
        <f t="shared" si="65"/>
        <v>2.629912</v>
      </c>
      <c r="Z176" s="35">
        <v>93975</v>
      </c>
      <c r="AA176" s="37">
        <f t="shared" si="66"/>
        <v>0.81611199999999995</v>
      </c>
      <c r="AB176" s="37">
        <f t="shared" si="67"/>
        <v>-1.085772</v>
      </c>
      <c r="AC176" s="71">
        <f t="shared" si="68"/>
        <v>0.01</v>
      </c>
      <c r="AD176" s="38">
        <f t="shared" si="77"/>
        <v>0</v>
      </c>
      <c r="AE176" s="74">
        <f t="shared" si="78"/>
        <v>0.01</v>
      </c>
      <c r="AF176" s="39">
        <v>266</v>
      </c>
      <c r="AG176" s="39">
        <v>13</v>
      </c>
      <c r="AH176" s="9">
        <f t="shared" si="69"/>
        <v>100</v>
      </c>
      <c r="AI176" s="11">
        <f t="shared" si="70"/>
        <v>26600</v>
      </c>
      <c r="AJ176" s="11">
        <f t="shared" si="71"/>
        <v>33591</v>
      </c>
      <c r="AK176" s="11">
        <f t="shared" si="72"/>
        <v>60191</v>
      </c>
      <c r="AL176" s="35">
        <v>50646</v>
      </c>
      <c r="AM176" s="11">
        <f t="shared" si="79"/>
        <v>9545</v>
      </c>
      <c r="AN176" s="72" t="str">
        <f t="shared" si="80"/>
        <v>Yes</v>
      </c>
      <c r="AO176" s="35">
        <v>51990</v>
      </c>
      <c r="AP176" s="35">
        <f t="shared" si="73"/>
        <v>1017.497</v>
      </c>
      <c r="AQ176" s="35">
        <f t="shared" si="74"/>
        <v>53007.497000000003</v>
      </c>
      <c r="AR176" s="35">
        <f t="shared" si="75"/>
        <v>53007.497000000003</v>
      </c>
      <c r="AS176" s="66"/>
      <c r="AT176" s="67"/>
      <c r="AU176" s="35"/>
      <c r="AV176" s="68"/>
      <c r="AW176" s="35"/>
      <c r="AX176" s="21"/>
      <c r="AZ176" s="21"/>
      <c r="BA176" s="21"/>
      <c r="BE176" s="21"/>
      <c r="BF176" s="21"/>
      <c r="BG176" s="21"/>
      <c r="BH176" s="21"/>
      <c r="BI176" s="21"/>
    </row>
    <row r="177" spans="1:61" x14ac:dyDescent="0.4">
      <c r="A177" s="8" t="s">
        <v>137</v>
      </c>
      <c r="B177" s="8">
        <v>1</v>
      </c>
      <c r="C177" s="25">
        <v>1</v>
      </c>
      <c r="D177" s="25">
        <v>0</v>
      </c>
      <c r="E177" s="25">
        <v>1</v>
      </c>
      <c r="F177" s="1">
        <v>10</v>
      </c>
      <c r="G177" s="39">
        <v>2</v>
      </c>
      <c r="H177" s="8">
        <v>151</v>
      </c>
      <c r="I177" s="3" t="s">
        <v>276</v>
      </c>
      <c r="J177" s="70"/>
      <c r="K177" s="39">
        <v>18239.259999999998</v>
      </c>
      <c r="L177" s="76"/>
      <c r="M177" s="34"/>
      <c r="N177" s="39">
        <v>14862</v>
      </c>
      <c r="O177" s="65">
        <f t="shared" si="59"/>
        <v>0.81483568960582842</v>
      </c>
      <c r="P177" s="65">
        <f t="shared" si="60"/>
        <v>6.4835689605828417E-2</v>
      </c>
      <c r="Q177" s="35">
        <f t="shared" si="61"/>
        <v>1182.5550000000019</v>
      </c>
      <c r="R177" s="35">
        <f t="shared" si="76"/>
        <v>59.127750000000098</v>
      </c>
      <c r="S177" s="39">
        <v>2912</v>
      </c>
      <c r="T177" s="36">
        <f t="shared" si="62"/>
        <v>4458.6000000000004</v>
      </c>
      <c r="U177" s="9">
        <f t="shared" si="63"/>
        <v>23193.78775</v>
      </c>
      <c r="V177" s="39">
        <v>5955933326.3299999</v>
      </c>
      <c r="W177" s="39">
        <v>108629</v>
      </c>
      <c r="X177" s="17">
        <f t="shared" si="64"/>
        <v>54828.21</v>
      </c>
      <c r="Y177" s="37">
        <f t="shared" si="65"/>
        <v>0.29366999999999999</v>
      </c>
      <c r="Z177" s="35">
        <v>40879</v>
      </c>
      <c r="AA177" s="37">
        <f t="shared" si="66"/>
        <v>0.35500799999999999</v>
      </c>
      <c r="AB177" s="37">
        <f t="shared" si="67"/>
        <v>0.68792900000000001</v>
      </c>
      <c r="AC177" s="71">
        <f t="shared" si="68"/>
        <v>0.68792900000000001</v>
      </c>
      <c r="AD177" s="38">
        <f t="shared" si="77"/>
        <v>0.06</v>
      </c>
      <c r="AE177" s="74">
        <f t="shared" si="78"/>
        <v>0.74792900000000007</v>
      </c>
      <c r="AF177" s="39">
        <v>0</v>
      </c>
      <c r="AG177" s="39">
        <v>0</v>
      </c>
      <c r="AH177" s="9">
        <f t="shared" si="69"/>
        <v>0</v>
      </c>
      <c r="AI177" s="11">
        <f t="shared" si="70"/>
        <v>0</v>
      </c>
      <c r="AJ177" s="11">
        <f t="shared" si="71"/>
        <v>199927707</v>
      </c>
      <c r="AK177" s="11">
        <f t="shared" si="72"/>
        <v>199927707</v>
      </c>
      <c r="AL177" s="35">
        <v>133606066</v>
      </c>
      <c r="AM177" s="11">
        <f t="shared" si="79"/>
        <v>66321641</v>
      </c>
      <c r="AN177" s="72" t="str">
        <f t="shared" si="80"/>
        <v>Yes</v>
      </c>
      <c r="AO177" s="35">
        <v>143020652</v>
      </c>
      <c r="AP177" s="35">
        <f t="shared" si="73"/>
        <v>7069886.9305999996</v>
      </c>
      <c r="AQ177" s="35">
        <f t="shared" si="74"/>
        <v>150090538.93059999</v>
      </c>
      <c r="AR177" s="35">
        <f t="shared" si="75"/>
        <v>150090538.93059999</v>
      </c>
      <c r="AS177" s="66"/>
      <c r="AT177" s="67"/>
      <c r="AU177" s="35"/>
      <c r="AV177" s="68"/>
      <c r="AW177" s="35"/>
      <c r="AX177" s="21"/>
      <c r="AZ177" s="21"/>
      <c r="BA177" s="21"/>
      <c r="BE177" s="21"/>
      <c r="BF177" s="21"/>
      <c r="BG177" s="21"/>
      <c r="BH177" s="21"/>
      <c r="BI177" s="21"/>
    </row>
    <row r="178" spans="1:61" x14ac:dyDescent="0.4">
      <c r="A178" s="8" t="s">
        <v>127</v>
      </c>
      <c r="B178" s="8"/>
      <c r="C178" s="25"/>
      <c r="D178" s="25"/>
      <c r="E178" s="25"/>
      <c r="F178" s="1">
        <v>2</v>
      </c>
      <c r="G178" s="39">
        <v>103</v>
      </c>
      <c r="H178" s="8">
        <v>152</v>
      </c>
      <c r="I178" s="3" t="s">
        <v>277</v>
      </c>
      <c r="J178" s="70"/>
      <c r="K178" s="39">
        <v>2666.85</v>
      </c>
      <c r="L178" s="75"/>
      <c r="M178" s="34"/>
      <c r="N178" s="39">
        <v>851</v>
      </c>
      <c r="O178" s="65">
        <f t="shared" si="59"/>
        <v>0.31910306166451058</v>
      </c>
      <c r="P178" s="65">
        <f t="shared" si="60"/>
        <v>0</v>
      </c>
      <c r="Q178" s="35">
        <f t="shared" si="61"/>
        <v>0</v>
      </c>
      <c r="R178" s="35">
        <f t="shared" si="76"/>
        <v>0</v>
      </c>
      <c r="S178" s="39">
        <v>80</v>
      </c>
      <c r="T178" s="36">
        <f t="shared" si="62"/>
        <v>255.3</v>
      </c>
      <c r="U178" s="9">
        <f t="shared" si="63"/>
        <v>2934.15</v>
      </c>
      <c r="V178" s="39">
        <v>4691614349.3299999</v>
      </c>
      <c r="W178" s="39">
        <v>19007</v>
      </c>
      <c r="X178" s="17">
        <f t="shared" si="64"/>
        <v>246836.13</v>
      </c>
      <c r="Y178" s="37">
        <f t="shared" si="65"/>
        <v>1.3220989999999999</v>
      </c>
      <c r="Z178" s="35">
        <v>79175</v>
      </c>
      <c r="AA178" s="37">
        <f t="shared" si="66"/>
        <v>0.68758399999999997</v>
      </c>
      <c r="AB178" s="37">
        <f t="shared" si="67"/>
        <v>-0.131745</v>
      </c>
      <c r="AC178" s="71">
        <f t="shared" si="68"/>
        <v>0.01</v>
      </c>
      <c r="AD178" s="38">
        <f t="shared" si="77"/>
        <v>0</v>
      </c>
      <c r="AE178" s="74">
        <f t="shared" si="78"/>
        <v>0.01</v>
      </c>
      <c r="AF178" s="39">
        <v>0</v>
      </c>
      <c r="AG178" s="39">
        <v>0</v>
      </c>
      <c r="AH178" s="9">
        <f t="shared" si="69"/>
        <v>0</v>
      </c>
      <c r="AI178" s="11">
        <f t="shared" si="70"/>
        <v>0</v>
      </c>
      <c r="AJ178" s="11">
        <f t="shared" si="71"/>
        <v>338161</v>
      </c>
      <c r="AK178" s="11">
        <f t="shared" si="72"/>
        <v>338161</v>
      </c>
      <c r="AL178" s="35">
        <v>321279</v>
      </c>
      <c r="AM178" s="11">
        <f t="shared" si="79"/>
        <v>16882</v>
      </c>
      <c r="AN178" s="72" t="str">
        <f t="shared" si="80"/>
        <v>Yes</v>
      </c>
      <c r="AO178" s="35">
        <v>324644</v>
      </c>
      <c r="AP178" s="35">
        <f t="shared" si="73"/>
        <v>1799.6212</v>
      </c>
      <c r="AQ178" s="35">
        <f t="shared" si="74"/>
        <v>326443.62119999999</v>
      </c>
      <c r="AR178" s="35">
        <f t="shared" si="75"/>
        <v>326443.62119999999</v>
      </c>
      <c r="AS178" s="66"/>
      <c r="AT178" s="67"/>
      <c r="AU178" s="35"/>
      <c r="AV178" s="68"/>
      <c r="AW178" s="35"/>
      <c r="AX178" s="21"/>
      <c r="AZ178" s="21"/>
      <c r="BA178" s="21"/>
      <c r="BE178" s="21"/>
      <c r="BF178" s="21"/>
      <c r="BG178" s="21"/>
      <c r="BH178" s="21"/>
      <c r="BI178" s="21"/>
    </row>
    <row r="179" spans="1:61" x14ac:dyDescent="0.4">
      <c r="A179" s="8" t="s">
        <v>127</v>
      </c>
      <c r="B179" s="8"/>
      <c r="C179" s="25"/>
      <c r="D179" s="25"/>
      <c r="E179" s="25"/>
      <c r="F179" s="1">
        <v>7</v>
      </c>
      <c r="G179" s="39">
        <v>57</v>
      </c>
      <c r="H179" s="8">
        <v>153</v>
      </c>
      <c r="I179" s="3" t="s">
        <v>278</v>
      </c>
      <c r="J179" s="70"/>
      <c r="K179" s="39">
        <v>2768.33</v>
      </c>
      <c r="L179" s="75"/>
      <c r="M179" s="34"/>
      <c r="N179" s="39">
        <v>1032</v>
      </c>
      <c r="O179" s="65">
        <f t="shared" si="59"/>
        <v>0.37278792629491425</v>
      </c>
      <c r="P179" s="65">
        <f t="shared" si="60"/>
        <v>0</v>
      </c>
      <c r="Q179" s="35">
        <f t="shared" si="61"/>
        <v>0</v>
      </c>
      <c r="R179" s="35">
        <f t="shared" si="76"/>
        <v>0</v>
      </c>
      <c r="S179" s="39">
        <v>123</v>
      </c>
      <c r="T179" s="36">
        <f t="shared" si="62"/>
        <v>309.60000000000002</v>
      </c>
      <c r="U179" s="9">
        <f t="shared" si="63"/>
        <v>3096.3799999999997</v>
      </c>
      <c r="V179" s="39">
        <v>2662715055</v>
      </c>
      <c r="W179" s="39">
        <v>21740</v>
      </c>
      <c r="X179" s="17">
        <f t="shared" si="64"/>
        <v>122479.99</v>
      </c>
      <c r="Y179" s="37">
        <f t="shared" si="65"/>
        <v>0.65602499999999997</v>
      </c>
      <c r="Z179" s="35">
        <v>77946</v>
      </c>
      <c r="AA179" s="37">
        <f t="shared" si="66"/>
        <v>0.67691100000000004</v>
      </c>
      <c r="AB179" s="37">
        <f t="shared" si="67"/>
        <v>0.33770899999999998</v>
      </c>
      <c r="AC179" s="71">
        <f t="shared" si="68"/>
        <v>0.33770899999999998</v>
      </c>
      <c r="AD179" s="38">
        <f t="shared" si="77"/>
        <v>0</v>
      </c>
      <c r="AE179" s="74">
        <f t="shared" si="78"/>
        <v>0.33770899999999998</v>
      </c>
      <c r="AF179" s="39">
        <v>0</v>
      </c>
      <c r="AG179" s="39">
        <v>0</v>
      </c>
      <c r="AH179" s="9">
        <f t="shared" si="69"/>
        <v>0</v>
      </c>
      <c r="AI179" s="11">
        <f t="shared" si="70"/>
        <v>0</v>
      </c>
      <c r="AJ179" s="11">
        <f t="shared" si="71"/>
        <v>12051409</v>
      </c>
      <c r="AK179" s="11">
        <f t="shared" si="72"/>
        <v>12051409</v>
      </c>
      <c r="AL179" s="35">
        <v>11753175</v>
      </c>
      <c r="AM179" s="11">
        <f t="shared" si="79"/>
        <v>298234</v>
      </c>
      <c r="AN179" s="72" t="str">
        <f t="shared" si="80"/>
        <v>Yes</v>
      </c>
      <c r="AO179" s="35">
        <v>11748394</v>
      </c>
      <c r="AP179" s="35">
        <f t="shared" si="73"/>
        <v>31791.7444</v>
      </c>
      <c r="AQ179" s="35">
        <f t="shared" si="74"/>
        <v>11780185.7444</v>
      </c>
      <c r="AR179" s="35">
        <f t="shared" si="75"/>
        <v>11780185.7444</v>
      </c>
      <c r="AS179" s="66"/>
      <c r="AT179" s="67"/>
      <c r="AU179" s="35"/>
      <c r="AV179" s="68"/>
      <c r="AW179" s="35"/>
      <c r="AX179" s="21"/>
      <c r="AZ179" s="21"/>
      <c r="BA179" s="21"/>
      <c r="BE179" s="21"/>
      <c r="BF179" s="21"/>
      <c r="BG179" s="21"/>
      <c r="BH179" s="21"/>
      <c r="BI179" s="21"/>
    </row>
    <row r="180" spans="1:61" x14ac:dyDescent="0.4">
      <c r="A180" s="8" t="s">
        <v>121</v>
      </c>
      <c r="B180" s="8"/>
      <c r="C180" s="25"/>
      <c r="D180" s="25"/>
      <c r="E180" s="25"/>
      <c r="F180" s="1">
        <v>2</v>
      </c>
      <c r="G180" s="39">
        <v>151</v>
      </c>
      <c r="H180" s="8">
        <v>154</v>
      </c>
      <c r="I180" s="3" t="s">
        <v>279</v>
      </c>
      <c r="J180" s="70"/>
      <c r="K180" s="39">
        <v>681.3</v>
      </c>
      <c r="L180" s="75"/>
      <c r="M180" s="34"/>
      <c r="N180" s="39">
        <v>247</v>
      </c>
      <c r="O180" s="65">
        <f t="shared" si="59"/>
        <v>0.36254219873770732</v>
      </c>
      <c r="P180" s="65">
        <f t="shared" si="60"/>
        <v>0</v>
      </c>
      <c r="Q180" s="35">
        <f t="shared" si="61"/>
        <v>0</v>
      </c>
      <c r="R180" s="35">
        <f t="shared" si="76"/>
        <v>0</v>
      </c>
      <c r="S180" s="39">
        <v>89</v>
      </c>
      <c r="T180" s="36">
        <f t="shared" si="62"/>
        <v>74.099999999999994</v>
      </c>
      <c r="U180" s="9">
        <f t="shared" si="63"/>
        <v>768.75</v>
      </c>
      <c r="V180" s="39">
        <v>1695121472</v>
      </c>
      <c r="W180" s="39">
        <v>6956</v>
      </c>
      <c r="X180" s="17">
        <f t="shared" si="64"/>
        <v>243691.99</v>
      </c>
      <c r="Y180" s="37">
        <f t="shared" si="65"/>
        <v>1.3052589999999999</v>
      </c>
      <c r="Z180" s="35">
        <v>95583</v>
      </c>
      <c r="AA180" s="37">
        <f t="shared" si="66"/>
        <v>0.83007699999999995</v>
      </c>
      <c r="AB180" s="37">
        <f t="shared" si="67"/>
        <v>-0.16270399999999999</v>
      </c>
      <c r="AC180" s="71">
        <f t="shared" si="68"/>
        <v>0.01</v>
      </c>
      <c r="AD180" s="38">
        <f t="shared" si="77"/>
        <v>0</v>
      </c>
      <c r="AE180" s="74">
        <f t="shared" si="78"/>
        <v>0.01</v>
      </c>
      <c r="AF180" s="39">
        <v>0</v>
      </c>
      <c r="AG180" s="39">
        <v>0</v>
      </c>
      <c r="AH180" s="9">
        <f t="shared" si="69"/>
        <v>0</v>
      </c>
      <c r="AI180" s="11">
        <f t="shared" si="70"/>
        <v>0</v>
      </c>
      <c r="AJ180" s="11">
        <f t="shared" si="71"/>
        <v>88598</v>
      </c>
      <c r="AK180" s="11">
        <f t="shared" si="72"/>
        <v>88598</v>
      </c>
      <c r="AL180" s="35">
        <v>70393</v>
      </c>
      <c r="AM180" s="11">
        <f t="shared" si="79"/>
        <v>18205</v>
      </c>
      <c r="AN180" s="72" t="str">
        <f t="shared" si="80"/>
        <v>Yes</v>
      </c>
      <c r="AO180" s="35">
        <v>73038</v>
      </c>
      <c r="AP180" s="35">
        <f t="shared" si="73"/>
        <v>1940.653</v>
      </c>
      <c r="AQ180" s="35">
        <f t="shared" si="74"/>
        <v>74978.653000000006</v>
      </c>
      <c r="AR180" s="35">
        <f t="shared" si="75"/>
        <v>74978.653000000006</v>
      </c>
      <c r="AS180" s="66"/>
      <c r="AT180" s="67"/>
      <c r="AU180" s="35"/>
      <c r="AV180" s="68"/>
      <c r="AW180" s="35"/>
      <c r="AX180" s="21"/>
      <c r="AZ180" s="21"/>
      <c r="BA180" s="21"/>
      <c r="BE180" s="21"/>
      <c r="BF180" s="21"/>
      <c r="BG180" s="21"/>
      <c r="BH180" s="21"/>
      <c r="BI180" s="21"/>
    </row>
    <row r="181" spans="1:61" x14ac:dyDescent="0.4">
      <c r="A181" s="8" t="s">
        <v>123</v>
      </c>
      <c r="B181" s="8"/>
      <c r="C181" s="25"/>
      <c r="D181" s="25"/>
      <c r="E181" s="25"/>
      <c r="F181" s="1">
        <v>7</v>
      </c>
      <c r="G181" s="39">
        <v>89</v>
      </c>
      <c r="H181" s="8">
        <v>155</v>
      </c>
      <c r="I181" s="3" t="s">
        <v>280</v>
      </c>
      <c r="J181" s="70"/>
      <c r="K181" s="39">
        <v>9745.0400000000009</v>
      </c>
      <c r="L181" s="76"/>
      <c r="M181" s="34"/>
      <c r="N181" s="39">
        <v>2497</v>
      </c>
      <c r="O181" s="65">
        <f t="shared" si="59"/>
        <v>0.2562329143851641</v>
      </c>
      <c r="P181" s="65">
        <f t="shared" si="60"/>
        <v>0</v>
      </c>
      <c r="Q181" s="35">
        <f t="shared" si="61"/>
        <v>0</v>
      </c>
      <c r="R181" s="35">
        <f t="shared" si="76"/>
        <v>0</v>
      </c>
      <c r="S181" s="39">
        <v>627</v>
      </c>
      <c r="T181" s="36">
        <f t="shared" si="62"/>
        <v>749.1</v>
      </c>
      <c r="U181" s="9">
        <f t="shared" si="63"/>
        <v>10588.19</v>
      </c>
      <c r="V181" s="39">
        <v>9255165861.3299999</v>
      </c>
      <c r="W181" s="39">
        <v>63133</v>
      </c>
      <c r="X181" s="17">
        <f t="shared" si="64"/>
        <v>146597.91</v>
      </c>
      <c r="Y181" s="37">
        <f t="shared" si="65"/>
        <v>0.78520500000000004</v>
      </c>
      <c r="Z181" s="35">
        <v>95298</v>
      </c>
      <c r="AA181" s="37">
        <f t="shared" si="66"/>
        <v>0.82760199999999995</v>
      </c>
      <c r="AB181" s="37">
        <f t="shared" si="67"/>
        <v>0.20207600000000001</v>
      </c>
      <c r="AC181" s="71">
        <f t="shared" si="68"/>
        <v>0.20207600000000001</v>
      </c>
      <c r="AD181" s="38">
        <f t="shared" si="77"/>
        <v>0</v>
      </c>
      <c r="AE181" s="74">
        <f t="shared" si="78"/>
        <v>0.20207600000000001</v>
      </c>
      <c r="AF181" s="39">
        <v>0</v>
      </c>
      <c r="AG181" s="39">
        <v>0</v>
      </c>
      <c r="AH181" s="9">
        <f t="shared" si="69"/>
        <v>0</v>
      </c>
      <c r="AI181" s="11">
        <f t="shared" si="70"/>
        <v>0</v>
      </c>
      <c r="AJ181" s="11">
        <f t="shared" si="71"/>
        <v>24659110</v>
      </c>
      <c r="AK181" s="11">
        <f t="shared" si="72"/>
        <v>24659110</v>
      </c>
      <c r="AL181" s="35">
        <v>20961352</v>
      </c>
      <c r="AM181" s="11">
        <f t="shared" si="79"/>
        <v>3697758</v>
      </c>
      <c r="AN181" s="72" t="str">
        <f t="shared" si="80"/>
        <v>Yes</v>
      </c>
      <c r="AO181" s="35">
        <v>21486317</v>
      </c>
      <c r="AP181" s="35">
        <f t="shared" si="73"/>
        <v>394181.00280000002</v>
      </c>
      <c r="AQ181" s="35">
        <f t="shared" si="74"/>
        <v>21880498.002799999</v>
      </c>
      <c r="AR181" s="35">
        <f t="shared" si="75"/>
        <v>21880498.002799999</v>
      </c>
      <c r="AS181" s="66"/>
      <c r="AT181" s="67"/>
      <c r="AU181" s="35"/>
      <c r="AV181" s="68"/>
      <c r="AW181" s="35"/>
      <c r="AX181" s="21"/>
      <c r="AZ181" s="21"/>
      <c r="BA181" s="21"/>
      <c r="BE181" s="21"/>
      <c r="BF181" s="21"/>
      <c r="BG181" s="21"/>
      <c r="BH181" s="21"/>
      <c r="BI181" s="21"/>
    </row>
    <row r="182" spans="1:61" x14ac:dyDescent="0.4">
      <c r="A182" s="8" t="s">
        <v>119</v>
      </c>
      <c r="B182" s="8"/>
      <c r="C182" s="25">
        <v>1</v>
      </c>
      <c r="D182" s="25">
        <v>1</v>
      </c>
      <c r="E182" s="25"/>
      <c r="F182" s="1">
        <v>10</v>
      </c>
      <c r="G182" s="39">
        <v>14</v>
      </c>
      <c r="H182" s="8">
        <v>156</v>
      </c>
      <c r="I182" s="3" t="s">
        <v>281</v>
      </c>
      <c r="J182" s="70"/>
      <c r="K182" s="39">
        <v>6852.76</v>
      </c>
      <c r="L182" s="76"/>
      <c r="M182" s="34"/>
      <c r="N182" s="39">
        <v>4367</v>
      </c>
      <c r="O182" s="65">
        <f t="shared" si="59"/>
        <v>0.63726148296452811</v>
      </c>
      <c r="P182" s="65">
        <f t="shared" si="60"/>
        <v>0</v>
      </c>
      <c r="Q182" s="35">
        <f t="shared" si="61"/>
        <v>0</v>
      </c>
      <c r="R182" s="35">
        <f t="shared" si="76"/>
        <v>0</v>
      </c>
      <c r="S182" s="39">
        <v>940</v>
      </c>
      <c r="T182" s="36">
        <f t="shared" si="62"/>
        <v>1310.0999999999999</v>
      </c>
      <c r="U182" s="9">
        <f t="shared" si="63"/>
        <v>8303.86</v>
      </c>
      <c r="V182" s="39">
        <v>3971740885</v>
      </c>
      <c r="W182" s="39">
        <v>54843</v>
      </c>
      <c r="X182" s="17">
        <f t="shared" si="64"/>
        <v>72420.2</v>
      </c>
      <c r="Y182" s="37">
        <f t="shared" si="65"/>
        <v>0.38789600000000002</v>
      </c>
      <c r="Z182" s="35">
        <v>55299</v>
      </c>
      <c r="AA182" s="37">
        <f t="shared" si="66"/>
        <v>0.480236</v>
      </c>
      <c r="AB182" s="37">
        <f t="shared" si="67"/>
        <v>0.58440199999999998</v>
      </c>
      <c r="AC182" s="71">
        <f t="shared" si="68"/>
        <v>0.58440199999999998</v>
      </c>
      <c r="AD182" s="38">
        <f t="shared" si="77"/>
        <v>0.04</v>
      </c>
      <c r="AE182" s="74">
        <f t="shared" si="78"/>
        <v>0.62440200000000001</v>
      </c>
      <c r="AF182" s="39">
        <v>0</v>
      </c>
      <c r="AG182" s="39">
        <v>0</v>
      </c>
      <c r="AH182" s="9">
        <f t="shared" si="69"/>
        <v>0</v>
      </c>
      <c r="AI182" s="11">
        <f t="shared" si="70"/>
        <v>0</v>
      </c>
      <c r="AJ182" s="11">
        <f t="shared" si="71"/>
        <v>59756512</v>
      </c>
      <c r="AK182" s="11">
        <f t="shared" si="72"/>
        <v>59756512</v>
      </c>
      <c r="AL182" s="35">
        <v>45140487</v>
      </c>
      <c r="AM182" s="11">
        <f t="shared" si="79"/>
        <v>14616025</v>
      </c>
      <c r="AN182" s="72" t="str">
        <f t="shared" si="80"/>
        <v>Yes</v>
      </c>
      <c r="AO182" s="35">
        <v>47400376</v>
      </c>
      <c r="AP182" s="35">
        <f t="shared" si="73"/>
        <v>1558068.2649999999</v>
      </c>
      <c r="AQ182" s="35">
        <f t="shared" si="74"/>
        <v>48958444.265000001</v>
      </c>
      <c r="AR182" s="35">
        <f t="shared" si="75"/>
        <v>48958444.265000001</v>
      </c>
      <c r="AS182" s="66"/>
      <c r="AT182" s="67"/>
      <c r="AU182" s="35"/>
      <c r="AV182" s="68"/>
      <c r="AW182" s="35"/>
      <c r="AX182" s="21"/>
      <c r="AZ182" s="21"/>
      <c r="BA182" s="21"/>
      <c r="BE182" s="21"/>
      <c r="BF182" s="21"/>
      <c r="BG182" s="21"/>
      <c r="BH182" s="21"/>
      <c r="BI182" s="21"/>
    </row>
    <row r="183" spans="1:61" x14ac:dyDescent="0.4">
      <c r="A183" s="8" t="s">
        <v>159</v>
      </c>
      <c r="B183" s="8"/>
      <c r="C183" s="25"/>
      <c r="D183" s="25"/>
      <c r="E183" s="25"/>
      <c r="F183" s="1">
        <v>1</v>
      </c>
      <c r="G183" s="39">
        <v>161</v>
      </c>
      <c r="H183" s="8">
        <v>157</v>
      </c>
      <c r="I183" s="3" t="s">
        <v>282</v>
      </c>
      <c r="J183" s="70"/>
      <c r="K183" s="39">
        <v>2258.58</v>
      </c>
      <c r="L183" s="75"/>
      <c r="M183" s="34"/>
      <c r="N183" s="39">
        <v>49</v>
      </c>
      <c r="O183" s="65">
        <f t="shared" si="59"/>
        <v>2.1695047330623666E-2</v>
      </c>
      <c r="P183" s="65">
        <f t="shared" si="60"/>
        <v>0</v>
      </c>
      <c r="Q183" s="35">
        <f t="shared" si="61"/>
        <v>0</v>
      </c>
      <c r="R183" s="35">
        <f t="shared" si="76"/>
        <v>0</v>
      </c>
      <c r="S183" s="39">
        <v>16</v>
      </c>
      <c r="T183" s="36">
        <f t="shared" si="62"/>
        <v>14.7</v>
      </c>
      <c r="U183" s="9">
        <f t="shared" si="63"/>
        <v>2275.6799999999998</v>
      </c>
      <c r="V183" s="39">
        <v>3453669461</v>
      </c>
      <c r="W183" s="39">
        <v>10331</v>
      </c>
      <c r="X183" s="17">
        <f t="shared" si="64"/>
        <v>334301.56</v>
      </c>
      <c r="Y183" s="37">
        <f t="shared" si="65"/>
        <v>1.7905800000000001</v>
      </c>
      <c r="Z183" s="35">
        <v>219868</v>
      </c>
      <c r="AA183" s="37">
        <f t="shared" si="66"/>
        <v>1.9094120000000001</v>
      </c>
      <c r="AB183" s="37">
        <f t="shared" si="67"/>
        <v>-0.82623000000000002</v>
      </c>
      <c r="AC183" s="71">
        <f t="shared" si="68"/>
        <v>0.01</v>
      </c>
      <c r="AD183" s="38">
        <f t="shared" si="77"/>
        <v>0</v>
      </c>
      <c r="AE183" s="74">
        <f t="shared" si="78"/>
        <v>0.01</v>
      </c>
      <c r="AF183" s="39">
        <v>0</v>
      </c>
      <c r="AG183" s="39">
        <v>0</v>
      </c>
      <c r="AH183" s="9">
        <f t="shared" si="69"/>
        <v>0</v>
      </c>
      <c r="AI183" s="11">
        <f t="shared" si="70"/>
        <v>0</v>
      </c>
      <c r="AJ183" s="11">
        <f t="shared" si="71"/>
        <v>262272</v>
      </c>
      <c r="AK183" s="11">
        <f t="shared" si="72"/>
        <v>262272</v>
      </c>
      <c r="AL183" s="35">
        <v>263431</v>
      </c>
      <c r="AM183" s="11">
        <f t="shared" si="79"/>
        <v>1159</v>
      </c>
      <c r="AN183" s="72" t="str">
        <f t="shared" si="80"/>
        <v>No</v>
      </c>
      <c r="AO183" s="35">
        <v>263889</v>
      </c>
      <c r="AP183" s="35">
        <f t="shared" si="73"/>
        <v>96.544700000000006</v>
      </c>
      <c r="AQ183" s="35">
        <f t="shared" si="74"/>
        <v>263792.45529999997</v>
      </c>
      <c r="AR183" s="35">
        <f t="shared" si="75"/>
        <v>263792.45529999997</v>
      </c>
      <c r="AS183" s="66"/>
      <c r="AT183" s="67"/>
      <c r="AU183" s="35"/>
      <c r="AV183" s="68"/>
      <c r="AW183" s="35"/>
      <c r="AX183" s="21"/>
      <c r="AZ183" s="21"/>
      <c r="BA183" s="21"/>
      <c r="BE183" s="21"/>
      <c r="BF183" s="21"/>
      <c r="BG183" s="21"/>
      <c r="BH183" s="21"/>
      <c r="BI183" s="21"/>
    </row>
    <row r="184" spans="1:61" x14ac:dyDescent="0.4">
      <c r="A184" s="8" t="s">
        <v>159</v>
      </c>
      <c r="B184" s="8"/>
      <c r="C184" s="25"/>
      <c r="D184" s="25"/>
      <c r="E184" s="25"/>
      <c r="F184" s="1">
        <v>1</v>
      </c>
      <c r="G184" s="39">
        <v>166</v>
      </c>
      <c r="H184" s="8">
        <v>158</v>
      </c>
      <c r="I184" s="3" t="s">
        <v>283</v>
      </c>
      <c r="J184" s="70"/>
      <c r="K184" s="39">
        <v>5324.11</v>
      </c>
      <c r="L184" s="75"/>
      <c r="M184" s="34"/>
      <c r="N184" s="39">
        <v>171</v>
      </c>
      <c r="O184" s="65">
        <f t="shared" si="59"/>
        <v>3.2118044142589092E-2</v>
      </c>
      <c r="P184" s="65">
        <f t="shared" si="60"/>
        <v>0</v>
      </c>
      <c r="Q184" s="35">
        <f t="shared" si="61"/>
        <v>0</v>
      </c>
      <c r="R184" s="35">
        <f t="shared" si="76"/>
        <v>0</v>
      </c>
      <c r="S184" s="39">
        <v>62</v>
      </c>
      <c r="T184" s="36">
        <f t="shared" si="62"/>
        <v>51.3</v>
      </c>
      <c r="U184" s="9">
        <f t="shared" si="63"/>
        <v>5384.71</v>
      </c>
      <c r="V184" s="39">
        <v>15942393016.67</v>
      </c>
      <c r="W184" s="39">
        <v>28042</v>
      </c>
      <c r="X184" s="17">
        <f t="shared" si="64"/>
        <v>568518.40000000002</v>
      </c>
      <c r="Y184" s="37">
        <f t="shared" si="65"/>
        <v>3.0450879999999998</v>
      </c>
      <c r="Z184" s="35">
        <v>181360</v>
      </c>
      <c r="AA184" s="37">
        <f t="shared" si="66"/>
        <v>1.5749949999999999</v>
      </c>
      <c r="AB184" s="37">
        <f t="shared" si="67"/>
        <v>-1.60406</v>
      </c>
      <c r="AC184" s="71">
        <f t="shared" si="68"/>
        <v>0.01</v>
      </c>
      <c r="AD184" s="38">
        <f t="shared" si="77"/>
        <v>0</v>
      </c>
      <c r="AE184" s="74">
        <f t="shared" si="78"/>
        <v>0.01</v>
      </c>
      <c r="AF184" s="39">
        <v>0</v>
      </c>
      <c r="AG184" s="39">
        <v>0</v>
      </c>
      <c r="AH184" s="9">
        <f t="shared" si="69"/>
        <v>0</v>
      </c>
      <c r="AI184" s="11">
        <f t="shared" si="70"/>
        <v>0</v>
      </c>
      <c r="AJ184" s="11">
        <f t="shared" si="71"/>
        <v>620588</v>
      </c>
      <c r="AK184" s="11">
        <f t="shared" si="72"/>
        <v>620588</v>
      </c>
      <c r="AL184" s="35">
        <v>465334</v>
      </c>
      <c r="AM184" s="11">
        <f t="shared" si="79"/>
        <v>155254</v>
      </c>
      <c r="AN184" s="72" t="str">
        <f t="shared" si="80"/>
        <v>Yes</v>
      </c>
      <c r="AO184" s="35">
        <v>491178</v>
      </c>
      <c r="AP184" s="35">
        <f t="shared" si="73"/>
        <v>16550.076400000002</v>
      </c>
      <c r="AQ184" s="35">
        <f t="shared" si="74"/>
        <v>507728.07640000002</v>
      </c>
      <c r="AR184" s="35">
        <f t="shared" si="75"/>
        <v>507728.07640000002</v>
      </c>
      <c r="AS184" s="66"/>
      <c r="AT184" s="67"/>
      <c r="AU184" s="35"/>
      <c r="AV184" s="68"/>
      <c r="AW184" s="35"/>
      <c r="AX184" s="21"/>
      <c r="AZ184" s="21"/>
      <c r="BA184" s="21"/>
      <c r="BE184" s="21"/>
      <c r="BF184" s="21"/>
      <c r="BG184" s="21"/>
      <c r="BH184" s="21"/>
      <c r="BI184" s="21"/>
    </row>
    <row r="185" spans="1:61" x14ac:dyDescent="0.4">
      <c r="A185" s="8" t="s">
        <v>127</v>
      </c>
      <c r="B185" s="8"/>
      <c r="C185" s="25"/>
      <c r="D185" s="25"/>
      <c r="E185" s="25"/>
      <c r="F185" s="1">
        <v>8</v>
      </c>
      <c r="G185" s="39">
        <v>49</v>
      </c>
      <c r="H185" s="8">
        <v>159</v>
      </c>
      <c r="I185" s="3" t="s">
        <v>284</v>
      </c>
      <c r="J185" s="70"/>
      <c r="K185" s="39">
        <v>3845</v>
      </c>
      <c r="L185" s="75"/>
      <c r="M185" s="34"/>
      <c r="N185" s="39">
        <v>931</v>
      </c>
      <c r="O185" s="65">
        <f t="shared" si="59"/>
        <v>0.24213263979193758</v>
      </c>
      <c r="P185" s="65">
        <f t="shared" si="60"/>
        <v>0</v>
      </c>
      <c r="Q185" s="35">
        <f t="shared" si="61"/>
        <v>0</v>
      </c>
      <c r="R185" s="35">
        <f t="shared" si="76"/>
        <v>0</v>
      </c>
      <c r="S185" s="39">
        <v>342</v>
      </c>
      <c r="T185" s="36">
        <f t="shared" si="62"/>
        <v>279.3</v>
      </c>
      <c r="U185" s="9">
        <f t="shared" si="63"/>
        <v>4175.6000000000004</v>
      </c>
      <c r="V185" s="39">
        <v>3315542456.3299999</v>
      </c>
      <c r="W185" s="39">
        <v>26195</v>
      </c>
      <c r="X185" s="17">
        <f t="shared" si="64"/>
        <v>126571.58</v>
      </c>
      <c r="Y185" s="37">
        <f t="shared" si="65"/>
        <v>0.67793999999999999</v>
      </c>
      <c r="Z185" s="35">
        <v>81452</v>
      </c>
      <c r="AA185" s="37">
        <f t="shared" si="66"/>
        <v>0.70735800000000004</v>
      </c>
      <c r="AB185" s="37">
        <f t="shared" si="67"/>
        <v>0.31323499999999999</v>
      </c>
      <c r="AC185" s="71">
        <f t="shared" si="68"/>
        <v>0.31323499999999999</v>
      </c>
      <c r="AD185" s="38">
        <f t="shared" si="77"/>
        <v>0</v>
      </c>
      <c r="AE185" s="74">
        <f t="shared" si="78"/>
        <v>0.31323499999999999</v>
      </c>
      <c r="AF185" s="39">
        <v>0</v>
      </c>
      <c r="AG185" s="39">
        <v>0</v>
      </c>
      <c r="AH185" s="9">
        <f t="shared" si="69"/>
        <v>0</v>
      </c>
      <c r="AI185" s="11">
        <f t="shared" si="70"/>
        <v>0</v>
      </c>
      <c r="AJ185" s="11">
        <f t="shared" si="71"/>
        <v>15074055</v>
      </c>
      <c r="AK185" s="11">
        <f t="shared" si="72"/>
        <v>15074055</v>
      </c>
      <c r="AL185" s="35">
        <v>9348852</v>
      </c>
      <c r="AM185" s="11">
        <f t="shared" si="79"/>
        <v>5725203</v>
      </c>
      <c r="AN185" s="72" t="str">
        <f t="shared" si="80"/>
        <v>Yes</v>
      </c>
      <c r="AO185" s="35">
        <v>10274870</v>
      </c>
      <c r="AP185" s="35">
        <f t="shared" si="73"/>
        <v>610306.6398</v>
      </c>
      <c r="AQ185" s="35">
        <f t="shared" si="74"/>
        <v>10885176.639800001</v>
      </c>
      <c r="AR185" s="35">
        <f t="shared" si="75"/>
        <v>10885176.639800001</v>
      </c>
      <c r="AS185" s="66"/>
      <c r="AT185" s="67"/>
      <c r="AU185" s="35"/>
      <c r="AV185" s="68"/>
      <c r="AW185" s="35"/>
      <c r="AX185" s="21"/>
      <c r="AZ185" s="21"/>
      <c r="BA185" s="21"/>
      <c r="BE185" s="21"/>
      <c r="BF185" s="21"/>
      <c r="BG185" s="21"/>
      <c r="BH185" s="21"/>
      <c r="BI185" s="21"/>
    </row>
    <row r="186" spans="1:61" x14ac:dyDescent="0.4">
      <c r="A186" s="8" t="s">
        <v>121</v>
      </c>
      <c r="B186" s="8"/>
      <c r="C186" s="25"/>
      <c r="D186" s="25"/>
      <c r="E186" s="25"/>
      <c r="F186" s="1">
        <v>8</v>
      </c>
      <c r="G186" s="39">
        <v>74</v>
      </c>
      <c r="H186" s="8">
        <v>160</v>
      </c>
      <c r="I186" s="3" t="s">
        <v>285</v>
      </c>
      <c r="J186" s="70"/>
      <c r="K186" s="39">
        <v>622.96</v>
      </c>
      <c r="L186" s="75"/>
      <c r="M186" s="34"/>
      <c r="N186" s="39">
        <v>211</v>
      </c>
      <c r="O186" s="65">
        <f t="shared" si="59"/>
        <v>0.33870553486580196</v>
      </c>
      <c r="P186" s="65">
        <f t="shared" si="60"/>
        <v>0</v>
      </c>
      <c r="Q186" s="35">
        <f t="shared" si="61"/>
        <v>0</v>
      </c>
      <c r="R186" s="35">
        <f t="shared" si="76"/>
        <v>0</v>
      </c>
      <c r="S186" s="39">
        <v>7</v>
      </c>
      <c r="T186" s="36">
        <f t="shared" si="62"/>
        <v>63.3</v>
      </c>
      <c r="U186" s="9">
        <f t="shared" si="63"/>
        <v>687.31</v>
      </c>
      <c r="V186" s="39">
        <v>635525722.66999996</v>
      </c>
      <c r="W186" s="39">
        <v>5921</v>
      </c>
      <c r="X186" s="17">
        <f t="shared" si="64"/>
        <v>107334.19</v>
      </c>
      <c r="Y186" s="37">
        <f t="shared" si="65"/>
        <v>0.574901</v>
      </c>
      <c r="Z186" s="35">
        <v>75885</v>
      </c>
      <c r="AA186" s="37">
        <f t="shared" si="66"/>
        <v>0.65901200000000004</v>
      </c>
      <c r="AB186" s="37">
        <f t="shared" si="67"/>
        <v>0.399866</v>
      </c>
      <c r="AC186" s="71">
        <f t="shared" si="68"/>
        <v>0.399866</v>
      </c>
      <c r="AD186" s="38">
        <f t="shared" si="77"/>
        <v>0</v>
      </c>
      <c r="AE186" s="74">
        <f t="shared" si="78"/>
        <v>0.399866</v>
      </c>
      <c r="AF186" s="39">
        <v>175</v>
      </c>
      <c r="AG186" s="39">
        <v>4</v>
      </c>
      <c r="AH186" s="9">
        <f t="shared" si="69"/>
        <v>30.77</v>
      </c>
      <c r="AI186" s="11">
        <f t="shared" si="70"/>
        <v>5385</v>
      </c>
      <c r="AJ186" s="11">
        <f t="shared" si="71"/>
        <v>3167438</v>
      </c>
      <c r="AK186" s="11">
        <f t="shared" si="72"/>
        <v>3172823</v>
      </c>
      <c r="AL186" s="35">
        <v>3637161</v>
      </c>
      <c r="AM186" s="11">
        <f t="shared" si="79"/>
        <v>464338</v>
      </c>
      <c r="AN186" s="72" t="str">
        <f t="shared" si="80"/>
        <v>No</v>
      </c>
      <c r="AO186" s="35">
        <v>3495273</v>
      </c>
      <c r="AP186" s="35">
        <f t="shared" si="73"/>
        <v>38679.3554</v>
      </c>
      <c r="AQ186" s="35">
        <f t="shared" si="74"/>
        <v>3456593.6446000002</v>
      </c>
      <c r="AR186" s="35">
        <f t="shared" si="75"/>
        <v>3456593.6446000002</v>
      </c>
      <c r="AS186" s="66"/>
      <c r="AT186" s="67"/>
      <c r="AU186" s="35"/>
      <c r="AV186" s="68"/>
      <c r="AW186" s="35"/>
      <c r="AX186" s="21"/>
      <c r="AZ186" s="21"/>
      <c r="BA186" s="21"/>
      <c r="BE186" s="21"/>
      <c r="BF186" s="21"/>
      <c r="BG186" s="21"/>
      <c r="BH186" s="21"/>
      <c r="BI186" s="21"/>
    </row>
    <row r="187" spans="1:61" x14ac:dyDescent="0.4">
      <c r="A187" s="8" t="s">
        <v>159</v>
      </c>
      <c r="B187" s="8"/>
      <c r="C187" s="25"/>
      <c r="D187" s="25"/>
      <c r="E187" s="25"/>
      <c r="F187" s="1">
        <v>1</v>
      </c>
      <c r="G187" s="39">
        <v>160</v>
      </c>
      <c r="H187" s="8">
        <v>161</v>
      </c>
      <c r="I187" s="3" t="s">
        <v>286</v>
      </c>
      <c r="J187" s="70"/>
      <c r="K187" s="39">
        <v>3840.16</v>
      </c>
      <c r="L187" s="75"/>
      <c r="M187" s="34"/>
      <c r="N187" s="39">
        <v>191</v>
      </c>
      <c r="O187" s="65">
        <f t="shared" si="59"/>
        <v>4.9737510937044295E-2</v>
      </c>
      <c r="P187" s="65">
        <f t="shared" si="60"/>
        <v>0</v>
      </c>
      <c r="Q187" s="35">
        <f t="shared" si="61"/>
        <v>0</v>
      </c>
      <c r="R187" s="35">
        <f t="shared" si="76"/>
        <v>0</v>
      </c>
      <c r="S187" s="39">
        <v>31</v>
      </c>
      <c r="T187" s="36">
        <f t="shared" ref="T187:T195" si="81">ROUND(N187*$T$2,2)</f>
        <v>57.3</v>
      </c>
      <c r="U187" s="9">
        <f t="shared" ref="U187:U195" si="82">K187+T187+0.15*S187+0.05*Q187</f>
        <v>3902.11</v>
      </c>
      <c r="V187" s="39">
        <v>6290202172</v>
      </c>
      <c r="W187" s="39">
        <v>18581</v>
      </c>
      <c r="X187" s="17">
        <f t="shared" si="64"/>
        <v>338528.72</v>
      </c>
      <c r="Y187" s="37">
        <f t="shared" si="65"/>
        <v>1.813221</v>
      </c>
      <c r="Z187" s="35">
        <v>180313</v>
      </c>
      <c r="AA187" s="37">
        <f t="shared" si="66"/>
        <v>1.5659019999999999</v>
      </c>
      <c r="AB187" s="37">
        <f t="shared" si="67"/>
        <v>-0.73902500000000004</v>
      </c>
      <c r="AC187" s="71">
        <f t="shared" ref="AC187:AC195" si="83">IF(C187=1,MAX($T$7,AB187),MAX($T$6,AB187))</f>
        <v>0.01</v>
      </c>
      <c r="AD187" s="38">
        <f t="shared" si="77"/>
        <v>0</v>
      </c>
      <c r="AE187" s="74">
        <f t="shared" si="78"/>
        <v>0.01</v>
      </c>
      <c r="AF187" s="39">
        <v>0</v>
      </c>
      <c r="AG187" s="39">
        <v>0</v>
      </c>
      <c r="AH187" s="9">
        <f t="shared" si="69"/>
        <v>0</v>
      </c>
      <c r="AI187" s="11">
        <f t="shared" si="70"/>
        <v>0</v>
      </c>
      <c r="AJ187" s="11">
        <f t="shared" si="71"/>
        <v>449718</v>
      </c>
      <c r="AK187" s="11">
        <f t="shared" si="72"/>
        <v>449718</v>
      </c>
      <c r="AL187" s="35">
        <v>462941</v>
      </c>
      <c r="AM187" s="11">
        <f t="shared" si="79"/>
        <v>13223</v>
      </c>
      <c r="AN187" s="72" t="str">
        <f t="shared" si="80"/>
        <v>No</v>
      </c>
      <c r="AO187" s="35">
        <v>462897</v>
      </c>
      <c r="AP187" s="35">
        <f t="shared" ref="AP187:AP195" si="84">IF(AN187="Yes",+AM187*$L$9,+AM187*$L$10)</f>
        <v>1101.4758999999999</v>
      </c>
      <c r="AQ187" s="35">
        <f t="shared" ref="AQ187:AQ195" si="85">IF(AN187="Yes",+AO187+AP187,+AO187-AP187)</f>
        <v>461795.52409999998</v>
      </c>
      <c r="AR187" s="35">
        <f t="shared" ref="AR187:AR195" si="86">IF(C187=1,MAX(AQ187,AL187),AQ187)</f>
        <v>461795.52409999998</v>
      </c>
      <c r="AS187" s="66"/>
      <c r="AT187" s="67"/>
      <c r="AU187" s="35"/>
      <c r="AV187" s="68"/>
      <c r="AW187" s="35"/>
      <c r="AX187" s="21"/>
      <c r="AZ187" s="21"/>
      <c r="BA187" s="21"/>
      <c r="BE187" s="21"/>
      <c r="BF187" s="21"/>
      <c r="BG187" s="21"/>
      <c r="BH187" s="21"/>
      <c r="BI187" s="21"/>
    </row>
    <row r="188" spans="1:61" x14ac:dyDescent="0.4">
      <c r="A188" s="8" t="s">
        <v>132</v>
      </c>
      <c r="B188" s="8"/>
      <c r="C188" s="25">
        <v>1</v>
      </c>
      <c r="D188" s="25">
        <v>1</v>
      </c>
      <c r="E188" s="25"/>
      <c r="F188" s="1">
        <v>9</v>
      </c>
      <c r="G188" s="39">
        <v>26</v>
      </c>
      <c r="H188" s="8">
        <v>162</v>
      </c>
      <c r="I188" s="3" t="s">
        <v>287</v>
      </c>
      <c r="J188" s="70"/>
      <c r="K188" s="39">
        <v>1109.98</v>
      </c>
      <c r="L188" s="76"/>
      <c r="M188" s="34"/>
      <c r="N188" s="39">
        <v>612</v>
      </c>
      <c r="O188" s="65">
        <f t="shared" si="59"/>
        <v>0.55136128578893318</v>
      </c>
      <c r="P188" s="65">
        <f t="shared" si="60"/>
        <v>0</v>
      </c>
      <c r="Q188" s="35">
        <f t="shared" si="61"/>
        <v>0</v>
      </c>
      <c r="R188" s="35">
        <f t="shared" si="76"/>
        <v>0</v>
      </c>
      <c r="S188" s="39">
        <v>37</v>
      </c>
      <c r="T188" s="36">
        <f t="shared" si="81"/>
        <v>183.6</v>
      </c>
      <c r="U188" s="9">
        <f t="shared" si="82"/>
        <v>1299.1299999999999</v>
      </c>
      <c r="V188" s="39">
        <v>1023064340</v>
      </c>
      <c r="W188" s="39">
        <v>10739</v>
      </c>
      <c r="X188" s="17">
        <f t="shared" si="64"/>
        <v>95266.26</v>
      </c>
      <c r="Y188" s="37">
        <f t="shared" si="65"/>
        <v>0.51026300000000002</v>
      </c>
      <c r="Z188" s="35">
        <v>57468</v>
      </c>
      <c r="AA188" s="37">
        <f t="shared" si="66"/>
        <v>0.49907299999999999</v>
      </c>
      <c r="AB188" s="37">
        <f t="shared" si="67"/>
        <v>0.49309399999999998</v>
      </c>
      <c r="AC188" s="71">
        <f t="shared" si="83"/>
        <v>0.49309399999999998</v>
      </c>
      <c r="AD188" s="38">
        <f t="shared" si="77"/>
        <v>0</v>
      </c>
      <c r="AE188" s="74">
        <f t="shared" si="78"/>
        <v>0.49309399999999998</v>
      </c>
      <c r="AF188" s="39">
        <v>0</v>
      </c>
      <c r="AG188" s="39">
        <v>0</v>
      </c>
      <c r="AH188" s="9">
        <f t="shared" si="69"/>
        <v>0</v>
      </c>
      <c r="AI188" s="11">
        <f t="shared" si="70"/>
        <v>0</v>
      </c>
      <c r="AJ188" s="11">
        <f t="shared" si="71"/>
        <v>7382837</v>
      </c>
      <c r="AK188" s="11">
        <f t="shared" si="72"/>
        <v>7382837</v>
      </c>
      <c r="AL188" s="35">
        <v>8024957</v>
      </c>
      <c r="AM188" s="11">
        <f t="shared" si="79"/>
        <v>642120</v>
      </c>
      <c r="AN188" s="72" t="str">
        <f t="shared" si="80"/>
        <v>No</v>
      </c>
      <c r="AO188" s="35">
        <v>8024957</v>
      </c>
      <c r="AP188" s="35">
        <f t="shared" si="84"/>
        <v>53488.595999999998</v>
      </c>
      <c r="AQ188" s="35">
        <f t="shared" si="85"/>
        <v>7971468.4040000001</v>
      </c>
      <c r="AR188" s="35">
        <f t="shared" si="86"/>
        <v>8024957</v>
      </c>
      <c r="AS188" s="66"/>
      <c r="AT188" s="67"/>
      <c r="AU188" s="35"/>
      <c r="AV188" s="68"/>
      <c r="AW188" s="35"/>
      <c r="AX188" s="21"/>
      <c r="AZ188" s="21"/>
      <c r="BA188" s="21"/>
      <c r="BE188" s="21"/>
      <c r="BF188" s="21"/>
      <c r="BG188" s="21"/>
      <c r="BH188" s="21"/>
      <c r="BI188" s="21"/>
    </row>
    <row r="189" spans="1:61" x14ac:dyDescent="0.4">
      <c r="A189" s="8" t="s">
        <v>137</v>
      </c>
      <c r="B189" s="8">
        <v>1</v>
      </c>
      <c r="C189" s="25">
        <v>1</v>
      </c>
      <c r="D189" s="25">
        <v>0</v>
      </c>
      <c r="E189" s="25">
        <v>1</v>
      </c>
      <c r="F189" s="1">
        <v>10</v>
      </c>
      <c r="G189" s="39">
        <v>6</v>
      </c>
      <c r="H189" s="8">
        <v>163</v>
      </c>
      <c r="I189" s="3" t="s">
        <v>288</v>
      </c>
      <c r="J189" s="70"/>
      <c r="K189" s="39">
        <v>3299.23</v>
      </c>
      <c r="L189" s="76"/>
      <c r="M189" s="34"/>
      <c r="N189" s="39">
        <v>2478</v>
      </c>
      <c r="O189" s="65">
        <f t="shared" si="59"/>
        <v>0.75108434392267287</v>
      </c>
      <c r="P189" s="65">
        <f t="shared" si="60"/>
        <v>1.0843439226728702E-3</v>
      </c>
      <c r="Q189" s="35">
        <f t="shared" si="61"/>
        <v>3.5775000000000134</v>
      </c>
      <c r="R189" s="35">
        <f t="shared" si="76"/>
        <v>0.17887500000000067</v>
      </c>
      <c r="S189" s="39">
        <v>965</v>
      </c>
      <c r="T189" s="36">
        <f t="shared" si="81"/>
        <v>743.4</v>
      </c>
      <c r="U189" s="9">
        <f t="shared" si="82"/>
        <v>4187.5588749999997</v>
      </c>
      <c r="V189" s="39">
        <v>1344850080.6700001</v>
      </c>
      <c r="W189" s="39">
        <v>24686</v>
      </c>
      <c r="X189" s="17">
        <f t="shared" si="64"/>
        <v>54478.25</v>
      </c>
      <c r="Y189" s="37">
        <f t="shared" si="65"/>
        <v>0.29179500000000003</v>
      </c>
      <c r="Z189" s="35">
        <v>41293</v>
      </c>
      <c r="AA189" s="37">
        <f t="shared" si="66"/>
        <v>0.35860300000000001</v>
      </c>
      <c r="AB189" s="37">
        <f t="shared" si="67"/>
        <v>0.68816299999999997</v>
      </c>
      <c r="AC189" s="71">
        <f t="shared" si="83"/>
        <v>0.68816299999999997</v>
      </c>
      <c r="AD189" s="38">
        <f t="shared" si="77"/>
        <v>0.05</v>
      </c>
      <c r="AE189" s="74">
        <f t="shared" si="78"/>
        <v>0.73816300000000001</v>
      </c>
      <c r="AF189" s="39">
        <v>0</v>
      </c>
      <c r="AG189" s="39">
        <v>0</v>
      </c>
      <c r="AH189" s="9">
        <f t="shared" si="69"/>
        <v>0</v>
      </c>
      <c r="AI189" s="11">
        <f t="shared" si="70"/>
        <v>0</v>
      </c>
      <c r="AJ189" s="11">
        <f t="shared" si="71"/>
        <v>35624939</v>
      </c>
      <c r="AK189" s="11">
        <f t="shared" si="72"/>
        <v>35624939</v>
      </c>
      <c r="AL189" s="35">
        <v>26582071</v>
      </c>
      <c r="AM189" s="11">
        <f t="shared" si="79"/>
        <v>9042868</v>
      </c>
      <c r="AN189" s="72" t="str">
        <f t="shared" si="80"/>
        <v>Yes</v>
      </c>
      <c r="AO189" s="35">
        <v>27999008</v>
      </c>
      <c r="AP189" s="35">
        <f t="shared" si="84"/>
        <v>963969.72880000004</v>
      </c>
      <c r="AQ189" s="35">
        <f t="shared" si="85"/>
        <v>28962977.728799999</v>
      </c>
      <c r="AR189" s="35">
        <f t="shared" si="86"/>
        <v>28962977.728799999</v>
      </c>
      <c r="AS189" s="66"/>
      <c r="AT189" s="67"/>
      <c r="AU189" s="35"/>
      <c r="AV189" s="68"/>
      <c r="AW189" s="35"/>
      <c r="AX189" s="21"/>
      <c r="AZ189" s="21"/>
      <c r="BA189" s="21"/>
      <c r="BE189" s="21"/>
      <c r="BF189" s="21"/>
      <c r="BG189" s="21"/>
      <c r="BH189" s="21"/>
      <c r="BI189" s="21"/>
    </row>
    <row r="190" spans="1:61" x14ac:dyDescent="0.4">
      <c r="A190" s="8" t="s">
        <v>127</v>
      </c>
      <c r="B190" s="8"/>
      <c r="C190" s="25">
        <v>1</v>
      </c>
      <c r="D190" s="25">
        <v>1</v>
      </c>
      <c r="E190" s="25"/>
      <c r="F190" s="1">
        <v>6</v>
      </c>
      <c r="G190" s="39">
        <v>40</v>
      </c>
      <c r="H190" s="8">
        <v>164</v>
      </c>
      <c r="I190" s="3" t="s">
        <v>289</v>
      </c>
      <c r="J190" s="70"/>
      <c r="K190" s="39">
        <v>3917.95</v>
      </c>
      <c r="L190" s="76"/>
      <c r="M190" s="34"/>
      <c r="N190" s="39">
        <v>1616</v>
      </c>
      <c r="O190" s="65">
        <f t="shared" si="59"/>
        <v>0.41246059801682006</v>
      </c>
      <c r="P190" s="65">
        <f t="shared" si="60"/>
        <v>0</v>
      </c>
      <c r="Q190" s="35">
        <f t="shared" si="61"/>
        <v>0</v>
      </c>
      <c r="R190" s="35">
        <f t="shared" si="76"/>
        <v>0</v>
      </c>
      <c r="S190" s="39">
        <v>134</v>
      </c>
      <c r="T190" s="36">
        <f t="shared" si="81"/>
        <v>484.8</v>
      </c>
      <c r="U190" s="9">
        <f t="shared" si="82"/>
        <v>4422.8500000000004</v>
      </c>
      <c r="V190" s="39">
        <v>4400387937.6700001</v>
      </c>
      <c r="W190" s="39">
        <v>28898</v>
      </c>
      <c r="X190" s="17">
        <f t="shared" si="64"/>
        <v>152273.1</v>
      </c>
      <c r="Y190" s="37">
        <f t="shared" si="65"/>
        <v>0.81560200000000005</v>
      </c>
      <c r="Z190" s="35">
        <v>89565</v>
      </c>
      <c r="AA190" s="37">
        <f t="shared" si="66"/>
        <v>0.77781400000000001</v>
      </c>
      <c r="AB190" s="37">
        <f t="shared" si="67"/>
        <v>0.19573399999999999</v>
      </c>
      <c r="AC190" s="71">
        <f t="shared" si="83"/>
        <v>0.19573399999999999</v>
      </c>
      <c r="AD190" s="38">
        <f t="shared" si="77"/>
        <v>0</v>
      </c>
      <c r="AE190" s="74">
        <f t="shared" si="78"/>
        <v>0.19573399999999999</v>
      </c>
      <c r="AF190" s="39">
        <v>0</v>
      </c>
      <c r="AG190" s="39">
        <v>0</v>
      </c>
      <c r="AH190" s="9">
        <f t="shared" si="69"/>
        <v>0</v>
      </c>
      <c r="AI190" s="11">
        <f t="shared" si="70"/>
        <v>0</v>
      </c>
      <c r="AJ190" s="11">
        <f t="shared" si="71"/>
        <v>9977217</v>
      </c>
      <c r="AK190" s="11">
        <f t="shared" si="72"/>
        <v>9977217</v>
      </c>
      <c r="AL190" s="35">
        <v>12130392</v>
      </c>
      <c r="AM190" s="11">
        <f t="shared" si="79"/>
        <v>2153175</v>
      </c>
      <c r="AN190" s="72" t="str">
        <f t="shared" si="80"/>
        <v>No</v>
      </c>
      <c r="AO190" s="35">
        <v>12130392</v>
      </c>
      <c r="AP190" s="35">
        <f t="shared" si="84"/>
        <v>179359.47750000001</v>
      </c>
      <c r="AQ190" s="35">
        <f t="shared" si="85"/>
        <v>11951032.522500001</v>
      </c>
      <c r="AR190" s="35">
        <f t="shared" si="86"/>
        <v>12130392</v>
      </c>
      <c r="AS190" s="66"/>
      <c r="AT190" s="67"/>
      <c r="AU190" s="35"/>
      <c r="AV190" s="68"/>
      <c r="AW190" s="35"/>
      <c r="AX190" s="21"/>
      <c r="AZ190" s="21"/>
      <c r="BA190" s="21"/>
      <c r="BE190" s="21"/>
      <c r="BF190" s="21"/>
      <c r="BG190" s="21"/>
      <c r="BH190" s="21"/>
      <c r="BI190" s="21"/>
    </row>
    <row r="191" spans="1:61" x14ac:dyDescent="0.4">
      <c r="A191" s="8" t="s">
        <v>145</v>
      </c>
      <c r="B191" s="8"/>
      <c r="C191" s="25">
        <v>1</v>
      </c>
      <c r="D191" s="25">
        <v>1</v>
      </c>
      <c r="E191" s="25"/>
      <c r="F191" s="1">
        <v>7</v>
      </c>
      <c r="G191" s="39">
        <v>51</v>
      </c>
      <c r="H191" s="8">
        <v>165</v>
      </c>
      <c r="I191" s="3" t="s">
        <v>290</v>
      </c>
      <c r="J191" s="70"/>
      <c r="K191" s="39">
        <v>1634.74</v>
      </c>
      <c r="L191" s="75"/>
      <c r="M191" s="34"/>
      <c r="N191" s="39">
        <v>687</v>
      </c>
      <c r="O191" s="65">
        <f t="shared" si="59"/>
        <v>0.42025031503480675</v>
      </c>
      <c r="P191" s="65">
        <f t="shared" si="60"/>
        <v>0</v>
      </c>
      <c r="Q191" s="35">
        <f t="shared" si="61"/>
        <v>0</v>
      </c>
      <c r="R191" s="35">
        <f t="shared" si="76"/>
        <v>0</v>
      </c>
      <c r="S191" s="39">
        <v>100</v>
      </c>
      <c r="T191" s="36">
        <f t="shared" si="81"/>
        <v>206.1</v>
      </c>
      <c r="U191" s="9">
        <f t="shared" si="82"/>
        <v>1855.84</v>
      </c>
      <c r="V191" s="39">
        <v>1967422458.6700001</v>
      </c>
      <c r="W191" s="39">
        <v>12554</v>
      </c>
      <c r="X191" s="17">
        <f t="shared" si="64"/>
        <v>156716.78</v>
      </c>
      <c r="Y191" s="37">
        <f t="shared" si="65"/>
        <v>0.83940400000000004</v>
      </c>
      <c r="Z191" s="35">
        <v>67072</v>
      </c>
      <c r="AA191" s="37">
        <f t="shared" si="66"/>
        <v>0.58247700000000002</v>
      </c>
      <c r="AB191" s="37">
        <f t="shared" si="67"/>
        <v>0.237674</v>
      </c>
      <c r="AC191" s="71">
        <f t="shared" si="83"/>
        <v>0.237674</v>
      </c>
      <c r="AD191" s="38">
        <f t="shared" si="77"/>
        <v>0</v>
      </c>
      <c r="AE191" s="74">
        <f t="shared" si="78"/>
        <v>0.237674</v>
      </c>
      <c r="AF191" s="39">
        <v>0</v>
      </c>
      <c r="AG191" s="39">
        <v>0</v>
      </c>
      <c r="AH191" s="9">
        <f t="shared" si="69"/>
        <v>0</v>
      </c>
      <c r="AI191" s="11">
        <f t="shared" si="70"/>
        <v>0</v>
      </c>
      <c r="AJ191" s="11">
        <f t="shared" si="71"/>
        <v>5083504</v>
      </c>
      <c r="AK191" s="11">
        <f t="shared" si="72"/>
        <v>5083504</v>
      </c>
      <c r="AL191" s="35">
        <v>5167806</v>
      </c>
      <c r="AM191" s="11">
        <f t="shared" si="79"/>
        <v>84302</v>
      </c>
      <c r="AN191" s="72" t="str">
        <f t="shared" si="80"/>
        <v>No</v>
      </c>
      <c r="AO191" s="35">
        <v>5232321</v>
      </c>
      <c r="AP191" s="35">
        <f t="shared" si="84"/>
        <v>7022.3566000000001</v>
      </c>
      <c r="AQ191" s="35">
        <f t="shared" si="85"/>
        <v>5225298.6434000004</v>
      </c>
      <c r="AR191" s="35">
        <f t="shared" si="86"/>
        <v>5225298.6434000004</v>
      </c>
      <c r="AS191" s="66"/>
      <c r="AT191" s="67"/>
      <c r="AU191" s="35"/>
      <c r="AV191" s="68"/>
      <c r="AW191" s="35"/>
      <c r="AX191" s="21"/>
      <c r="AZ191" s="21"/>
      <c r="BA191" s="21"/>
      <c r="BE191" s="21"/>
      <c r="BF191" s="21"/>
      <c r="BG191" s="21"/>
      <c r="BH191" s="21"/>
      <c r="BI191" s="21"/>
    </row>
    <row r="192" spans="1:61" ht="15.75" customHeight="1" x14ac:dyDescent="0.4">
      <c r="A192" s="8" t="s">
        <v>145</v>
      </c>
      <c r="B192" s="8"/>
      <c r="C192" s="25"/>
      <c r="D192" s="25"/>
      <c r="E192" s="25"/>
      <c r="F192" s="1">
        <v>7</v>
      </c>
      <c r="G192" s="39">
        <v>58</v>
      </c>
      <c r="H192" s="8">
        <v>166</v>
      </c>
      <c r="I192" s="3" t="s">
        <v>291</v>
      </c>
      <c r="J192" s="70"/>
      <c r="K192" s="39">
        <v>2395.84</v>
      </c>
      <c r="L192" s="75"/>
      <c r="M192" s="34"/>
      <c r="N192" s="39">
        <v>706</v>
      </c>
      <c r="O192" s="65">
        <f t="shared" si="59"/>
        <v>0.29467744089755576</v>
      </c>
      <c r="P192" s="65">
        <f t="shared" si="60"/>
        <v>0</v>
      </c>
      <c r="Q192" s="35">
        <f t="shared" si="61"/>
        <v>0</v>
      </c>
      <c r="R192" s="35">
        <f t="shared" si="76"/>
        <v>0</v>
      </c>
      <c r="S192" s="39">
        <v>72</v>
      </c>
      <c r="T192" s="36">
        <f t="shared" si="81"/>
        <v>211.8</v>
      </c>
      <c r="U192" s="9">
        <f t="shared" si="82"/>
        <v>2618.4400000000005</v>
      </c>
      <c r="V192" s="39">
        <v>1818529085.6700001</v>
      </c>
      <c r="W192" s="39">
        <v>16672</v>
      </c>
      <c r="X192" s="17">
        <f t="shared" si="64"/>
        <v>109076.84</v>
      </c>
      <c r="Y192" s="37">
        <f t="shared" si="65"/>
        <v>0.58423499999999995</v>
      </c>
      <c r="Z192" s="35">
        <v>87045</v>
      </c>
      <c r="AA192" s="37">
        <f t="shared" si="66"/>
        <v>0.75592999999999999</v>
      </c>
      <c r="AB192" s="37">
        <f t="shared" si="67"/>
        <v>0.364257</v>
      </c>
      <c r="AC192" s="71">
        <f t="shared" si="83"/>
        <v>0.364257</v>
      </c>
      <c r="AD192" s="38">
        <f t="shared" si="77"/>
        <v>0</v>
      </c>
      <c r="AE192" s="74">
        <f t="shared" si="78"/>
        <v>0.364257</v>
      </c>
      <c r="AF192" s="39">
        <v>0</v>
      </c>
      <c r="AG192" s="39">
        <v>0</v>
      </c>
      <c r="AH192" s="9">
        <f t="shared" si="69"/>
        <v>0</v>
      </c>
      <c r="AI192" s="11">
        <f t="shared" si="70"/>
        <v>0</v>
      </c>
      <c r="AJ192" s="11">
        <f t="shared" si="71"/>
        <v>10992373</v>
      </c>
      <c r="AK192" s="11">
        <f t="shared" si="72"/>
        <v>10992373</v>
      </c>
      <c r="AL192" s="35">
        <v>13423576</v>
      </c>
      <c r="AM192" s="11">
        <f t="shared" si="79"/>
        <v>2431203</v>
      </c>
      <c r="AN192" s="72" t="str">
        <f t="shared" si="80"/>
        <v>No</v>
      </c>
      <c r="AO192" s="35">
        <v>12589693</v>
      </c>
      <c r="AP192" s="35">
        <f t="shared" si="84"/>
        <v>202519.20989999999</v>
      </c>
      <c r="AQ192" s="35">
        <f t="shared" si="85"/>
        <v>12387173.790100001</v>
      </c>
      <c r="AR192" s="35">
        <f t="shared" si="86"/>
        <v>12387173.790100001</v>
      </c>
      <c r="AS192" s="66"/>
      <c r="AT192" s="67"/>
      <c r="AU192" s="35"/>
      <c r="AV192" s="68"/>
      <c r="AW192" s="35"/>
      <c r="AX192" s="21"/>
      <c r="AZ192" s="21"/>
      <c r="BA192" s="21"/>
      <c r="BE192" s="21"/>
      <c r="BF192" s="21"/>
      <c r="BG192" s="21"/>
      <c r="BH192" s="21"/>
      <c r="BI192" s="21"/>
    </row>
    <row r="193" spans="1:61" x14ac:dyDescent="0.4">
      <c r="A193" s="8" t="s">
        <v>123</v>
      </c>
      <c r="B193" s="8"/>
      <c r="C193" s="25"/>
      <c r="D193" s="25"/>
      <c r="E193" s="25"/>
      <c r="F193" s="1">
        <v>2</v>
      </c>
      <c r="G193" s="39">
        <v>128</v>
      </c>
      <c r="H193" s="8">
        <v>167</v>
      </c>
      <c r="I193" s="3" t="s">
        <v>292</v>
      </c>
      <c r="J193" s="70"/>
      <c r="K193" s="39">
        <v>1556.94</v>
      </c>
      <c r="L193" s="75"/>
      <c r="M193" s="34"/>
      <c r="N193" s="39">
        <v>182</v>
      </c>
      <c r="O193" s="65">
        <f t="shared" si="59"/>
        <v>0.11689596259329196</v>
      </c>
      <c r="P193" s="65">
        <f t="shared" si="60"/>
        <v>0</v>
      </c>
      <c r="Q193" s="35">
        <f t="shared" si="61"/>
        <v>0</v>
      </c>
      <c r="R193" s="35">
        <f t="shared" si="76"/>
        <v>0</v>
      </c>
      <c r="S193" s="39">
        <v>33</v>
      </c>
      <c r="T193" s="36">
        <f t="shared" si="81"/>
        <v>54.6</v>
      </c>
      <c r="U193" s="9">
        <f t="shared" si="82"/>
        <v>1616.49</v>
      </c>
      <c r="V193" s="39">
        <v>1680045093.6700001</v>
      </c>
      <c r="W193" s="39">
        <v>8853</v>
      </c>
      <c r="X193" s="17">
        <f t="shared" si="64"/>
        <v>189771.27</v>
      </c>
      <c r="Y193" s="37">
        <f t="shared" si="65"/>
        <v>1.0164489999999999</v>
      </c>
      <c r="Z193" s="35">
        <v>138320</v>
      </c>
      <c r="AA193" s="37">
        <f t="shared" si="66"/>
        <v>1.20122</v>
      </c>
      <c r="AB193" s="37">
        <f t="shared" si="67"/>
        <v>-7.1879999999999999E-2</v>
      </c>
      <c r="AC193" s="71">
        <f t="shared" si="83"/>
        <v>0.01</v>
      </c>
      <c r="AD193" s="38">
        <f t="shared" si="77"/>
        <v>0</v>
      </c>
      <c r="AE193" s="74">
        <f t="shared" si="78"/>
        <v>0.01</v>
      </c>
      <c r="AF193" s="39">
        <v>692</v>
      </c>
      <c r="AG193" s="39">
        <v>6</v>
      </c>
      <c r="AH193" s="9">
        <f t="shared" si="69"/>
        <v>46.15</v>
      </c>
      <c r="AI193" s="11">
        <f t="shared" si="70"/>
        <v>31936</v>
      </c>
      <c r="AJ193" s="11">
        <f t="shared" si="71"/>
        <v>186300</v>
      </c>
      <c r="AK193" s="11">
        <f t="shared" si="72"/>
        <v>218236</v>
      </c>
      <c r="AL193" s="35">
        <v>656185</v>
      </c>
      <c r="AM193" s="11">
        <f t="shared" si="79"/>
        <v>437949</v>
      </c>
      <c r="AN193" s="72" t="str">
        <f t="shared" si="80"/>
        <v>No</v>
      </c>
      <c r="AO193" s="35">
        <v>508056</v>
      </c>
      <c r="AP193" s="35">
        <f t="shared" si="84"/>
        <v>36481.151700000002</v>
      </c>
      <c r="AQ193" s="35">
        <f t="shared" si="85"/>
        <v>471574.84830000001</v>
      </c>
      <c r="AR193" s="35">
        <f t="shared" si="86"/>
        <v>471574.84830000001</v>
      </c>
      <c r="AS193" s="66"/>
      <c r="AT193" s="67"/>
      <c r="AU193" s="35"/>
      <c r="AV193" s="68"/>
      <c r="AW193" s="35"/>
      <c r="AX193" s="21"/>
      <c r="AZ193" s="21"/>
      <c r="BA193" s="21"/>
      <c r="BE193" s="21"/>
      <c r="BF193" s="21"/>
      <c r="BG193" s="21"/>
      <c r="BH193" s="21"/>
      <c r="BI193" s="21"/>
    </row>
    <row r="194" spans="1:61" x14ac:dyDescent="0.4">
      <c r="A194" s="8" t="s">
        <v>117</v>
      </c>
      <c r="B194" s="8"/>
      <c r="C194" s="25"/>
      <c r="D194" s="25"/>
      <c r="E194" s="25"/>
      <c r="F194" s="1">
        <v>4</v>
      </c>
      <c r="G194" s="39">
        <v>114</v>
      </c>
      <c r="H194" s="8">
        <v>168</v>
      </c>
      <c r="I194" s="3" t="s">
        <v>293</v>
      </c>
      <c r="J194" s="70"/>
      <c r="K194" s="39">
        <v>1024.8399999999999</v>
      </c>
      <c r="L194" s="75"/>
      <c r="M194" s="34"/>
      <c r="N194" s="39">
        <v>163</v>
      </c>
      <c r="O194" s="65">
        <f t="shared" si="59"/>
        <v>0.15904921743881972</v>
      </c>
      <c r="P194" s="65">
        <f t="shared" si="60"/>
        <v>0</v>
      </c>
      <c r="Q194" s="35">
        <f t="shared" si="61"/>
        <v>0</v>
      </c>
      <c r="R194" s="35">
        <f t="shared" si="76"/>
        <v>0</v>
      </c>
      <c r="S194" s="39">
        <v>17</v>
      </c>
      <c r="T194" s="36">
        <f t="shared" si="81"/>
        <v>48.9</v>
      </c>
      <c r="U194" s="9">
        <f t="shared" si="82"/>
        <v>1076.29</v>
      </c>
      <c r="V194" s="39">
        <v>1542511356.6700001</v>
      </c>
      <c r="W194" s="39">
        <v>9557</v>
      </c>
      <c r="X194" s="17">
        <f t="shared" si="64"/>
        <v>161401.21</v>
      </c>
      <c r="Y194" s="37">
        <f t="shared" si="65"/>
        <v>0.86449399999999998</v>
      </c>
      <c r="Z194" s="35">
        <v>82923</v>
      </c>
      <c r="AA194" s="37">
        <f t="shared" si="66"/>
        <v>0.72013300000000002</v>
      </c>
      <c r="AB194" s="37">
        <f t="shared" si="67"/>
        <v>0.178814</v>
      </c>
      <c r="AC194" s="71">
        <f t="shared" si="83"/>
        <v>0.178814</v>
      </c>
      <c r="AD194" s="38">
        <f t="shared" si="77"/>
        <v>0</v>
      </c>
      <c r="AE194" s="74">
        <f t="shared" si="78"/>
        <v>0.178814</v>
      </c>
      <c r="AF194" s="39">
        <v>1015</v>
      </c>
      <c r="AG194" s="39">
        <v>13</v>
      </c>
      <c r="AH194" s="9">
        <f t="shared" si="69"/>
        <v>100</v>
      </c>
      <c r="AI194" s="11">
        <f t="shared" si="70"/>
        <v>101500</v>
      </c>
      <c r="AJ194" s="11">
        <f t="shared" si="71"/>
        <v>2218052</v>
      </c>
      <c r="AK194" s="11">
        <f t="shared" si="72"/>
        <v>2319552</v>
      </c>
      <c r="AL194" s="35">
        <v>1276811</v>
      </c>
      <c r="AM194" s="11">
        <f t="shared" si="79"/>
        <v>1042741</v>
      </c>
      <c r="AN194" s="72" t="str">
        <f t="shared" si="80"/>
        <v>Yes</v>
      </c>
      <c r="AO194" s="35">
        <v>1428703</v>
      </c>
      <c r="AP194" s="35">
        <f t="shared" si="84"/>
        <v>111156.1906</v>
      </c>
      <c r="AQ194" s="35">
        <f t="shared" si="85"/>
        <v>1539859.1906000001</v>
      </c>
      <c r="AR194" s="35">
        <f t="shared" si="86"/>
        <v>1539859.1906000001</v>
      </c>
      <c r="AS194" s="66"/>
      <c r="AT194" s="67"/>
      <c r="AU194" s="35"/>
      <c r="AV194" s="68"/>
      <c r="AW194" s="35"/>
      <c r="AX194" s="21"/>
      <c r="AZ194" s="21"/>
      <c r="BA194" s="21"/>
      <c r="BE194" s="21"/>
      <c r="BF194" s="21"/>
      <c r="BG194" s="21"/>
      <c r="BH194" s="21"/>
      <c r="BI194" s="21"/>
    </row>
    <row r="195" spans="1:61" x14ac:dyDescent="0.4">
      <c r="A195" s="8" t="s">
        <v>121</v>
      </c>
      <c r="B195" s="8"/>
      <c r="C195" s="25"/>
      <c r="D195" s="25"/>
      <c r="E195" s="25"/>
      <c r="F195" s="1">
        <v>7</v>
      </c>
      <c r="G195" s="39">
        <v>92</v>
      </c>
      <c r="H195" s="8">
        <v>169</v>
      </c>
      <c r="I195" s="3" t="s">
        <v>294</v>
      </c>
      <c r="J195" s="70"/>
      <c r="K195" s="39">
        <v>1300.26</v>
      </c>
      <c r="L195" s="75"/>
      <c r="M195" s="34"/>
      <c r="N195" s="39">
        <v>184</v>
      </c>
      <c r="O195" s="65">
        <f t="shared" si="59"/>
        <v>0.14151015950656023</v>
      </c>
      <c r="P195" s="65">
        <f t="shared" si="60"/>
        <v>0</v>
      </c>
      <c r="Q195" s="35">
        <f t="shared" si="61"/>
        <v>0</v>
      </c>
      <c r="R195" s="35">
        <f t="shared" si="76"/>
        <v>0</v>
      </c>
      <c r="S195" s="39">
        <v>5</v>
      </c>
      <c r="T195" s="36">
        <f t="shared" si="81"/>
        <v>55.2</v>
      </c>
      <c r="U195" s="9">
        <f t="shared" si="82"/>
        <v>1356.21</v>
      </c>
      <c r="V195" s="39">
        <v>1063892355</v>
      </c>
      <c r="W195" s="39">
        <v>7809</v>
      </c>
      <c r="X195" s="17">
        <f t="shared" si="64"/>
        <v>136239.26</v>
      </c>
      <c r="Y195" s="37">
        <f t="shared" si="65"/>
        <v>0.72972199999999998</v>
      </c>
      <c r="Z195" s="35">
        <v>81441</v>
      </c>
      <c r="AA195" s="37">
        <f t="shared" si="66"/>
        <v>0.70726299999999998</v>
      </c>
      <c r="AB195" s="37">
        <f t="shared" si="67"/>
        <v>0.27701599999999998</v>
      </c>
      <c r="AC195" s="71">
        <f t="shared" si="83"/>
        <v>0.27701599999999998</v>
      </c>
      <c r="AD195" s="38">
        <f t="shared" si="77"/>
        <v>0</v>
      </c>
      <c r="AE195" s="74">
        <f t="shared" si="78"/>
        <v>0.27701599999999998</v>
      </c>
      <c r="AF195" s="39">
        <v>0</v>
      </c>
      <c r="AG195" s="39">
        <v>0</v>
      </c>
      <c r="AH195" s="9">
        <f t="shared" si="69"/>
        <v>0</v>
      </c>
      <c r="AI195" s="11">
        <f t="shared" si="70"/>
        <v>0</v>
      </c>
      <c r="AJ195" s="11">
        <f t="shared" si="71"/>
        <v>4329849</v>
      </c>
      <c r="AK195" s="11">
        <f t="shared" si="72"/>
        <v>4329849</v>
      </c>
      <c r="AL195" s="35">
        <v>5356542</v>
      </c>
      <c r="AM195" s="11">
        <f t="shared" si="79"/>
        <v>1026693</v>
      </c>
      <c r="AN195" s="72" t="str">
        <f t="shared" si="80"/>
        <v>No</v>
      </c>
      <c r="AO195" s="35">
        <v>5076056</v>
      </c>
      <c r="AP195" s="35">
        <f t="shared" si="84"/>
        <v>85523.526899999997</v>
      </c>
      <c r="AQ195" s="35">
        <f t="shared" si="85"/>
        <v>4990532.4731000001</v>
      </c>
      <c r="AR195" s="35">
        <f t="shared" si="86"/>
        <v>4990532.4731000001</v>
      </c>
      <c r="AS195" s="66"/>
      <c r="AT195" s="67"/>
      <c r="AU195" s="35"/>
      <c r="AV195" s="68"/>
      <c r="AW195" s="35"/>
      <c r="AX195" s="21"/>
      <c r="AZ195" s="21"/>
      <c r="BA195" s="21"/>
      <c r="BE195" s="21"/>
      <c r="BF195" s="21"/>
      <c r="BG195" s="21"/>
      <c r="BH195" s="21"/>
      <c r="BI195" s="21"/>
    </row>
    <row r="196" spans="1:61" x14ac:dyDescent="0.4">
      <c r="V196" s="1"/>
      <c r="X196" s="1"/>
      <c r="AF196" s="11"/>
    </row>
    <row r="197" spans="1:61" ht="15.75" customHeight="1" x14ac:dyDescent="0.4">
      <c r="A197" s="8"/>
      <c r="B197" s="8"/>
      <c r="C197" s="25"/>
      <c r="D197" s="25"/>
      <c r="E197" s="25"/>
      <c r="F197" s="1"/>
      <c r="G197" s="39"/>
      <c r="H197" s="8"/>
      <c r="J197" s="70"/>
      <c r="K197" s="39"/>
      <c r="L197" s="75"/>
      <c r="M197" s="34"/>
      <c r="N197" s="39"/>
      <c r="O197" s="65"/>
      <c r="P197" s="65"/>
      <c r="Q197" s="35"/>
      <c r="R197" s="35"/>
      <c r="S197" s="39"/>
      <c r="T197" s="36"/>
      <c r="U197" s="9"/>
      <c r="V197" s="39"/>
      <c r="W197" s="39"/>
      <c r="X197" s="17"/>
      <c r="Y197" s="37"/>
      <c r="Z197" s="39"/>
      <c r="AA197" s="37"/>
      <c r="AB197" s="37"/>
      <c r="AC197" s="71"/>
      <c r="AD197" s="38"/>
      <c r="AE197" s="74"/>
      <c r="AF197" s="39"/>
      <c r="AG197" s="39"/>
      <c r="AH197" s="9"/>
      <c r="AI197" s="11"/>
      <c r="AJ197" s="11"/>
      <c r="AK197" s="11"/>
      <c r="AL197" s="11"/>
      <c r="AM197" s="11"/>
      <c r="AN197" s="11"/>
      <c r="AO197" s="35"/>
      <c r="AP197" s="35"/>
      <c r="AQ197" s="35"/>
      <c r="AR197" s="35"/>
      <c r="AS197" s="66"/>
      <c r="AT197" s="67"/>
      <c r="AU197" s="35"/>
      <c r="AV197" s="68"/>
      <c r="AW197" s="35"/>
      <c r="AX197" s="21"/>
      <c r="AZ197" s="21"/>
      <c r="BA197" s="21"/>
      <c r="BE197" s="21"/>
      <c r="BF197" s="21"/>
      <c r="BG197" s="21"/>
      <c r="BH197" s="21"/>
      <c r="BI197" s="21"/>
    </row>
    <row r="198" spans="1:61" x14ac:dyDescent="0.4">
      <c r="K198" s="9"/>
      <c r="L198" s="9"/>
      <c r="M198" s="9"/>
      <c r="U198" s="9"/>
      <c r="AF198" s="11"/>
    </row>
    <row r="199" spans="1:61" x14ac:dyDescent="0.4">
      <c r="K199" s="9"/>
      <c r="L199" s="9"/>
      <c r="M199" s="9"/>
      <c r="U199" s="9"/>
      <c r="AF199" s="11"/>
    </row>
    <row r="200" spans="1:61" x14ac:dyDescent="0.4">
      <c r="K200" s="9"/>
      <c r="L200" s="9"/>
      <c r="M200" s="9"/>
      <c r="U200" s="9"/>
      <c r="AF200" s="11"/>
    </row>
    <row r="201" spans="1:61" x14ac:dyDescent="0.4">
      <c r="K201" s="9"/>
      <c r="L201" s="9"/>
      <c r="M201" s="9"/>
      <c r="U201" s="9"/>
    </row>
    <row r="202" spans="1:61" x14ac:dyDescent="0.4">
      <c r="K202" s="9"/>
      <c r="L202" s="9"/>
      <c r="M202" s="9"/>
      <c r="U202" s="9"/>
    </row>
    <row r="203" spans="1:61" x14ac:dyDescent="0.4">
      <c r="K203" s="9"/>
      <c r="L203" s="9"/>
      <c r="M203" s="9"/>
      <c r="U203" s="9"/>
    </row>
    <row r="204" spans="1:61" x14ac:dyDescent="0.4">
      <c r="K204" s="9"/>
      <c r="L204" s="9"/>
      <c r="M204" s="9"/>
      <c r="U204" s="9"/>
    </row>
    <row r="205" spans="1:61" x14ac:dyDescent="0.4">
      <c r="K205" s="9"/>
      <c r="L205" s="9"/>
      <c r="M205" s="9"/>
      <c r="U205" s="9"/>
    </row>
    <row r="206" spans="1:6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9"/>
      <c r="L206" s="9"/>
      <c r="M206" s="9"/>
      <c r="U206" s="9"/>
    </row>
    <row r="207" spans="1:6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9"/>
      <c r="L207" s="9"/>
      <c r="M207" s="9"/>
      <c r="U207" s="9"/>
    </row>
    <row r="208" spans="1:6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9"/>
      <c r="L208" s="9"/>
      <c r="M208" s="9"/>
      <c r="U208" s="9"/>
    </row>
    <row r="209" spans="11:46" s="1" customFormat="1" x14ac:dyDescent="0.4">
      <c r="K209" s="9"/>
      <c r="L209" s="9"/>
      <c r="M209" s="9"/>
      <c r="N209" s="3"/>
      <c r="O209" s="3"/>
      <c r="P209" s="3"/>
      <c r="Q209" s="3"/>
      <c r="R209" s="3"/>
      <c r="S209" s="3"/>
      <c r="T209" s="3"/>
      <c r="U209" s="9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41"/>
      <c r="AT209" s="42"/>
    </row>
    <row r="210" spans="11:46" s="1" customFormat="1" x14ac:dyDescent="0.4">
      <c r="K210" s="9"/>
      <c r="L210" s="9"/>
      <c r="M210" s="9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41"/>
      <c r="AT210" s="42"/>
    </row>
    <row r="211" spans="11:46" s="1" customFormat="1" x14ac:dyDescent="0.4">
      <c r="K211" s="9"/>
      <c r="L211" s="9"/>
      <c r="M211" s="9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41"/>
      <c r="AT211" s="42"/>
    </row>
    <row r="212" spans="11:46" s="1" customFormat="1" x14ac:dyDescent="0.4">
      <c r="K212" s="9"/>
      <c r="L212" s="9"/>
      <c r="M212" s="9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41"/>
      <c r="AT212" s="42"/>
    </row>
    <row r="213" spans="11:46" s="1" customFormat="1" x14ac:dyDescent="0.4">
      <c r="K213" s="9"/>
      <c r="L213" s="9"/>
      <c r="M213" s="9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41"/>
      <c r="AT213" s="42"/>
    </row>
    <row r="214" spans="11:46" s="1" customFormat="1" x14ac:dyDescent="0.4">
      <c r="K214" s="9"/>
      <c r="L214" s="9"/>
      <c r="M214" s="9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41"/>
      <c r="AT214" s="42"/>
    </row>
    <row r="215" spans="11:46" s="1" customFormat="1" x14ac:dyDescent="0.4">
      <c r="K215" s="9"/>
      <c r="L215" s="9"/>
      <c r="M215" s="9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41"/>
      <c r="AT215" s="42"/>
    </row>
    <row r="216" spans="11:46" s="1" customFormat="1" x14ac:dyDescent="0.4">
      <c r="K216" s="9"/>
      <c r="L216" s="9"/>
      <c r="M216" s="9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41"/>
      <c r="AT216" s="42"/>
    </row>
    <row r="217" spans="11:46" s="1" customFormat="1" x14ac:dyDescent="0.4">
      <c r="K217" s="9"/>
      <c r="L217" s="9"/>
      <c r="M217" s="9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41"/>
      <c r="AT217" s="42"/>
    </row>
    <row r="218" spans="11:46" s="1" customFormat="1" x14ac:dyDescent="0.4">
      <c r="K218" s="9"/>
      <c r="L218" s="9"/>
      <c r="M218" s="9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41"/>
      <c r="AT218" s="42"/>
    </row>
    <row r="219" spans="11:46" s="1" customFormat="1" x14ac:dyDescent="0.4">
      <c r="K219" s="9"/>
      <c r="L219" s="9"/>
      <c r="M219" s="9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41"/>
      <c r="AT219" s="42"/>
    </row>
    <row r="220" spans="11:46" s="1" customFormat="1" x14ac:dyDescent="0.4">
      <c r="K220" s="9"/>
      <c r="L220" s="9"/>
      <c r="M220" s="9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41"/>
      <c r="AT220" s="42"/>
    </row>
    <row r="221" spans="11:46" s="1" customFormat="1" x14ac:dyDescent="0.4">
      <c r="K221" s="9"/>
      <c r="L221" s="9"/>
      <c r="M221" s="9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41"/>
      <c r="AT221" s="42"/>
    </row>
    <row r="222" spans="11:46" s="3" customFormat="1" x14ac:dyDescent="0.4">
      <c r="K222" s="9"/>
      <c r="L222" s="9"/>
      <c r="M222" s="9"/>
      <c r="AS222" s="41"/>
      <c r="AT222" s="42"/>
    </row>
    <row r="223" spans="11:46" s="3" customFormat="1" x14ac:dyDescent="0.4">
      <c r="K223" s="9"/>
      <c r="L223" s="9"/>
      <c r="M223" s="9"/>
      <c r="AS223" s="41"/>
      <c r="AT223" s="42"/>
    </row>
    <row r="224" spans="11:46" s="3" customFormat="1" x14ac:dyDescent="0.4">
      <c r="K224" s="9"/>
      <c r="L224" s="9"/>
      <c r="M224" s="9"/>
      <c r="AS224" s="41"/>
      <c r="AT224" s="42"/>
    </row>
    <row r="225" spans="1:49" s="3" customFormat="1" x14ac:dyDescent="0.4">
      <c r="K225" s="9"/>
      <c r="L225" s="9"/>
      <c r="M225" s="9"/>
      <c r="AS225" s="41"/>
      <c r="AT225" s="42"/>
    </row>
    <row r="226" spans="1:49" s="3" customFormat="1" x14ac:dyDescent="0.4">
      <c r="K226" s="9"/>
      <c r="L226" s="9"/>
      <c r="M226" s="9"/>
      <c r="AS226" s="41"/>
      <c r="AT226" s="42"/>
    </row>
    <row r="227" spans="1:49" s="3" customFormat="1" x14ac:dyDescent="0.4">
      <c r="K227" s="9"/>
      <c r="L227" s="9"/>
      <c r="M227" s="9"/>
      <c r="AS227" s="41"/>
      <c r="AT227" s="42"/>
    </row>
    <row r="228" spans="1:49" s="3" customFormat="1" x14ac:dyDescent="0.4">
      <c r="K228" s="9"/>
      <c r="L228" s="9"/>
      <c r="M228" s="9"/>
      <c r="AS228" s="41"/>
      <c r="AT228" s="42"/>
    </row>
    <row r="229" spans="1:49" s="3" customFormat="1" x14ac:dyDescent="0.4">
      <c r="K229" s="9"/>
      <c r="L229" s="9"/>
      <c r="M229" s="9"/>
      <c r="AS229" s="41"/>
      <c r="AT229" s="42"/>
    </row>
    <row r="230" spans="1:49" s="3" customFormat="1" x14ac:dyDescent="0.4">
      <c r="A230" s="1"/>
      <c r="B230" s="1"/>
      <c r="K230" s="9"/>
      <c r="L230" s="9"/>
      <c r="M230" s="9"/>
      <c r="AS230" s="41"/>
      <c r="AT230" s="42"/>
    </row>
    <row r="231" spans="1:49" s="3" customFormat="1" x14ac:dyDescent="0.4">
      <c r="A231" s="1"/>
      <c r="B231" s="1"/>
      <c r="K231" s="9"/>
      <c r="L231" s="9"/>
      <c r="M231" s="9"/>
      <c r="AS231" s="41"/>
      <c r="AT231" s="42"/>
    </row>
    <row r="232" spans="1:49" s="3" customFormat="1" x14ac:dyDescent="0.4">
      <c r="A232" s="1"/>
      <c r="B232" s="1"/>
      <c r="K232" s="9"/>
      <c r="L232" s="9"/>
      <c r="M232" s="9"/>
      <c r="AS232" s="41"/>
      <c r="AT232" s="42"/>
    </row>
    <row r="233" spans="1:49" s="3" customFormat="1" x14ac:dyDescent="0.4">
      <c r="A233" s="1"/>
      <c r="B233" s="1"/>
      <c r="K233" s="9"/>
      <c r="L233" s="9"/>
      <c r="M233" s="9"/>
      <c r="AS233" s="41"/>
      <c r="AT233" s="42"/>
    </row>
    <row r="234" spans="1:49" s="3" customFormat="1" x14ac:dyDescent="0.4">
      <c r="K234" s="9"/>
      <c r="L234" s="9"/>
      <c r="M234" s="9"/>
      <c r="AS234" s="41"/>
      <c r="AT234" s="42"/>
    </row>
    <row r="235" spans="1:49" s="3" customFormat="1" x14ac:dyDescent="0.4">
      <c r="K235" s="9"/>
      <c r="L235" s="9"/>
      <c r="M235" s="9"/>
      <c r="AS235" s="41"/>
      <c r="AT235" s="42"/>
    </row>
    <row r="236" spans="1:49" s="3" customFormat="1" x14ac:dyDescent="0.4">
      <c r="K236" s="9"/>
      <c r="L236" s="9"/>
      <c r="M236" s="9"/>
      <c r="AS236" s="41"/>
      <c r="AT236" s="42"/>
    </row>
    <row r="237" spans="1:49" s="3" customFormat="1" x14ac:dyDescent="0.4">
      <c r="K237" s="9"/>
      <c r="L237" s="9"/>
      <c r="M237" s="9"/>
      <c r="AS237" s="41"/>
      <c r="AT237" s="42"/>
    </row>
    <row r="238" spans="1:49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9"/>
      <c r="L238" s="9"/>
      <c r="M238" s="9"/>
      <c r="AU238" s="1"/>
      <c r="AV238" s="1"/>
      <c r="AW238" s="1"/>
    </row>
    <row r="239" spans="1:49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9"/>
      <c r="L239" s="9"/>
      <c r="M239" s="9"/>
      <c r="AU239" s="1"/>
      <c r="AV239" s="1"/>
      <c r="AW239" s="1"/>
    </row>
    <row r="240" spans="1:49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9"/>
      <c r="L240" s="9"/>
      <c r="M240" s="9"/>
      <c r="AU240" s="1"/>
      <c r="AV240" s="1"/>
      <c r="AW240" s="1"/>
    </row>
    <row r="241" spans="11:13" s="1" customFormat="1" x14ac:dyDescent="0.4">
      <c r="K241" s="9"/>
      <c r="L241" s="9"/>
      <c r="M241" s="9"/>
    </row>
    <row r="242" spans="11:13" s="1" customFormat="1" x14ac:dyDescent="0.4">
      <c r="K242" s="9"/>
      <c r="L242" s="9"/>
      <c r="M242" s="9"/>
    </row>
    <row r="243" spans="11:13" s="1" customFormat="1" x14ac:dyDescent="0.4">
      <c r="K243" s="9"/>
      <c r="L243" s="9"/>
      <c r="M243" s="9"/>
    </row>
    <row r="244" spans="11:13" s="1" customFormat="1" x14ac:dyDescent="0.4">
      <c r="K244" s="9"/>
      <c r="L244" s="9"/>
      <c r="M244" s="9"/>
    </row>
    <row r="245" spans="11:13" s="1" customFormat="1" x14ac:dyDescent="0.4">
      <c r="K245" s="9"/>
      <c r="L245" s="9"/>
      <c r="M245" s="9"/>
    </row>
    <row r="246" spans="11:13" s="1" customFormat="1" x14ac:dyDescent="0.4">
      <c r="K246" s="9"/>
      <c r="L246" s="9"/>
      <c r="M246" s="9"/>
    </row>
    <row r="247" spans="11:13" s="1" customFormat="1" x14ac:dyDescent="0.4">
      <c r="K247" s="9"/>
      <c r="L247" s="9"/>
      <c r="M247" s="9"/>
    </row>
    <row r="248" spans="11:13" s="1" customFormat="1" x14ac:dyDescent="0.4">
      <c r="K248" s="9"/>
      <c r="L248" s="9"/>
      <c r="M248" s="9"/>
    </row>
    <row r="249" spans="11:13" s="1" customFormat="1" x14ac:dyDescent="0.4">
      <c r="K249" s="9"/>
      <c r="L249" s="9"/>
      <c r="M249" s="9"/>
    </row>
    <row r="250" spans="11:13" s="1" customFormat="1" x14ac:dyDescent="0.4">
      <c r="K250" s="9"/>
      <c r="L250" s="9"/>
      <c r="M250" s="9"/>
    </row>
    <row r="251" spans="11:13" s="1" customFormat="1" x14ac:dyDescent="0.4">
      <c r="K251" s="9"/>
      <c r="L251" s="9"/>
      <c r="M251" s="9"/>
    </row>
    <row r="252" spans="11:13" s="1" customFormat="1" x14ac:dyDescent="0.4">
      <c r="K252" s="9"/>
      <c r="L252" s="9"/>
      <c r="M252" s="9"/>
    </row>
    <row r="253" spans="11:13" s="1" customFormat="1" x14ac:dyDescent="0.4">
      <c r="K253" s="9"/>
      <c r="L253" s="9"/>
      <c r="M253" s="9"/>
    </row>
    <row r="254" spans="11:13" s="1" customFormat="1" x14ac:dyDescent="0.4">
      <c r="K254" s="9"/>
      <c r="L254" s="9"/>
      <c r="M254" s="9"/>
    </row>
    <row r="255" spans="11:13" s="1" customFormat="1" x14ac:dyDescent="0.4">
      <c r="K255" s="9"/>
      <c r="L255" s="9"/>
      <c r="M255" s="9"/>
    </row>
    <row r="256" spans="11:13" s="1" customFormat="1" x14ac:dyDescent="0.4">
      <c r="K256" s="9"/>
      <c r="L256" s="9"/>
      <c r="M256" s="9"/>
    </row>
    <row r="257" spans="11:31" s="1" customFormat="1" x14ac:dyDescent="0.4">
      <c r="K257" s="9"/>
      <c r="L257" s="9"/>
      <c r="M257" s="9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</row>
    <row r="258" spans="11:31" s="1" customFormat="1" x14ac:dyDescent="0.4">
      <c r="K258" s="9"/>
      <c r="L258" s="9"/>
      <c r="M258" s="9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</row>
    <row r="259" spans="11:31" s="1" customFormat="1" x14ac:dyDescent="0.4">
      <c r="K259" s="9"/>
      <c r="L259" s="9"/>
      <c r="M259" s="9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 spans="11:31" s="1" customFormat="1" x14ac:dyDescent="0.4">
      <c r="K260" s="9"/>
      <c r="L260" s="9"/>
      <c r="M260" s="9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 spans="11:31" s="1" customFormat="1" x14ac:dyDescent="0.4">
      <c r="K261" s="9"/>
      <c r="L261" s="9"/>
      <c r="M261" s="9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 spans="11:31" s="1" customFormat="1" x14ac:dyDescent="0.4">
      <c r="K262" s="9"/>
      <c r="L262" s="9"/>
      <c r="M262" s="9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</row>
    <row r="263" spans="11:31" s="1" customFormat="1" x14ac:dyDescent="0.4">
      <c r="K263" s="9"/>
      <c r="L263" s="9"/>
      <c r="M263" s="9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</row>
    <row r="264" spans="11:31" s="1" customFormat="1" x14ac:dyDescent="0.4">
      <c r="K264" s="9"/>
      <c r="L264" s="9"/>
      <c r="M264" s="9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</row>
    <row r="265" spans="11:31" s="1" customFormat="1" x14ac:dyDescent="0.4">
      <c r="K265" s="9"/>
      <c r="L265" s="9"/>
      <c r="M265" s="9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</row>
    <row r="266" spans="11:31" s="1" customFormat="1" x14ac:dyDescent="0.4">
      <c r="K266" s="9"/>
      <c r="L266" s="9"/>
      <c r="M266" s="9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</row>
    <row r="267" spans="11:31" s="1" customFormat="1" x14ac:dyDescent="0.4">
      <c r="K267" s="9"/>
      <c r="L267" s="9"/>
      <c r="M267" s="9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</row>
    <row r="268" spans="11:31" s="1" customFormat="1" x14ac:dyDescent="0.4">
      <c r="K268" s="9"/>
      <c r="L268" s="9"/>
      <c r="M268" s="9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</row>
    <row r="269" spans="11:31" s="1" customFormat="1" x14ac:dyDescent="0.4">
      <c r="K269" s="9"/>
      <c r="L269" s="9"/>
      <c r="M269" s="9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</row>
    <row r="270" spans="11:31" s="1" customFormat="1" x14ac:dyDescent="0.4">
      <c r="K270" s="9"/>
      <c r="L270" s="9"/>
      <c r="M270" s="9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</row>
    <row r="271" spans="11:31" s="1" customFormat="1" x14ac:dyDescent="0.4">
      <c r="K271" s="9"/>
      <c r="L271" s="9"/>
      <c r="M271" s="9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</row>
    <row r="272" spans="11:31" s="1" customFormat="1" x14ac:dyDescent="0.4">
      <c r="K272" s="9"/>
      <c r="L272" s="9"/>
      <c r="M272" s="9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</row>
    <row r="273" spans="11:13" s="1" customFormat="1" x14ac:dyDescent="0.4">
      <c r="K273" s="9"/>
      <c r="L273" s="9"/>
      <c r="M273" s="9"/>
    </row>
    <row r="274" spans="11:13" s="1" customFormat="1" x14ac:dyDescent="0.4">
      <c r="K274" s="9"/>
      <c r="L274" s="9"/>
      <c r="M274" s="9"/>
    </row>
    <row r="275" spans="11:13" s="1" customFormat="1" x14ac:dyDescent="0.4">
      <c r="K275" s="9"/>
      <c r="L275" s="9"/>
      <c r="M275" s="9"/>
    </row>
    <row r="276" spans="11:13" s="1" customFormat="1" x14ac:dyDescent="0.4">
      <c r="K276" s="9"/>
      <c r="L276" s="9"/>
      <c r="M276" s="9"/>
    </row>
    <row r="277" spans="11:13" s="1" customFormat="1" x14ac:dyDescent="0.4">
      <c r="K277" s="9"/>
      <c r="L277" s="9"/>
      <c r="M277" s="9"/>
    </row>
    <row r="278" spans="11:13" s="1" customFormat="1" x14ac:dyDescent="0.4">
      <c r="K278" s="9"/>
      <c r="L278" s="9"/>
      <c r="M278" s="9"/>
    </row>
    <row r="279" spans="11:13" s="1" customFormat="1" x14ac:dyDescent="0.4">
      <c r="K279" s="9"/>
      <c r="L279" s="9"/>
      <c r="M279" s="9"/>
    </row>
    <row r="280" spans="11:13" s="1" customFormat="1" x14ac:dyDescent="0.4">
      <c r="K280" s="9"/>
      <c r="L280" s="9"/>
      <c r="M280" s="9"/>
    </row>
    <row r="281" spans="11:13" s="1" customFormat="1" x14ac:dyDescent="0.4">
      <c r="K281" s="9"/>
      <c r="L281" s="9"/>
      <c r="M281" s="9"/>
    </row>
    <row r="282" spans="11:13" s="1" customFormat="1" x14ac:dyDescent="0.4">
      <c r="K282" s="9"/>
      <c r="L282" s="9"/>
      <c r="M282" s="9"/>
    </row>
    <row r="283" spans="11:13" s="1" customFormat="1" x14ac:dyDescent="0.4">
      <c r="K283" s="9"/>
      <c r="L283" s="9"/>
      <c r="M283" s="9"/>
    </row>
    <row r="284" spans="11:13" s="1" customFormat="1" x14ac:dyDescent="0.4">
      <c r="K284" s="9"/>
      <c r="L284" s="9"/>
      <c r="M284" s="9"/>
    </row>
    <row r="285" spans="11:13" s="1" customFormat="1" x14ac:dyDescent="0.4">
      <c r="K285" s="9"/>
      <c r="L285" s="9"/>
      <c r="M285" s="9"/>
    </row>
    <row r="286" spans="11:13" s="1" customFormat="1" x14ac:dyDescent="0.4">
      <c r="K286" s="9"/>
      <c r="L286" s="9"/>
      <c r="M286" s="9"/>
    </row>
    <row r="287" spans="11:13" s="1" customFormat="1" x14ac:dyDescent="0.4">
      <c r="K287" s="9"/>
      <c r="L287" s="9"/>
      <c r="M287" s="9"/>
    </row>
    <row r="288" spans="11:13" s="1" customFormat="1" x14ac:dyDescent="0.4">
      <c r="K288" s="9"/>
      <c r="L288" s="9"/>
      <c r="M288" s="9"/>
    </row>
    <row r="289" spans="11:13" s="1" customFormat="1" x14ac:dyDescent="0.4">
      <c r="K289" s="9"/>
      <c r="L289" s="9"/>
      <c r="M289" s="9"/>
    </row>
    <row r="290" spans="11:13" s="1" customFormat="1" x14ac:dyDescent="0.4">
      <c r="K290" s="9"/>
      <c r="L290" s="9"/>
      <c r="M290" s="9"/>
    </row>
    <row r="291" spans="11:13" s="1" customFormat="1" x14ac:dyDescent="0.4">
      <c r="K291" s="9"/>
      <c r="L291" s="9"/>
      <c r="M291" s="9"/>
    </row>
    <row r="292" spans="11:13" s="1" customFormat="1" x14ac:dyDescent="0.4">
      <c r="K292" s="9"/>
      <c r="L292" s="9"/>
      <c r="M292" s="9"/>
    </row>
    <row r="293" spans="11:13" s="1" customFormat="1" x14ac:dyDescent="0.4">
      <c r="K293" s="9"/>
      <c r="L293" s="9"/>
      <c r="M293" s="9"/>
    </row>
    <row r="294" spans="11:13" s="1" customFormat="1" x14ac:dyDescent="0.4">
      <c r="K294" s="9"/>
      <c r="L294" s="9"/>
      <c r="M294" s="9"/>
    </row>
    <row r="295" spans="11:13" s="1" customFormat="1" x14ac:dyDescent="0.4">
      <c r="K295" s="9"/>
      <c r="L295" s="9"/>
      <c r="M295" s="9"/>
    </row>
    <row r="296" spans="11:13" s="1" customFormat="1" x14ac:dyDescent="0.4">
      <c r="K296" s="9"/>
      <c r="L296" s="9"/>
      <c r="M296" s="9"/>
    </row>
    <row r="297" spans="11:13" s="1" customFormat="1" x14ac:dyDescent="0.4">
      <c r="K297" s="9"/>
      <c r="L297" s="9"/>
      <c r="M297" s="9"/>
    </row>
    <row r="298" spans="11:13" s="1" customFormat="1" x14ac:dyDescent="0.4">
      <c r="K298" s="9"/>
      <c r="L298" s="9"/>
      <c r="M298" s="9"/>
    </row>
    <row r="299" spans="11:13" s="1" customFormat="1" x14ac:dyDescent="0.4">
      <c r="K299" s="9"/>
      <c r="L299" s="9"/>
      <c r="M299" s="9"/>
    </row>
    <row r="300" spans="11:13" s="1" customFormat="1" x14ac:dyDescent="0.4">
      <c r="K300" s="9"/>
      <c r="L300" s="9"/>
      <c r="M300" s="9"/>
    </row>
    <row r="301" spans="11:13" s="1" customFormat="1" x14ac:dyDescent="0.4">
      <c r="K301" s="9"/>
      <c r="L301" s="9"/>
      <c r="M301" s="9"/>
    </row>
    <row r="302" spans="11:13" s="1" customFormat="1" x14ac:dyDescent="0.4">
      <c r="K302" s="9"/>
      <c r="L302" s="9"/>
      <c r="M302" s="9"/>
    </row>
    <row r="303" spans="11:13" s="1" customFormat="1" x14ac:dyDescent="0.4">
      <c r="K303" s="9"/>
      <c r="L303" s="9"/>
      <c r="M303" s="9"/>
    </row>
    <row r="304" spans="11:13" s="1" customFormat="1" x14ac:dyDescent="0.4">
      <c r="K304" s="9"/>
      <c r="L304" s="9"/>
      <c r="M304" s="9"/>
    </row>
    <row r="305" spans="11:13" s="1" customFormat="1" x14ac:dyDescent="0.4">
      <c r="K305" s="9"/>
      <c r="L305" s="9"/>
      <c r="M305" s="9"/>
    </row>
    <row r="306" spans="11:13" s="1" customFormat="1" x14ac:dyDescent="0.4">
      <c r="K306" s="9"/>
      <c r="L306" s="9"/>
      <c r="M306" s="9"/>
    </row>
    <row r="307" spans="11:13" s="1" customFormat="1" x14ac:dyDescent="0.4">
      <c r="K307" s="9"/>
      <c r="L307" s="9"/>
      <c r="M307" s="9"/>
    </row>
    <row r="308" spans="11:13" s="1" customFormat="1" x14ac:dyDescent="0.4">
      <c r="K308" s="9"/>
      <c r="L308" s="9"/>
      <c r="M308" s="9"/>
    </row>
    <row r="309" spans="11:13" s="1" customFormat="1" x14ac:dyDescent="0.4">
      <c r="K309" s="9"/>
      <c r="L309" s="9"/>
      <c r="M309" s="9"/>
    </row>
    <row r="310" spans="11:13" s="1" customFormat="1" x14ac:dyDescent="0.4">
      <c r="K310" s="9"/>
      <c r="L310" s="9"/>
      <c r="M310" s="9"/>
    </row>
    <row r="311" spans="11:13" s="1" customFormat="1" x14ac:dyDescent="0.4">
      <c r="K311" s="9"/>
      <c r="L311" s="9"/>
      <c r="M311" s="9"/>
    </row>
    <row r="312" spans="11:13" s="1" customFormat="1" x14ac:dyDescent="0.4">
      <c r="K312" s="9"/>
      <c r="L312" s="9"/>
      <c r="M312" s="9"/>
    </row>
    <row r="313" spans="11:13" s="1" customFormat="1" x14ac:dyDescent="0.4">
      <c r="K313" s="9"/>
      <c r="L313" s="9"/>
      <c r="M313" s="9"/>
    </row>
    <row r="314" spans="11:13" s="1" customFormat="1" x14ac:dyDescent="0.4">
      <c r="K314" s="9"/>
      <c r="L314" s="9"/>
      <c r="M314" s="9"/>
    </row>
    <row r="315" spans="11:13" s="1" customFormat="1" x14ac:dyDescent="0.4">
      <c r="K315" s="9"/>
      <c r="L315" s="9"/>
      <c r="M315" s="9"/>
    </row>
    <row r="316" spans="11:13" s="1" customFormat="1" x14ac:dyDescent="0.4">
      <c r="K316" s="9"/>
      <c r="L316" s="9"/>
      <c r="M316" s="9"/>
    </row>
    <row r="317" spans="11:13" s="1" customFormat="1" x14ac:dyDescent="0.4">
      <c r="K317" s="9"/>
      <c r="L317" s="9"/>
      <c r="M317" s="9"/>
    </row>
    <row r="318" spans="11:13" s="1" customFormat="1" x14ac:dyDescent="0.4">
      <c r="K318" s="9"/>
      <c r="L318" s="9"/>
      <c r="M318" s="9"/>
    </row>
    <row r="319" spans="11:13" s="1" customFormat="1" x14ac:dyDescent="0.4">
      <c r="K319" s="9"/>
      <c r="L319" s="9"/>
      <c r="M319" s="9"/>
    </row>
    <row r="320" spans="11:13" s="1" customFormat="1" x14ac:dyDescent="0.4">
      <c r="K320" s="9"/>
      <c r="L320" s="9"/>
      <c r="M320" s="9"/>
    </row>
    <row r="321" spans="11:13" s="1" customFormat="1" x14ac:dyDescent="0.4">
      <c r="K321" s="9"/>
      <c r="L321" s="9"/>
      <c r="M321" s="9"/>
    </row>
    <row r="322" spans="11:13" s="1" customFormat="1" x14ac:dyDescent="0.4">
      <c r="K322" s="9"/>
      <c r="L322" s="9"/>
      <c r="M322" s="9"/>
    </row>
    <row r="323" spans="11:13" s="1" customFormat="1" x14ac:dyDescent="0.4">
      <c r="K323" s="9"/>
      <c r="L323" s="9"/>
      <c r="M323" s="9"/>
    </row>
    <row r="324" spans="11:13" s="1" customFormat="1" x14ac:dyDescent="0.4">
      <c r="K324" s="9"/>
      <c r="L324" s="9"/>
      <c r="M324" s="9"/>
    </row>
    <row r="325" spans="11:13" s="1" customFormat="1" x14ac:dyDescent="0.4">
      <c r="K325" s="9"/>
      <c r="L325" s="9"/>
      <c r="M325" s="9"/>
    </row>
    <row r="326" spans="11:13" s="1" customFormat="1" x14ac:dyDescent="0.4">
      <c r="K326" s="9"/>
      <c r="L326" s="9"/>
      <c r="M326" s="9"/>
    </row>
    <row r="327" spans="11:13" s="1" customFormat="1" x14ac:dyDescent="0.4">
      <c r="K327" s="9"/>
      <c r="L327" s="9"/>
      <c r="M327" s="9"/>
    </row>
    <row r="328" spans="11:13" s="1" customFormat="1" x14ac:dyDescent="0.4">
      <c r="K328" s="9"/>
      <c r="L328" s="9"/>
      <c r="M328" s="9"/>
    </row>
    <row r="329" spans="11:13" s="1" customFormat="1" x14ac:dyDescent="0.4">
      <c r="K329" s="9"/>
      <c r="L329" s="9"/>
      <c r="M329" s="9"/>
    </row>
    <row r="330" spans="11:13" s="1" customFormat="1" x14ac:dyDescent="0.4">
      <c r="K330" s="9"/>
      <c r="L330" s="9"/>
      <c r="M330" s="9"/>
    </row>
    <row r="331" spans="11:13" s="1" customFormat="1" x14ac:dyDescent="0.4">
      <c r="K331" s="9"/>
      <c r="L331" s="9"/>
      <c r="M331" s="9"/>
    </row>
    <row r="332" spans="11:13" s="1" customFormat="1" x14ac:dyDescent="0.4">
      <c r="K332" s="9"/>
      <c r="L332" s="9"/>
      <c r="M332" s="9"/>
    </row>
    <row r="333" spans="11:13" s="1" customFormat="1" x14ac:dyDescent="0.4">
      <c r="K333" s="9"/>
      <c r="L333" s="9"/>
      <c r="M333" s="9"/>
    </row>
    <row r="334" spans="11:13" s="1" customFormat="1" x14ac:dyDescent="0.4">
      <c r="K334" s="9"/>
      <c r="L334" s="9"/>
      <c r="M334" s="9"/>
    </row>
    <row r="335" spans="11:13" s="1" customFormat="1" x14ac:dyDescent="0.4">
      <c r="K335" s="9"/>
      <c r="L335" s="9"/>
      <c r="M335" s="9"/>
    </row>
    <row r="336" spans="11:13" s="1" customFormat="1" x14ac:dyDescent="0.4">
      <c r="K336" s="9"/>
      <c r="L336" s="9"/>
      <c r="M336" s="9"/>
    </row>
    <row r="337" spans="11:13" s="1" customFormat="1" x14ac:dyDescent="0.4">
      <c r="K337" s="9"/>
      <c r="L337" s="9"/>
      <c r="M337" s="9"/>
    </row>
    <row r="338" spans="11:13" s="1" customFormat="1" x14ac:dyDescent="0.4">
      <c r="K338" s="9"/>
      <c r="L338" s="9"/>
      <c r="M338" s="9"/>
    </row>
    <row r="339" spans="11:13" s="1" customFormat="1" x14ac:dyDescent="0.4">
      <c r="K339" s="9"/>
      <c r="L339" s="9"/>
      <c r="M339" s="9"/>
    </row>
    <row r="340" spans="11:13" s="1" customFormat="1" x14ac:dyDescent="0.4">
      <c r="K340" s="9"/>
      <c r="L340" s="9"/>
      <c r="M340" s="9"/>
    </row>
    <row r="341" spans="11:13" s="1" customFormat="1" x14ac:dyDescent="0.4">
      <c r="K341" s="9"/>
      <c r="L341" s="9"/>
      <c r="M341" s="9"/>
    </row>
    <row r="342" spans="11:13" s="1" customFormat="1" x14ac:dyDescent="0.4">
      <c r="K342" s="9"/>
      <c r="L342" s="9"/>
      <c r="M342" s="9"/>
    </row>
    <row r="343" spans="11:13" s="1" customFormat="1" x14ac:dyDescent="0.4">
      <c r="K343" s="9"/>
      <c r="L343" s="9"/>
      <c r="M343" s="9"/>
    </row>
    <row r="344" spans="11:13" s="1" customFormat="1" x14ac:dyDescent="0.4">
      <c r="K344" s="9"/>
      <c r="L344" s="9"/>
      <c r="M344" s="9"/>
    </row>
    <row r="345" spans="11:13" s="1" customFormat="1" x14ac:dyDescent="0.4">
      <c r="K345" s="9"/>
      <c r="L345" s="9"/>
      <c r="M345" s="9"/>
    </row>
    <row r="346" spans="11:13" s="1" customFormat="1" x14ac:dyDescent="0.4">
      <c r="K346" s="9"/>
      <c r="L346" s="9"/>
      <c r="M346" s="9"/>
    </row>
    <row r="347" spans="11:13" s="1" customFormat="1" x14ac:dyDescent="0.4">
      <c r="K347" s="9"/>
      <c r="L347" s="9"/>
      <c r="M347" s="9"/>
    </row>
    <row r="348" spans="11:13" s="1" customFormat="1" x14ac:dyDescent="0.4">
      <c r="K348" s="9"/>
      <c r="L348" s="9"/>
      <c r="M348" s="9"/>
    </row>
    <row r="349" spans="11:13" s="1" customFormat="1" x14ac:dyDescent="0.4">
      <c r="K349" s="9"/>
      <c r="L349" s="9"/>
      <c r="M349" s="9"/>
    </row>
    <row r="350" spans="11:13" s="1" customFormat="1" x14ac:dyDescent="0.4">
      <c r="K350" s="9"/>
      <c r="L350" s="9"/>
      <c r="M350" s="9"/>
    </row>
    <row r="351" spans="11:13" s="1" customFormat="1" x14ac:dyDescent="0.4">
      <c r="K351" s="9"/>
      <c r="L351" s="9"/>
      <c r="M351" s="9"/>
    </row>
    <row r="352" spans="11:13" s="1" customFormat="1" x14ac:dyDescent="0.4">
      <c r="K352" s="9"/>
      <c r="L352" s="9"/>
      <c r="M352" s="9"/>
    </row>
    <row r="353" spans="11:13" s="1" customFormat="1" x14ac:dyDescent="0.4">
      <c r="K353" s="9"/>
      <c r="L353" s="9"/>
      <c r="M353" s="9"/>
    </row>
    <row r="354" spans="11:13" s="1" customFormat="1" x14ac:dyDescent="0.4">
      <c r="K354" s="9"/>
      <c r="L354" s="9"/>
      <c r="M354" s="9"/>
    </row>
    <row r="355" spans="11:13" s="1" customFormat="1" x14ac:dyDescent="0.4">
      <c r="K355" s="9"/>
      <c r="L355" s="9"/>
      <c r="M355" s="9"/>
    </row>
    <row r="356" spans="11:13" s="1" customFormat="1" x14ac:dyDescent="0.4">
      <c r="K356" s="9"/>
      <c r="L356" s="9"/>
      <c r="M356" s="9"/>
    </row>
    <row r="357" spans="11:13" s="1" customFormat="1" x14ac:dyDescent="0.4">
      <c r="K357" s="9"/>
      <c r="L357" s="9"/>
      <c r="M357" s="9"/>
    </row>
    <row r="358" spans="11:13" s="1" customFormat="1" x14ac:dyDescent="0.4">
      <c r="K358" s="9"/>
      <c r="L358" s="9"/>
      <c r="M358" s="9"/>
    </row>
    <row r="359" spans="11:13" s="1" customFormat="1" x14ac:dyDescent="0.4">
      <c r="K359" s="9"/>
      <c r="L359" s="9"/>
      <c r="M359" s="9"/>
    </row>
    <row r="360" spans="11:13" s="1" customFormat="1" x14ac:dyDescent="0.4">
      <c r="K360" s="9"/>
      <c r="L360" s="9"/>
      <c r="M360" s="9"/>
    </row>
    <row r="361" spans="11:13" s="1" customFormat="1" x14ac:dyDescent="0.4">
      <c r="K361" s="9"/>
      <c r="L361" s="9"/>
      <c r="M361" s="9"/>
    </row>
    <row r="362" spans="11:13" s="1" customFormat="1" x14ac:dyDescent="0.4">
      <c r="K362" s="9"/>
      <c r="L362" s="9"/>
      <c r="M362" s="9"/>
    </row>
    <row r="363" spans="11:13" s="1" customFormat="1" x14ac:dyDescent="0.4">
      <c r="K363" s="9"/>
      <c r="L363" s="9"/>
      <c r="M363" s="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FY 2020-21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stevensj</dc:creator>
  <cp:lastModifiedBy>Chambers, Kevin</cp:lastModifiedBy>
  <cp:lastPrinted>2017-10-18T16:13:22Z</cp:lastPrinted>
  <dcterms:created xsi:type="dcterms:W3CDTF">2017-10-18T15:13:08Z</dcterms:created>
  <dcterms:modified xsi:type="dcterms:W3CDTF">2020-08-19T10:19:04Z</dcterms:modified>
</cp:coreProperties>
</file>