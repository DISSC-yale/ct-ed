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alculations\2022-2023\ECS\"/>
    </mc:Choice>
  </mc:AlternateContent>
  <bookViews>
    <workbookView xWindow="360" yWindow="107" windowWidth="16607" windowHeight="9433"/>
  </bookViews>
  <sheets>
    <sheet name="Current Law" sheetId="16" r:id="rId1"/>
  </sheets>
  <calcPr calcId="162913"/>
</workbook>
</file>

<file path=xl/calcChain.xml><?xml version="1.0" encoding="utf-8"?>
<calcChain xmlns="http://schemas.openxmlformats.org/spreadsheetml/2006/main">
  <c r="C164" i="16" l="1"/>
  <c r="C161" i="16"/>
  <c r="C142" i="16"/>
  <c r="C135" i="16"/>
  <c r="C130" i="16"/>
  <c r="C129" i="16"/>
  <c r="C121" i="16"/>
  <c r="C119" i="16"/>
  <c r="C115" i="16"/>
  <c r="C114" i="16"/>
  <c r="C109" i="16"/>
  <c r="C106" i="16"/>
  <c r="C103" i="16"/>
  <c r="C95" i="16"/>
  <c r="C90" i="16"/>
  <c r="C88" i="16"/>
  <c r="C85" i="16"/>
  <c r="C75" i="16"/>
  <c r="C73" i="16"/>
  <c r="C70" i="16"/>
  <c r="C69" i="16"/>
  <c r="C63" i="16"/>
  <c r="C60" i="16"/>
  <c r="C43" i="16"/>
  <c r="C41" i="16"/>
  <c r="C37" i="16"/>
  <c r="C28" i="16"/>
  <c r="A17" i="16"/>
  <c r="T195" i="16" l="1"/>
  <c r="T194" i="16"/>
  <c r="T193" i="16"/>
  <c r="T192" i="16"/>
  <c r="T191" i="16"/>
  <c r="T190" i="16"/>
  <c r="T189" i="16"/>
  <c r="T188" i="16"/>
  <c r="T187" i="16"/>
  <c r="T186" i="16"/>
  <c r="T185" i="16"/>
  <c r="T184" i="16"/>
  <c r="T183" i="16"/>
  <c r="T182" i="16"/>
  <c r="T181" i="16"/>
  <c r="T180" i="16"/>
  <c r="T179" i="16"/>
  <c r="T178" i="16"/>
  <c r="T177" i="16"/>
  <c r="T176" i="16"/>
  <c r="T175" i="16"/>
  <c r="T174" i="16"/>
  <c r="T173" i="16"/>
  <c r="T172" i="16"/>
  <c r="T171" i="16"/>
  <c r="T170" i="16"/>
  <c r="T169" i="16"/>
  <c r="T168" i="16"/>
  <c r="T167" i="16"/>
  <c r="T166" i="16"/>
  <c r="T165" i="16"/>
  <c r="T164" i="16"/>
  <c r="T163" i="16"/>
  <c r="T162" i="16"/>
  <c r="T161" i="16"/>
  <c r="T160" i="16"/>
  <c r="T159" i="16"/>
  <c r="T158" i="16"/>
  <c r="T157" i="16"/>
  <c r="T156" i="16"/>
  <c r="T155" i="16"/>
  <c r="T154" i="16"/>
  <c r="T153" i="16"/>
  <c r="T152" i="16"/>
  <c r="T151" i="16"/>
  <c r="T150" i="16"/>
  <c r="T149" i="16"/>
  <c r="T148" i="16"/>
  <c r="T147" i="16"/>
  <c r="T146" i="16"/>
  <c r="T145" i="16"/>
  <c r="T144" i="16"/>
  <c r="T143" i="16"/>
  <c r="T142" i="16"/>
  <c r="T141" i="16"/>
  <c r="T140" i="16"/>
  <c r="T139" i="16"/>
  <c r="T138" i="16"/>
  <c r="T137" i="16"/>
  <c r="T136" i="16"/>
  <c r="T135" i="16"/>
  <c r="T134" i="16"/>
  <c r="T133" i="16"/>
  <c r="T132" i="16"/>
  <c r="T131" i="16"/>
  <c r="T130" i="16"/>
  <c r="T129" i="16"/>
  <c r="T128" i="16"/>
  <c r="T127" i="16"/>
  <c r="T126" i="16"/>
  <c r="T125" i="16"/>
  <c r="T124" i="16"/>
  <c r="T123" i="16"/>
  <c r="T122" i="16"/>
  <c r="T121" i="16"/>
  <c r="T120" i="16"/>
  <c r="T119" i="16"/>
  <c r="T118" i="16"/>
  <c r="T117" i="16"/>
  <c r="T116" i="16"/>
  <c r="T115" i="16"/>
  <c r="T114" i="16"/>
  <c r="T113" i="16"/>
  <c r="T112" i="16"/>
  <c r="T111" i="16"/>
  <c r="T110" i="16"/>
  <c r="T109" i="16"/>
  <c r="T108" i="16"/>
  <c r="T107" i="16"/>
  <c r="T106" i="16"/>
  <c r="T105" i="16"/>
  <c r="T104" i="16"/>
  <c r="T103" i="16"/>
  <c r="T102" i="16"/>
  <c r="T101" i="16"/>
  <c r="T100" i="16"/>
  <c r="T99" i="16"/>
  <c r="T98" i="16"/>
  <c r="T97" i="16"/>
  <c r="T96" i="16"/>
  <c r="T95" i="16"/>
  <c r="T94" i="16"/>
  <c r="T93" i="16"/>
  <c r="T92" i="16"/>
  <c r="T91" i="16"/>
  <c r="T90" i="16"/>
  <c r="T89" i="16"/>
  <c r="T88" i="16"/>
  <c r="T87" i="16"/>
  <c r="T86" i="16"/>
  <c r="T85" i="16"/>
  <c r="T84" i="16"/>
  <c r="T83" i="16"/>
  <c r="T82" i="16"/>
  <c r="T81" i="16"/>
  <c r="T80" i="16"/>
  <c r="T79" i="16"/>
  <c r="T78" i="16"/>
  <c r="T77" i="16"/>
  <c r="T76" i="16"/>
  <c r="T75" i="16"/>
  <c r="T74" i="16"/>
  <c r="T73" i="16"/>
  <c r="T72" i="16"/>
  <c r="T71" i="16"/>
  <c r="T70" i="16"/>
  <c r="T69" i="16"/>
  <c r="T68" i="16"/>
  <c r="T67" i="16"/>
  <c r="T66" i="16"/>
  <c r="T65" i="16"/>
  <c r="T64" i="16"/>
  <c r="T63" i="16"/>
  <c r="T62" i="16"/>
  <c r="T61" i="16"/>
  <c r="T60" i="16"/>
  <c r="T59" i="16"/>
  <c r="T58" i="16"/>
  <c r="T57" i="16"/>
  <c r="T56" i="16"/>
  <c r="T55" i="16"/>
  <c r="T54" i="16"/>
  <c r="T53" i="16"/>
  <c r="T52" i="16"/>
  <c r="T51" i="16"/>
  <c r="T50" i="16"/>
  <c r="T49" i="16"/>
  <c r="T48" i="16"/>
  <c r="T47" i="16"/>
  <c r="T46" i="16"/>
  <c r="T45" i="16"/>
  <c r="T44" i="16"/>
  <c r="T43" i="16"/>
  <c r="T42" i="16"/>
  <c r="T41" i="16"/>
  <c r="T40" i="16"/>
  <c r="T39" i="16"/>
  <c r="T38" i="16"/>
  <c r="T37" i="16"/>
  <c r="T36" i="16"/>
  <c r="T35" i="16"/>
  <c r="T34" i="16"/>
  <c r="T33" i="16"/>
  <c r="T32" i="16"/>
  <c r="T31" i="16"/>
  <c r="T30" i="16"/>
  <c r="T29" i="16"/>
  <c r="T28" i="16"/>
  <c r="T27" i="16"/>
  <c r="L195" i="16"/>
  <c r="M195" i="16" s="1"/>
  <c r="N195" i="16" s="1"/>
  <c r="L194" i="16"/>
  <c r="M194" i="16" s="1"/>
  <c r="N194" i="16" s="1"/>
  <c r="L193" i="16"/>
  <c r="M193" i="16" s="1"/>
  <c r="N193" i="16" s="1"/>
  <c r="L192" i="16"/>
  <c r="M192" i="16" s="1"/>
  <c r="N192" i="16" s="1"/>
  <c r="L191" i="16"/>
  <c r="M191" i="16" s="1"/>
  <c r="N191" i="16" s="1"/>
  <c r="L190" i="16"/>
  <c r="M190" i="16" s="1"/>
  <c r="N190" i="16" s="1"/>
  <c r="L189" i="16"/>
  <c r="M189" i="16" s="1"/>
  <c r="N189" i="16" s="1"/>
  <c r="L188" i="16"/>
  <c r="M188" i="16" s="1"/>
  <c r="N188" i="16" s="1"/>
  <c r="L187" i="16"/>
  <c r="M187" i="16" s="1"/>
  <c r="N187" i="16" s="1"/>
  <c r="L186" i="16"/>
  <c r="M186" i="16" s="1"/>
  <c r="N186" i="16" s="1"/>
  <c r="L185" i="16"/>
  <c r="M185" i="16" s="1"/>
  <c r="N185" i="16" s="1"/>
  <c r="L184" i="16"/>
  <c r="M184" i="16" s="1"/>
  <c r="N184" i="16" s="1"/>
  <c r="L183" i="16"/>
  <c r="M183" i="16" s="1"/>
  <c r="N183" i="16" s="1"/>
  <c r="L182" i="16"/>
  <c r="M182" i="16" s="1"/>
  <c r="N182" i="16" s="1"/>
  <c r="L181" i="16"/>
  <c r="M181" i="16" s="1"/>
  <c r="N181" i="16" s="1"/>
  <c r="L180" i="16"/>
  <c r="M180" i="16" s="1"/>
  <c r="N180" i="16" s="1"/>
  <c r="L179" i="16"/>
  <c r="M179" i="16" s="1"/>
  <c r="N179" i="16" s="1"/>
  <c r="L178" i="16"/>
  <c r="M178" i="16" s="1"/>
  <c r="N178" i="16" s="1"/>
  <c r="L177" i="16"/>
  <c r="M177" i="16" s="1"/>
  <c r="N177" i="16" s="1"/>
  <c r="L176" i="16"/>
  <c r="M176" i="16" s="1"/>
  <c r="N176" i="16" s="1"/>
  <c r="L175" i="16"/>
  <c r="M175" i="16" s="1"/>
  <c r="N175" i="16" s="1"/>
  <c r="L174" i="16"/>
  <c r="M174" i="16" s="1"/>
  <c r="N174" i="16" s="1"/>
  <c r="L173" i="16"/>
  <c r="M173" i="16" s="1"/>
  <c r="N173" i="16" s="1"/>
  <c r="L172" i="16"/>
  <c r="M172" i="16" s="1"/>
  <c r="N172" i="16" s="1"/>
  <c r="L171" i="16"/>
  <c r="M171" i="16" s="1"/>
  <c r="N171" i="16" s="1"/>
  <c r="L170" i="16"/>
  <c r="M170" i="16" s="1"/>
  <c r="N170" i="16" s="1"/>
  <c r="L169" i="16"/>
  <c r="M169" i="16" s="1"/>
  <c r="N169" i="16" s="1"/>
  <c r="L168" i="16"/>
  <c r="M168" i="16" s="1"/>
  <c r="N168" i="16" s="1"/>
  <c r="L167" i="16"/>
  <c r="M167" i="16" s="1"/>
  <c r="N167" i="16" s="1"/>
  <c r="L166" i="16"/>
  <c r="M166" i="16" s="1"/>
  <c r="N166" i="16" s="1"/>
  <c r="L165" i="16"/>
  <c r="M165" i="16" s="1"/>
  <c r="N165" i="16" s="1"/>
  <c r="L164" i="16"/>
  <c r="M164" i="16" s="1"/>
  <c r="N164" i="16" s="1"/>
  <c r="L163" i="16"/>
  <c r="M163" i="16" s="1"/>
  <c r="N163" i="16" s="1"/>
  <c r="L162" i="16"/>
  <c r="M162" i="16" s="1"/>
  <c r="N162" i="16" s="1"/>
  <c r="L161" i="16"/>
  <c r="M161" i="16" s="1"/>
  <c r="N161" i="16" s="1"/>
  <c r="L160" i="16"/>
  <c r="M160" i="16" s="1"/>
  <c r="N160" i="16" s="1"/>
  <c r="L159" i="16"/>
  <c r="M159" i="16" s="1"/>
  <c r="N159" i="16" s="1"/>
  <c r="L158" i="16"/>
  <c r="M158" i="16" s="1"/>
  <c r="N158" i="16" s="1"/>
  <c r="L157" i="16"/>
  <c r="M157" i="16" s="1"/>
  <c r="N157" i="16" s="1"/>
  <c r="L156" i="16"/>
  <c r="M156" i="16" s="1"/>
  <c r="N156" i="16" s="1"/>
  <c r="L155" i="16"/>
  <c r="M155" i="16" s="1"/>
  <c r="N155" i="16" s="1"/>
  <c r="L154" i="16"/>
  <c r="M154" i="16" s="1"/>
  <c r="N154" i="16" s="1"/>
  <c r="L153" i="16"/>
  <c r="M153" i="16" s="1"/>
  <c r="N153" i="16" s="1"/>
  <c r="L152" i="16"/>
  <c r="M152" i="16" s="1"/>
  <c r="N152" i="16" s="1"/>
  <c r="L151" i="16"/>
  <c r="M151" i="16" s="1"/>
  <c r="N151" i="16" s="1"/>
  <c r="L150" i="16"/>
  <c r="M150" i="16" s="1"/>
  <c r="N150" i="16" s="1"/>
  <c r="L149" i="16"/>
  <c r="M149" i="16" s="1"/>
  <c r="N149" i="16" s="1"/>
  <c r="L148" i="16"/>
  <c r="M148" i="16" s="1"/>
  <c r="N148" i="16" s="1"/>
  <c r="L147" i="16"/>
  <c r="M147" i="16" s="1"/>
  <c r="N147" i="16" s="1"/>
  <c r="L146" i="16"/>
  <c r="M146" i="16" s="1"/>
  <c r="N146" i="16" s="1"/>
  <c r="L145" i="16"/>
  <c r="M145" i="16" s="1"/>
  <c r="N145" i="16" s="1"/>
  <c r="L144" i="16"/>
  <c r="M144" i="16" s="1"/>
  <c r="N144" i="16" s="1"/>
  <c r="L143" i="16"/>
  <c r="M143" i="16" s="1"/>
  <c r="N143" i="16" s="1"/>
  <c r="L142" i="16"/>
  <c r="M142" i="16" s="1"/>
  <c r="N142" i="16" s="1"/>
  <c r="L141" i="16"/>
  <c r="M141" i="16" s="1"/>
  <c r="N141" i="16" s="1"/>
  <c r="L140" i="16"/>
  <c r="M140" i="16" s="1"/>
  <c r="N140" i="16" s="1"/>
  <c r="L139" i="16"/>
  <c r="M139" i="16" s="1"/>
  <c r="N139" i="16" s="1"/>
  <c r="L138" i="16"/>
  <c r="M138" i="16" s="1"/>
  <c r="N138" i="16" s="1"/>
  <c r="L137" i="16"/>
  <c r="M137" i="16" s="1"/>
  <c r="N137" i="16" s="1"/>
  <c r="L136" i="16"/>
  <c r="M136" i="16" s="1"/>
  <c r="N136" i="16" s="1"/>
  <c r="L135" i="16"/>
  <c r="M135" i="16" s="1"/>
  <c r="N135" i="16" s="1"/>
  <c r="L134" i="16"/>
  <c r="M134" i="16" s="1"/>
  <c r="N134" i="16" s="1"/>
  <c r="L133" i="16"/>
  <c r="M133" i="16" s="1"/>
  <c r="N133" i="16" s="1"/>
  <c r="L132" i="16"/>
  <c r="M132" i="16" s="1"/>
  <c r="N132" i="16" s="1"/>
  <c r="L131" i="16"/>
  <c r="M131" i="16" s="1"/>
  <c r="N131" i="16" s="1"/>
  <c r="L130" i="16"/>
  <c r="M130" i="16" s="1"/>
  <c r="N130" i="16" s="1"/>
  <c r="L129" i="16"/>
  <c r="M129" i="16" s="1"/>
  <c r="N129" i="16" s="1"/>
  <c r="L128" i="16"/>
  <c r="M128" i="16" s="1"/>
  <c r="N128" i="16" s="1"/>
  <c r="L127" i="16"/>
  <c r="M127" i="16" s="1"/>
  <c r="N127" i="16" s="1"/>
  <c r="L126" i="16"/>
  <c r="M126" i="16" s="1"/>
  <c r="N126" i="16" s="1"/>
  <c r="L125" i="16"/>
  <c r="M125" i="16" s="1"/>
  <c r="N125" i="16" s="1"/>
  <c r="L124" i="16"/>
  <c r="M124" i="16" s="1"/>
  <c r="N124" i="16" s="1"/>
  <c r="L123" i="16"/>
  <c r="M123" i="16" s="1"/>
  <c r="N123" i="16" s="1"/>
  <c r="L122" i="16"/>
  <c r="M122" i="16" s="1"/>
  <c r="N122" i="16" s="1"/>
  <c r="L121" i="16"/>
  <c r="M121" i="16" s="1"/>
  <c r="N121" i="16" s="1"/>
  <c r="L120" i="16"/>
  <c r="M120" i="16" s="1"/>
  <c r="N120" i="16" s="1"/>
  <c r="L119" i="16"/>
  <c r="M119" i="16" s="1"/>
  <c r="N119" i="16" s="1"/>
  <c r="L118" i="16"/>
  <c r="M118" i="16" s="1"/>
  <c r="N118" i="16" s="1"/>
  <c r="L117" i="16"/>
  <c r="M117" i="16" s="1"/>
  <c r="N117" i="16" s="1"/>
  <c r="L116" i="16"/>
  <c r="M116" i="16" s="1"/>
  <c r="N116" i="16" s="1"/>
  <c r="L115" i="16"/>
  <c r="M115" i="16" s="1"/>
  <c r="N115" i="16" s="1"/>
  <c r="L114" i="16"/>
  <c r="M114" i="16" s="1"/>
  <c r="N114" i="16" s="1"/>
  <c r="L113" i="16"/>
  <c r="M113" i="16" s="1"/>
  <c r="N113" i="16" s="1"/>
  <c r="L112" i="16"/>
  <c r="M112" i="16" s="1"/>
  <c r="N112" i="16" s="1"/>
  <c r="L111" i="16"/>
  <c r="M111" i="16" s="1"/>
  <c r="N111" i="16" s="1"/>
  <c r="L110" i="16"/>
  <c r="M110" i="16" s="1"/>
  <c r="N110" i="16" s="1"/>
  <c r="L109" i="16"/>
  <c r="M109" i="16" s="1"/>
  <c r="N109" i="16" s="1"/>
  <c r="L108" i="16"/>
  <c r="M108" i="16" s="1"/>
  <c r="N108" i="16" s="1"/>
  <c r="L107" i="16"/>
  <c r="M107" i="16" s="1"/>
  <c r="N107" i="16" s="1"/>
  <c r="L106" i="16"/>
  <c r="M106" i="16" s="1"/>
  <c r="N106" i="16" s="1"/>
  <c r="L105" i="16"/>
  <c r="M105" i="16" s="1"/>
  <c r="N105" i="16" s="1"/>
  <c r="L104" i="16"/>
  <c r="M104" i="16" s="1"/>
  <c r="N104" i="16" s="1"/>
  <c r="L103" i="16"/>
  <c r="M103" i="16" s="1"/>
  <c r="N103" i="16" s="1"/>
  <c r="L102" i="16"/>
  <c r="M102" i="16" s="1"/>
  <c r="N102" i="16" s="1"/>
  <c r="L101" i="16"/>
  <c r="M101" i="16" s="1"/>
  <c r="N101" i="16" s="1"/>
  <c r="L100" i="16"/>
  <c r="M100" i="16" s="1"/>
  <c r="N100" i="16" s="1"/>
  <c r="L99" i="16"/>
  <c r="M99" i="16" s="1"/>
  <c r="N99" i="16" s="1"/>
  <c r="L98" i="16"/>
  <c r="M98" i="16" s="1"/>
  <c r="N98" i="16" s="1"/>
  <c r="L97" i="16"/>
  <c r="M97" i="16" s="1"/>
  <c r="N97" i="16" s="1"/>
  <c r="L96" i="16"/>
  <c r="M96" i="16" s="1"/>
  <c r="N96" i="16" s="1"/>
  <c r="L95" i="16"/>
  <c r="M95" i="16" s="1"/>
  <c r="N95" i="16" s="1"/>
  <c r="L94" i="16"/>
  <c r="M94" i="16" s="1"/>
  <c r="N94" i="16" s="1"/>
  <c r="L93" i="16"/>
  <c r="M93" i="16" s="1"/>
  <c r="N93" i="16" s="1"/>
  <c r="L92" i="16"/>
  <c r="M92" i="16" s="1"/>
  <c r="N92" i="16" s="1"/>
  <c r="L91" i="16"/>
  <c r="M91" i="16" s="1"/>
  <c r="N91" i="16" s="1"/>
  <c r="L90" i="16"/>
  <c r="M90" i="16" s="1"/>
  <c r="N90" i="16" s="1"/>
  <c r="L89" i="16"/>
  <c r="M89" i="16" s="1"/>
  <c r="N89" i="16" s="1"/>
  <c r="L88" i="16"/>
  <c r="M88" i="16" s="1"/>
  <c r="N88" i="16" s="1"/>
  <c r="L87" i="16"/>
  <c r="M87" i="16" s="1"/>
  <c r="N87" i="16" s="1"/>
  <c r="L86" i="16"/>
  <c r="M86" i="16" s="1"/>
  <c r="N86" i="16" s="1"/>
  <c r="L85" i="16"/>
  <c r="M85" i="16" s="1"/>
  <c r="N85" i="16" s="1"/>
  <c r="L84" i="16"/>
  <c r="M84" i="16" s="1"/>
  <c r="N84" i="16" s="1"/>
  <c r="L83" i="16"/>
  <c r="M83" i="16" s="1"/>
  <c r="N83" i="16" s="1"/>
  <c r="L82" i="16"/>
  <c r="M82" i="16" s="1"/>
  <c r="N82" i="16" s="1"/>
  <c r="L81" i="16"/>
  <c r="M81" i="16" s="1"/>
  <c r="N81" i="16" s="1"/>
  <c r="L80" i="16"/>
  <c r="M80" i="16" s="1"/>
  <c r="N80" i="16" s="1"/>
  <c r="L79" i="16"/>
  <c r="M79" i="16" s="1"/>
  <c r="N79" i="16" s="1"/>
  <c r="L78" i="16"/>
  <c r="M78" i="16" s="1"/>
  <c r="N78" i="16" s="1"/>
  <c r="L77" i="16"/>
  <c r="M77" i="16" s="1"/>
  <c r="N77" i="16" s="1"/>
  <c r="L76" i="16"/>
  <c r="M76" i="16" s="1"/>
  <c r="N76" i="16" s="1"/>
  <c r="L75" i="16"/>
  <c r="M75" i="16" s="1"/>
  <c r="N75" i="16" s="1"/>
  <c r="L74" i="16"/>
  <c r="M74" i="16" s="1"/>
  <c r="N74" i="16" s="1"/>
  <c r="L73" i="16"/>
  <c r="M73" i="16" s="1"/>
  <c r="N73" i="16" s="1"/>
  <c r="L72" i="16"/>
  <c r="M72" i="16" s="1"/>
  <c r="N72" i="16" s="1"/>
  <c r="L71" i="16"/>
  <c r="M71" i="16" s="1"/>
  <c r="N71" i="16" s="1"/>
  <c r="L70" i="16"/>
  <c r="M70" i="16" s="1"/>
  <c r="N70" i="16" s="1"/>
  <c r="L69" i="16"/>
  <c r="M69" i="16" s="1"/>
  <c r="N69" i="16" s="1"/>
  <c r="L68" i="16"/>
  <c r="M68" i="16" s="1"/>
  <c r="N68" i="16" s="1"/>
  <c r="L67" i="16"/>
  <c r="M67" i="16" s="1"/>
  <c r="N67" i="16" s="1"/>
  <c r="L66" i="16"/>
  <c r="M66" i="16" s="1"/>
  <c r="N66" i="16" s="1"/>
  <c r="L65" i="16"/>
  <c r="M65" i="16" s="1"/>
  <c r="N65" i="16" s="1"/>
  <c r="L64" i="16"/>
  <c r="M64" i="16" s="1"/>
  <c r="N64" i="16" s="1"/>
  <c r="L63" i="16"/>
  <c r="M63" i="16" s="1"/>
  <c r="N63" i="16" s="1"/>
  <c r="L62" i="16"/>
  <c r="M62" i="16" s="1"/>
  <c r="N62" i="16" s="1"/>
  <c r="L61" i="16"/>
  <c r="M61" i="16" s="1"/>
  <c r="N61" i="16" s="1"/>
  <c r="L60" i="16"/>
  <c r="M60" i="16" s="1"/>
  <c r="N60" i="16" s="1"/>
  <c r="L59" i="16"/>
  <c r="M59" i="16" s="1"/>
  <c r="N59" i="16" s="1"/>
  <c r="L58" i="16"/>
  <c r="M58" i="16" s="1"/>
  <c r="N58" i="16" s="1"/>
  <c r="L57" i="16"/>
  <c r="M57" i="16" s="1"/>
  <c r="N57" i="16" s="1"/>
  <c r="L56" i="16"/>
  <c r="M56" i="16" s="1"/>
  <c r="N56" i="16" s="1"/>
  <c r="L55" i="16"/>
  <c r="M55" i="16" s="1"/>
  <c r="N55" i="16" s="1"/>
  <c r="L54" i="16"/>
  <c r="M54" i="16" s="1"/>
  <c r="N54" i="16" s="1"/>
  <c r="L53" i="16"/>
  <c r="M53" i="16" s="1"/>
  <c r="N53" i="16" s="1"/>
  <c r="L52" i="16"/>
  <c r="M52" i="16" s="1"/>
  <c r="N52" i="16" s="1"/>
  <c r="L51" i="16"/>
  <c r="M51" i="16" s="1"/>
  <c r="N51" i="16" s="1"/>
  <c r="L50" i="16"/>
  <c r="M50" i="16" s="1"/>
  <c r="N50" i="16" s="1"/>
  <c r="L49" i="16"/>
  <c r="M49" i="16" s="1"/>
  <c r="N49" i="16" s="1"/>
  <c r="L48" i="16"/>
  <c r="M48" i="16" s="1"/>
  <c r="N48" i="16" s="1"/>
  <c r="L47" i="16"/>
  <c r="M47" i="16" s="1"/>
  <c r="N47" i="16" s="1"/>
  <c r="L46" i="16"/>
  <c r="M46" i="16" s="1"/>
  <c r="N46" i="16" s="1"/>
  <c r="L45" i="16"/>
  <c r="M45" i="16" s="1"/>
  <c r="N45" i="16" s="1"/>
  <c r="L44" i="16"/>
  <c r="M44" i="16" s="1"/>
  <c r="N44" i="16" s="1"/>
  <c r="L43" i="16"/>
  <c r="M43" i="16" s="1"/>
  <c r="N43" i="16" s="1"/>
  <c r="L42" i="16"/>
  <c r="M42" i="16" s="1"/>
  <c r="N42" i="16" s="1"/>
  <c r="L41" i="16"/>
  <c r="M41" i="16" s="1"/>
  <c r="N41" i="16" s="1"/>
  <c r="L40" i="16"/>
  <c r="M40" i="16" s="1"/>
  <c r="N40" i="16" s="1"/>
  <c r="L39" i="16"/>
  <c r="M39" i="16" s="1"/>
  <c r="N39" i="16" s="1"/>
  <c r="L38" i="16"/>
  <c r="M38" i="16" s="1"/>
  <c r="N38" i="16" s="1"/>
  <c r="L37" i="16"/>
  <c r="M37" i="16" s="1"/>
  <c r="N37" i="16" s="1"/>
  <c r="L36" i="16"/>
  <c r="M36" i="16" s="1"/>
  <c r="N36" i="16" s="1"/>
  <c r="L35" i="16"/>
  <c r="M35" i="16" s="1"/>
  <c r="N35" i="16" s="1"/>
  <c r="L34" i="16"/>
  <c r="M34" i="16" s="1"/>
  <c r="N34" i="16" s="1"/>
  <c r="L33" i="16"/>
  <c r="M33" i="16" s="1"/>
  <c r="N33" i="16" s="1"/>
  <c r="L32" i="16"/>
  <c r="M32" i="16" s="1"/>
  <c r="N32" i="16" s="1"/>
  <c r="L31" i="16"/>
  <c r="M31" i="16" s="1"/>
  <c r="N31" i="16" s="1"/>
  <c r="L30" i="16"/>
  <c r="M30" i="16" s="1"/>
  <c r="N30" i="16" s="1"/>
  <c r="L29" i="16"/>
  <c r="M29" i="16" s="1"/>
  <c r="N29" i="16" s="1"/>
  <c r="L28" i="16"/>
  <c r="M28" i="16" s="1"/>
  <c r="N28" i="16" s="1"/>
  <c r="L27" i="16"/>
  <c r="M27" i="16" s="1"/>
  <c r="K195" i="16"/>
  <c r="K194" i="16"/>
  <c r="K193" i="16"/>
  <c r="K192" i="16"/>
  <c r="K191" i="16"/>
  <c r="K190" i="16"/>
  <c r="K189" i="16"/>
  <c r="K188" i="16"/>
  <c r="K187" i="16"/>
  <c r="K186" i="16"/>
  <c r="K185" i="16"/>
  <c r="K184" i="16"/>
  <c r="K183" i="16"/>
  <c r="K182" i="16"/>
  <c r="K181" i="16"/>
  <c r="K180" i="16"/>
  <c r="K179" i="16"/>
  <c r="K178" i="16"/>
  <c r="K177" i="16"/>
  <c r="K176" i="16"/>
  <c r="K175" i="16"/>
  <c r="K174" i="16"/>
  <c r="K173" i="16"/>
  <c r="K172" i="16"/>
  <c r="K171" i="16"/>
  <c r="K170" i="16"/>
  <c r="K169" i="16"/>
  <c r="K168" i="16"/>
  <c r="K167" i="16"/>
  <c r="K166" i="16"/>
  <c r="K165" i="16"/>
  <c r="K164" i="16"/>
  <c r="K163" i="16"/>
  <c r="K162" i="16"/>
  <c r="K161" i="16"/>
  <c r="K160" i="16"/>
  <c r="K159" i="16"/>
  <c r="K158" i="16"/>
  <c r="K157" i="16"/>
  <c r="K156" i="16"/>
  <c r="K155" i="16"/>
  <c r="K154" i="16"/>
  <c r="K153" i="16"/>
  <c r="K152" i="16"/>
  <c r="K151" i="16"/>
  <c r="K150" i="16"/>
  <c r="K149" i="16"/>
  <c r="K148" i="16"/>
  <c r="K147" i="16"/>
  <c r="K146" i="16"/>
  <c r="K145" i="16"/>
  <c r="K144" i="16"/>
  <c r="K143" i="16"/>
  <c r="K142" i="16"/>
  <c r="K141" i="16"/>
  <c r="K140" i="16"/>
  <c r="K139" i="16"/>
  <c r="K138" i="16"/>
  <c r="K137" i="16"/>
  <c r="K136" i="16"/>
  <c r="K135" i="16"/>
  <c r="K134" i="16"/>
  <c r="K133" i="16"/>
  <c r="K132" i="16"/>
  <c r="K131" i="16"/>
  <c r="K130" i="16"/>
  <c r="K129" i="16"/>
  <c r="K128" i="16"/>
  <c r="K127" i="16"/>
  <c r="K126" i="16"/>
  <c r="K125" i="16"/>
  <c r="K124" i="16"/>
  <c r="K123" i="16"/>
  <c r="K122" i="16"/>
  <c r="K121" i="16"/>
  <c r="K120" i="16"/>
  <c r="K119" i="16"/>
  <c r="K118" i="16"/>
  <c r="K117" i="16"/>
  <c r="K116" i="16"/>
  <c r="K115" i="16"/>
  <c r="K114" i="16"/>
  <c r="K113" i="16"/>
  <c r="K112" i="16"/>
  <c r="K111" i="16"/>
  <c r="K110" i="16"/>
  <c r="K109" i="16"/>
  <c r="K108" i="16"/>
  <c r="K107" i="16"/>
  <c r="K106" i="16"/>
  <c r="K105" i="16"/>
  <c r="K104" i="16"/>
  <c r="K103" i="16"/>
  <c r="K102" i="16"/>
  <c r="K101" i="16"/>
  <c r="K100" i="16"/>
  <c r="K99" i="16"/>
  <c r="K98" i="16"/>
  <c r="K97" i="16"/>
  <c r="K96" i="16"/>
  <c r="K95" i="16"/>
  <c r="K94" i="16"/>
  <c r="K93" i="16"/>
  <c r="K92" i="16"/>
  <c r="K91" i="16"/>
  <c r="K90" i="16"/>
  <c r="K89" i="16"/>
  <c r="K88" i="16"/>
  <c r="K87" i="16"/>
  <c r="K86" i="16"/>
  <c r="K85" i="16"/>
  <c r="K84" i="16"/>
  <c r="K83" i="16"/>
  <c r="K82" i="16"/>
  <c r="K81" i="16"/>
  <c r="K80" i="16"/>
  <c r="K79" i="16"/>
  <c r="K78" i="16"/>
  <c r="K77" i="16"/>
  <c r="K76" i="16"/>
  <c r="K75" i="16"/>
  <c r="K74" i="16"/>
  <c r="K73" i="16"/>
  <c r="K72" i="16"/>
  <c r="K71" i="16"/>
  <c r="K70" i="16"/>
  <c r="K69" i="16"/>
  <c r="K68" i="16"/>
  <c r="K67" i="16"/>
  <c r="K66" i="16"/>
  <c r="K65" i="16"/>
  <c r="K64" i="16"/>
  <c r="K63" i="16"/>
  <c r="K62" i="16"/>
  <c r="K61" i="16"/>
  <c r="K60" i="16"/>
  <c r="K59" i="16"/>
  <c r="K58" i="16"/>
  <c r="K57" i="16"/>
  <c r="K56" i="16"/>
  <c r="K55" i="16"/>
  <c r="K54" i="16"/>
  <c r="K53" i="16"/>
  <c r="K52" i="16"/>
  <c r="K51" i="16"/>
  <c r="K50" i="16"/>
  <c r="K49" i="16"/>
  <c r="K48" i="16"/>
  <c r="K47" i="16"/>
  <c r="K46" i="16"/>
  <c r="K45" i="16"/>
  <c r="K44" i="16"/>
  <c r="K43" i="16"/>
  <c r="K42" i="16"/>
  <c r="K41" i="16"/>
  <c r="K40" i="16"/>
  <c r="K39" i="16"/>
  <c r="K38" i="16"/>
  <c r="K37" i="16"/>
  <c r="K36" i="16"/>
  <c r="K35" i="16"/>
  <c r="K34" i="16"/>
  <c r="K33" i="16"/>
  <c r="K32" i="16"/>
  <c r="K31" i="16"/>
  <c r="K30" i="16"/>
  <c r="K29" i="16"/>
  <c r="K28" i="16"/>
  <c r="K27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AL195" i="16"/>
  <c r="AL194" i="16"/>
  <c r="AL193" i="16"/>
  <c r="AL192" i="16"/>
  <c r="AL191" i="16"/>
  <c r="AL190" i="16"/>
  <c r="AL189" i="16"/>
  <c r="AL188" i="16"/>
  <c r="AL187" i="16"/>
  <c r="AL186" i="16"/>
  <c r="AL185" i="16"/>
  <c r="AL184" i="16"/>
  <c r="AL183" i="16"/>
  <c r="AL182" i="16"/>
  <c r="AL181" i="16"/>
  <c r="AL180" i="16"/>
  <c r="AL179" i="16"/>
  <c r="AL178" i="16"/>
  <c r="AL177" i="16"/>
  <c r="AL176" i="16"/>
  <c r="AL175" i="16"/>
  <c r="AL174" i="16"/>
  <c r="AL173" i="16"/>
  <c r="AL172" i="16"/>
  <c r="AL171" i="16"/>
  <c r="AL170" i="16"/>
  <c r="AL169" i="16"/>
  <c r="AL168" i="16"/>
  <c r="AL167" i="16"/>
  <c r="AL166" i="16"/>
  <c r="AL165" i="16"/>
  <c r="AL164" i="16"/>
  <c r="AL163" i="16"/>
  <c r="AL162" i="16"/>
  <c r="AL161" i="16"/>
  <c r="AL160" i="16"/>
  <c r="AL159" i="16"/>
  <c r="AL158" i="16"/>
  <c r="AL157" i="16"/>
  <c r="AL156" i="16"/>
  <c r="AL155" i="16"/>
  <c r="AL154" i="16"/>
  <c r="AL153" i="16"/>
  <c r="AL152" i="16"/>
  <c r="AL151" i="16"/>
  <c r="AL150" i="16"/>
  <c r="AL149" i="16"/>
  <c r="AL148" i="16"/>
  <c r="AL147" i="16"/>
  <c r="AL146" i="16"/>
  <c r="AL145" i="16"/>
  <c r="AL144" i="16"/>
  <c r="AL143" i="16"/>
  <c r="AL142" i="16"/>
  <c r="AL141" i="16"/>
  <c r="AL140" i="16"/>
  <c r="AL139" i="16"/>
  <c r="AL138" i="16"/>
  <c r="AL137" i="16"/>
  <c r="AL136" i="16"/>
  <c r="AL135" i="16"/>
  <c r="AL134" i="16"/>
  <c r="AL133" i="16"/>
  <c r="AL132" i="16"/>
  <c r="AL131" i="16"/>
  <c r="AL130" i="16"/>
  <c r="AL129" i="16"/>
  <c r="AL128" i="16"/>
  <c r="AL127" i="16"/>
  <c r="AL126" i="16"/>
  <c r="AL125" i="16"/>
  <c r="AL124" i="16"/>
  <c r="AL123" i="16"/>
  <c r="AL122" i="16"/>
  <c r="AL121" i="16"/>
  <c r="AL120" i="16"/>
  <c r="AL119" i="16"/>
  <c r="AL118" i="16"/>
  <c r="AL117" i="16"/>
  <c r="AL116" i="16"/>
  <c r="AL115" i="16"/>
  <c r="AL114" i="16"/>
  <c r="AL113" i="16"/>
  <c r="AL112" i="16"/>
  <c r="AL111" i="16"/>
  <c r="AL110" i="16"/>
  <c r="AL109" i="16"/>
  <c r="AL108" i="16"/>
  <c r="AL107" i="16"/>
  <c r="AL106" i="16"/>
  <c r="AL105" i="16"/>
  <c r="AL104" i="16"/>
  <c r="AL103" i="16"/>
  <c r="AL102" i="16"/>
  <c r="AL101" i="16"/>
  <c r="AL100" i="16"/>
  <c r="AL99" i="16"/>
  <c r="AL98" i="16"/>
  <c r="AL97" i="16"/>
  <c r="AL96" i="16"/>
  <c r="AL95" i="16"/>
  <c r="AL94" i="16"/>
  <c r="AL93" i="16"/>
  <c r="AL92" i="16"/>
  <c r="AL91" i="16"/>
  <c r="AL90" i="16"/>
  <c r="AL89" i="16"/>
  <c r="AL88" i="16"/>
  <c r="AL87" i="16"/>
  <c r="AL86" i="16"/>
  <c r="AL85" i="16"/>
  <c r="AL84" i="16"/>
  <c r="AL83" i="16"/>
  <c r="AL82" i="16"/>
  <c r="AL81" i="16"/>
  <c r="AL80" i="16"/>
  <c r="AL79" i="16"/>
  <c r="AL78" i="16"/>
  <c r="AL77" i="16"/>
  <c r="AL76" i="16"/>
  <c r="AL75" i="16"/>
  <c r="AL74" i="16"/>
  <c r="AL73" i="16"/>
  <c r="AL72" i="16"/>
  <c r="AL71" i="16"/>
  <c r="AL70" i="16"/>
  <c r="AL69" i="16"/>
  <c r="AL68" i="16"/>
  <c r="AL67" i="16"/>
  <c r="AL66" i="16"/>
  <c r="AL65" i="16"/>
  <c r="AL64" i="16"/>
  <c r="AL63" i="16"/>
  <c r="AL62" i="16"/>
  <c r="AL61" i="16"/>
  <c r="AL60" i="16"/>
  <c r="AL59" i="16"/>
  <c r="AL58" i="16"/>
  <c r="AL57" i="16"/>
  <c r="AL56" i="16"/>
  <c r="AL55" i="16"/>
  <c r="AL54" i="16"/>
  <c r="AL53" i="16"/>
  <c r="AL52" i="16"/>
  <c r="AL51" i="16"/>
  <c r="AL50" i="16"/>
  <c r="AL49" i="16"/>
  <c r="AL48" i="16"/>
  <c r="AL47" i="16"/>
  <c r="AL46" i="16"/>
  <c r="AL45" i="16"/>
  <c r="AL44" i="16"/>
  <c r="AL43" i="16"/>
  <c r="AL42" i="16"/>
  <c r="AL41" i="16"/>
  <c r="AL40" i="16"/>
  <c r="AL39" i="16"/>
  <c r="AL38" i="16"/>
  <c r="AL37" i="16"/>
  <c r="AL36" i="16"/>
  <c r="AL35" i="16"/>
  <c r="AL34" i="16"/>
  <c r="AL33" i="16"/>
  <c r="AL32" i="16"/>
  <c r="AL31" i="16"/>
  <c r="AL30" i="16"/>
  <c r="AL29" i="16"/>
  <c r="AL28" i="16"/>
  <c r="AL27" i="16"/>
  <c r="AJ17" i="16"/>
  <c r="AI195" i="16"/>
  <c r="AI194" i="16"/>
  <c r="AI193" i="16"/>
  <c r="AI192" i="16"/>
  <c r="AI191" i="16"/>
  <c r="AI190" i="16"/>
  <c r="AI189" i="16"/>
  <c r="AI188" i="16"/>
  <c r="AI187" i="16"/>
  <c r="AI186" i="16"/>
  <c r="AI185" i="16"/>
  <c r="AI184" i="16"/>
  <c r="AI183" i="16"/>
  <c r="AI182" i="16"/>
  <c r="AI181" i="16"/>
  <c r="AI180" i="16"/>
  <c r="AI179" i="16"/>
  <c r="AI178" i="16"/>
  <c r="AI177" i="16"/>
  <c r="AI176" i="16"/>
  <c r="AI175" i="16"/>
  <c r="AI174" i="16"/>
  <c r="AI173" i="16"/>
  <c r="AI172" i="16"/>
  <c r="AI171" i="16"/>
  <c r="AI170" i="16"/>
  <c r="AI169" i="16"/>
  <c r="AI168" i="16"/>
  <c r="AI167" i="16"/>
  <c r="AI166" i="16"/>
  <c r="AI165" i="16"/>
  <c r="AI164" i="16"/>
  <c r="AI163" i="16"/>
  <c r="AI162" i="16"/>
  <c r="AI161" i="16"/>
  <c r="AI160" i="16"/>
  <c r="AI159" i="16"/>
  <c r="AI158" i="16"/>
  <c r="AI157" i="16"/>
  <c r="AI156" i="16"/>
  <c r="AI155" i="16"/>
  <c r="AI154" i="16"/>
  <c r="AI153" i="16"/>
  <c r="AI152" i="16"/>
  <c r="AI151" i="16"/>
  <c r="AI150" i="16"/>
  <c r="AI149" i="16"/>
  <c r="AI148" i="16"/>
  <c r="AI147" i="16"/>
  <c r="AI146" i="16"/>
  <c r="AI145" i="16"/>
  <c r="AI144" i="16"/>
  <c r="AI143" i="16"/>
  <c r="AI142" i="16"/>
  <c r="AI141" i="16"/>
  <c r="AI140" i="16"/>
  <c r="AI139" i="16"/>
  <c r="AI138" i="16"/>
  <c r="AI137" i="16"/>
  <c r="AI136" i="16"/>
  <c r="AI135" i="16"/>
  <c r="AI134" i="16"/>
  <c r="AI133" i="16"/>
  <c r="AI132" i="16"/>
  <c r="AI131" i="16"/>
  <c r="AI130" i="16"/>
  <c r="AI129" i="16"/>
  <c r="AI128" i="16"/>
  <c r="AI127" i="16"/>
  <c r="AI126" i="16"/>
  <c r="AI125" i="16"/>
  <c r="AI124" i="16"/>
  <c r="AI123" i="16"/>
  <c r="AI122" i="16"/>
  <c r="AI121" i="16"/>
  <c r="AI120" i="16"/>
  <c r="AI119" i="16"/>
  <c r="AI118" i="16"/>
  <c r="AI117" i="16"/>
  <c r="AI116" i="16"/>
  <c r="AI115" i="16"/>
  <c r="AI114" i="16"/>
  <c r="AI113" i="16"/>
  <c r="AI112" i="16"/>
  <c r="AI111" i="16"/>
  <c r="AI110" i="16"/>
  <c r="AI109" i="16"/>
  <c r="AI108" i="16"/>
  <c r="AI107" i="16"/>
  <c r="AI106" i="16"/>
  <c r="AI105" i="16"/>
  <c r="AI104" i="16"/>
  <c r="AI103" i="16"/>
  <c r="AI102" i="16"/>
  <c r="AI101" i="16"/>
  <c r="AI100" i="16"/>
  <c r="AI99" i="16"/>
  <c r="AI98" i="16"/>
  <c r="AI97" i="16"/>
  <c r="AI96" i="16"/>
  <c r="AI95" i="16"/>
  <c r="AI94" i="16"/>
  <c r="AI93" i="16"/>
  <c r="AI92" i="16"/>
  <c r="AI91" i="16"/>
  <c r="AI90" i="16"/>
  <c r="AI89" i="16"/>
  <c r="AI88" i="16"/>
  <c r="AI87" i="16"/>
  <c r="AI86" i="16"/>
  <c r="AI85" i="16"/>
  <c r="AI84" i="16"/>
  <c r="AI83" i="16"/>
  <c r="AI82" i="16"/>
  <c r="AI81" i="16"/>
  <c r="AI80" i="16"/>
  <c r="AI79" i="16"/>
  <c r="AI78" i="16"/>
  <c r="AI77" i="16"/>
  <c r="AI76" i="16"/>
  <c r="AI75" i="16"/>
  <c r="AI74" i="16"/>
  <c r="AI73" i="16"/>
  <c r="AI72" i="16"/>
  <c r="AI71" i="16"/>
  <c r="AI70" i="16"/>
  <c r="AI69" i="16"/>
  <c r="AI68" i="16"/>
  <c r="AI67" i="16"/>
  <c r="AI66" i="16"/>
  <c r="AI65" i="16"/>
  <c r="AI64" i="16"/>
  <c r="AI63" i="16"/>
  <c r="AI62" i="16"/>
  <c r="AI61" i="16"/>
  <c r="AI60" i="16"/>
  <c r="AI59" i="16"/>
  <c r="AI58" i="16"/>
  <c r="AI57" i="16"/>
  <c r="AI56" i="16"/>
  <c r="AI55" i="16"/>
  <c r="AI54" i="16"/>
  <c r="AI53" i="16"/>
  <c r="AI52" i="16"/>
  <c r="AI51" i="16"/>
  <c r="AI50" i="16"/>
  <c r="AI49" i="16"/>
  <c r="AI48" i="16"/>
  <c r="AI47" i="16"/>
  <c r="AI46" i="16"/>
  <c r="AI45" i="16"/>
  <c r="AI44" i="16"/>
  <c r="AI43" i="16"/>
  <c r="AI42" i="16"/>
  <c r="AI41" i="16"/>
  <c r="AI40" i="16"/>
  <c r="AI39" i="16"/>
  <c r="AI38" i="16"/>
  <c r="AI37" i="16"/>
  <c r="AI36" i="16"/>
  <c r="AI35" i="16"/>
  <c r="AI34" i="16"/>
  <c r="AI33" i="16"/>
  <c r="AI32" i="16"/>
  <c r="AI31" i="16"/>
  <c r="AI30" i="16"/>
  <c r="AI29" i="16"/>
  <c r="AI28" i="16"/>
  <c r="AI27" i="16"/>
  <c r="V31" i="16" l="1"/>
  <c r="V35" i="16"/>
  <c r="V39" i="16"/>
  <c r="V43" i="16"/>
  <c r="V47" i="16"/>
  <c r="V51" i="16"/>
  <c r="V55" i="16"/>
  <c r="V59" i="16"/>
  <c r="V63" i="16"/>
  <c r="V67" i="16"/>
  <c r="V71" i="16"/>
  <c r="V75" i="16"/>
  <c r="V79" i="16"/>
  <c r="V83" i="16"/>
  <c r="V87" i="16"/>
  <c r="V91" i="16"/>
  <c r="V95" i="16"/>
  <c r="V99" i="16"/>
  <c r="V103" i="16"/>
  <c r="V107" i="16"/>
  <c r="V111" i="16"/>
  <c r="V115" i="16"/>
  <c r="V119" i="16"/>
  <c r="V123" i="16"/>
  <c r="V127" i="16"/>
  <c r="V131" i="16"/>
  <c r="V135" i="16"/>
  <c r="V139" i="16"/>
  <c r="V143" i="16"/>
  <c r="V147" i="16"/>
  <c r="V151" i="16"/>
  <c r="V155" i="16"/>
  <c r="V159" i="16"/>
  <c r="V163" i="16"/>
  <c r="V167" i="16"/>
  <c r="V171" i="16"/>
  <c r="V175" i="16"/>
  <c r="V179" i="16"/>
  <c r="V183" i="16"/>
  <c r="V187" i="16"/>
  <c r="V191" i="16"/>
  <c r="V195" i="16"/>
  <c r="V28" i="16"/>
  <c r="V32" i="16"/>
  <c r="V36" i="16"/>
  <c r="V40" i="16"/>
  <c r="V44" i="16"/>
  <c r="V48" i="16"/>
  <c r="V52" i="16"/>
  <c r="V56" i="16"/>
  <c r="V60" i="16"/>
  <c r="V64" i="16"/>
  <c r="V68" i="16"/>
  <c r="V72" i="16"/>
  <c r="V76" i="16"/>
  <c r="V80" i="16"/>
  <c r="V84" i="16"/>
  <c r="V88" i="16"/>
  <c r="V92" i="16"/>
  <c r="V96" i="16"/>
  <c r="V100" i="16"/>
  <c r="V104" i="16"/>
  <c r="V108" i="16"/>
  <c r="V112" i="16"/>
  <c r="V116" i="16"/>
  <c r="V120" i="16"/>
  <c r="V124" i="16"/>
  <c r="V128" i="16"/>
  <c r="V132" i="16"/>
  <c r="V136" i="16"/>
  <c r="V140" i="16"/>
  <c r="V144" i="16"/>
  <c r="V148" i="16"/>
  <c r="V152" i="16"/>
  <c r="V156" i="16"/>
  <c r="V160" i="16"/>
  <c r="V164" i="16"/>
  <c r="V168" i="16"/>
  <c r="V172" i="16"/>
  <c r="V176" i="16"/>
  <c r="V180" i="16"/>
  <c r="V184" i="16"/>
  <c r="V188" i="16"/>
  <c r="V192" i="16"/>
  <c r="V29" i="16"/>
  <c r="V33" i="16"/>
  <c r="V37" i="16"/>
  <c r="V41" i="16"/>
  <c r="V45" i="16"/>
  <c r="V49" i="16"/>
  <c r="V53" i="16"/>
  <c r="V57" i="16"/>
  <c r="V61" i="16"/>
  <c r="V65" i="16"/>
  <c r="V69" i="16"/>
  <c r="V73" i="16"/>
  <c r="V77" i="16"/>
  <c r="V81" i="16"/>
  <c r="V85" i="16"/>
  <c r="V89" i="16"/>
  <c r="V93" i="16"/>
  <c r="V97" i="16"/>
  <c r="V101" i="16"/>
  <c r="V105" i="16"/>
  <c r="V109" i="16"/>
  <c r="V113" i="16"/>
  <c r="V117" i="16"/>
  <c r="V121" i="16"/>
  <c r="V125" i="16"/>
  <c r="V129" i="16"/>
  <c r="V133" i="16"/>
  <c r="V137" i="16"/>
  <c r="V141" i="16"/>
  <c r="V145" i="16"/>
  <c r="V149" i="16"/>
  <c r="V153" i="16"/>
  <c r="V157" i="16"/>
  <c r="V161" i="16"/>
  <c r="V165" i="16"/>
  <c r="V169" i="16"/>
  <c r="V173" i="16"/>
  <c r="V177" i="16"/>
  <c r="V181" i="16"/>
  <c r="V185" i="16"/>
  <c r="V189" i="16"/>
  <c r="V193" i="16"/>
  <c r="V30" i="16"/>
  <c r="V34" i="16"/>
  <c r="V38" i="16"/>
  <c r="V42" i="16"/>
  <c r="V46" i="16"/>
  <c r="V50" i="16"/>
  <c r="V54" i="16"/>
  <c r="V58" i="16"/>
  <c r="V62" i="16"/>
  <c r="V66" i="16"/>
  <c r="V70" i="16"/>
  <c r="V74" i="16"/>
  <c r="V78" i="16"/>
  <c r="V82" i="16"/>
  <c r="V86" i="16"/>
  <c r="V90" i="16"/>
  <c r="V94" i="16"/>
  <c r="V98" i="16"/>
  <c r="V102" i="16"/>
  <c r="V106" i="16"/>
  <c r="V110" i="16"/>
  <c r="V114" i="16"/>
  <c r="V118" i="16"/>
  <c r="V122" i="16"/>
  <c r="V126" i="16"/>
  <c r="V130" i="16"/>
  <c r="V134" i="16"/>
  <c r="V138" i="16"/>
  <c r="V142" i="16"/>
  <c r="V146" i="16"/>
  <c r="V150" i="16"/>
  <c r="V154" i="16"/>
  <c r="V158" i="16"/>
  <c r="V162" i="16"/>
  <c r="V166" i="16"/>
  <c r="V170" i="16"/>
  <c r="V174" i="16"/>
  <c r="V178" i="16"/>
  <c r="V182" i="16"/>
  <c r="V186" i="16"/>
  <c r="V190" i="16"/>
  <c r="V194" i="16"/>
  <c r="N27" i="16"/>
  <c r="M17" i="16"/>
  <c r="L17" i="16"/>
  <c r="K17" i="16"/>
  <c r="AI17" i="16"/>
  <c r="AO17" i="16"/>
  <c r="N17" i="16" l="1"/>
  <c r="V27" i="16"/>
  <c r="AE195" i="16"/>
  <c r="AE194" i="16"/>
  <c r="AE193" i="16"/>
  <c r="AE192" i="16"/>
  <c r="AE191" i="16"/>
  <c r="AE190" i="16"/>
  <c r="AE189" i="16"/>
  <c r="AE188" i="16"/>
  <c r="AE187" i="16"/>
  <c r="AE186" i="16"/>
  <c r="AE185" i="16"/>
  <c r="AE184" i="16"/>
  <c r="AE183" i="16"/>
  <c r="AE182" i="16"/>
  <c r="AE181" i="16"/>
  <c r="AE180" i="16"/>
  <c r="AE179" i="16"/>
  <c r="AE178" i="16"/>
  <c r="AE177" i="16"/>
  <c r="AE176" i="16"/>
  <c r="AE175" i="16"/>
  <c r="AE174" i="16"/>
  <c r="AE173" i="16"/>
  <c r="AE172" i="16"/>
  <c r="AE171" i="16"/>
  <c r="AE170" i="16"/>
  <c r="AE169" i="16"/>
  <c r="AE168" i="16"/>
  <c r="AE167" i="16"/>
  <c r="AE166" i="16"/>
  <c r="AE165" i="16"/>
  <c r="AE164" i="16"/>
  <c r="AE163" i="16"/>
  <c r="AE162" i="16"/>
  <c r="AE161" i="16"/>
  <c r="AE160" i="16"/>
  <c r="AE159" i="16"/>
  <c r="AE158" i="16"/>
  <c r="AE157" i="16"/>
  <c r="AE156" i="16"/>
  <c r="AE155" i="16"/>
  <c r="AE154" i="16"/>
  <c r="AE153" i="16"/>
  <c r="AE152" i="16"/>
  <c r="AE151" i="16"/>
  <c r="AE150" i="16"/>
  <c r="AE149" i="16"/>
  <c r="AE148" i="16"/>
  <c r="AE147" i="16"/>
  <c r="AE146" i="16"/>
  <c r="AE145" i="16"/>
  <c r="AE144" i="16"/>
  <c r="AE143" i="16"/>
  <c r="AE142" i="16"/>
  <c r="AE141" i="16"/>
  <c r="AE140" i="16"/>
  <c r="AE139" i="16"/>
  <c r="AE138" i="16"/>
  <c r="AE137" i="16"/>
  <c r="AE136" i="16"/>
  <c r="AE135" i="16"/>
  <c r="AE134" i="16"/>
  <c r="AE133" i="16"/>
  <c r="AE132" i="16"/>
  <c r="AE131" i="16"/>
  <c r="AE130" i="16"/>
  <c r="AE129" i="16"/>
  <c r="AE128" i="16"/>
  <c r="AE127" i="16"/>
  <c r="AE126" i="16"/>
  <c r="AE125" i="16"/>
  <c r="AE124" i="16"/>
  <c r="AE123" i="16"/>
  <c r="AE122" i="16"/>
  <c r="AE121" i="16"/>
  <c r="AE120" i="16"/>
  <c r="AE119" i="16"/>
  <c r="AE118" i="16"/>
  <c r="AE117" i="16"/>
  <c r="AE116" i="16"/>
  <c r="AE115" i="16"/>
  <c r="AE114" i="16"/>
  <c r="AE113" i="16"/>
  <c r="AE112" i="16"/>
  <c r="AE111" i="16"/>
  <c r="AE110" i="16"/>
  <c r="AE109" i="16"/>
  <c r="AE108" i="16"/>
  <c r="AE107" i="16"/>
  <c r="AE106" i="16"/>
  <c r="AE105" i="16"/>
  <c r="AE104" i="16"/>
  <c r="AE103" i="16"/>
  <c r="AE102" i="16"/>
  <c r="AE101" i="16"/>
  <c r="AE100" i="16"/>
  <c r="AE99" i="16"/>
  <c r="AE98" i="16"/>
  <c r="AE97" i="16"/>
  <c r="AE96" i="16"/>
  <c r="AE95" i="16"/>
  <c r="AE94" i="16"/>
  <c r="AE93" i="16"/>
  <c r="AE92" i="16"/>
  <c r="AE91" i="16"/>
  <c r="AE90" i="16"/>
  <c r="AE89" i="16"/>
  <c r="AE88" i="16"/>
  <c r="AE87" i="16"/>
  <c r="AE86" i="16"/>
  <c r="AE85" i="16"/>
  <c r="AE84" i="16"/>
  <c r="AE83" i="16"/>
  <c r="AE82" i="16"/>
  <c r="AE81" i="16"/>
  <c r="AE80" i="16"/>
  <c r="AE79" i="16"/>
  <c r="AE78" i="16"/>
  <c r="AE77" i="16"/>
  <c r="AE76" i="16"/>
  <c r="AE75" i="16"/>
  <c r="AE74" i="16"/>
  <c r="AE73" i="16"/>
  <c r="AE72" i="16"/>
  <c r="AE71" i="16"/>
  <c r="AE70" i="16"/>
  <c r="AE69" i="16"/>
  <c r="AE68" i="16"/>
  <c r="AE67" i="16"/>
  <c r="AE66" i="16"/>
  <c r="AE65" i="16"/>
  <c r="AE64" i="16"/>
  <c r="AE63" i="16"/>
  <c r="AE62" i="16"/>
  <c r="AE61" i="16"/>
  <c r="AE60" i="16"/>
  <c r="AE59" i="16"/>
  <c r="AE58" i="16"/>
  <c r="AE57" i="16"/>
  <c r="AE56" i="16"/>
  <c r="AE55" i="16"/>
  <c r="AE54" i="16"/>
  <c r="AE53" i="16"/>
  <c r="AE52" i="16"/>
  <c r="AE51" i="16"/>
  <c r="AE50" i="16"/>
  <c r="AE49" i="16"/>
  <c r="AE48" i="16"/>
  <c r="AE47" i="16"/>
  <c r="AE46" i="16"/>
  <c r="AE45" i="16"/>
  <c r="AE44" i="16"/>
  <c r="AE43" i="16"/>
  <c r="AE42" i="16"/>
  <c r="AE41" i="16"/>
  <c r="AE40" i="16"/>
  <c r="AE39" i="16"/>
  <c r="AE38" i="16"/>
  <c r="AE37" i="16"/>
  <c r="AE36" i="16"/>
  <c r="AE35" i="16"/>
  <c r="AE34" i="16"/>
  <c r="AE33" i="16"/>
  <c r="AE32" i="16"/>
  <c r="AE31" i="16"/>
  <c r="AE30" i="16"/>
  <c r="AE29" i="16"/>
  <c r="AE28" i="16"/>
  <c r="AE27" i="16"/>
  <c r="Y195" i="16" l="1"/>
  <c r="U195" i="16"/>
  <c r="Y194" i="16"/>
  <c r="U194" i="16"/>
  <c r="Y193" i="16"/>
  <c r="U193" i="16"/>
  <c r="Y192" i="16"/>
  <c r="U192" i="16"/>
  <c r="Y191" i="16"/>
  <c r="U191" i="16"/>
  <c r="Y190" i="16"/>
  <c r="U190" i="16"/>
  <c r="Y189" i="16"/>
  <c r="U189" i="16"/>
  <c r="Y188" i="16"/>
  <c r="U188" i="16"/>
  <c r="Y187" i="16"/>
  <c r="U187" i="16"/>
  <c r="Y186" i="16"/>
  <c r="U186" i="16"/>
  <c r="Y185" i="16"/>
  <c r="U185" i="16"/>
  <c r="Y184" i="16"/>
  <c r="U184" i="16"/>
  <c r="Y183" i="16"/>
  <c r="U183" i="16"/>
  <c r="Y182" i="16"/>
  <c r="U182" i="16"/>
  <c r="Y181" i="16"/>
  <c r="U181" i="16"/>
  <c r="Y180" i="16"/>
  <c r="U180" i="16"/>
  <c r="Y179" i="16"/>
  <c r="U179" i="16"/>
  <c r="Y178" i="16"/>
  <c r="U178" i="16"/>
  <c r="Y177" i="16"/>
  <c r="U177" i="16"/>
  <c r="Y176" i="16"/>
  <c r="U176" i="16"/>
  <c r="Y175" i="16"/>
  <c r="U175" i="16"/>
  <c r="Y174" i="16"/>
  <c r="U174" i="16"/>
  <c r="Y173" i="16"/>
  <c r="U173" i="16"/>
  <c r="Y172" i="16"/>
  <c r="U172" i="16"/>
  <c r="Y171" i="16"/>
  <c r="U171" i="16"/>
  <c r="Y170" i="16"/>
  <c r="U170" i="16"/>
  <c r="Y169" i="16"/>
  <c r="U169" i="16"/>
  <c r="Y168" i="16"/>
  <c r="U168" i="16"/>
  <c r="Y167" i="16"/>
  <c r="U167" i="16"/>
  <c r="Y166" i="16"/>
  <c r="U166" i="16"/>
  <c r="Y165" i="16"/>
  <c r="U165" i="16"/>
  <c r="Y164" i="16"/>
  <c r="U164" i="16"/>
  <c r="Y163" i="16"/>
  <c r="U163" i="16"/>
  <c r="Y162" i="16"/>
  <c r="U162" i="16"/>
  <c r="Y161" i="16"/>
  <c r="U161" i="16"/>
  <c r="Y160" i="16"/>
  <c r="U160" i="16"/>
  <c r="Y159" i="16"/>
  <c r="U159" i="16"/>
  <c r="Y158" i="16"/>
  <c r="U158" i="16"/>
  <c r="Y157" i="16"/>
  <c r="U157" i="16"/>
  <c r="Y156" i="16"/>
  <c r="U156" i="16"/>
  <c r="Y155" i="16"/>
  <c r="U155" i="16"/>
  <c r="Y154" i="16"/>
  <c r="U154" i="16"/>
  <c r="Y153" i="16"/>
  <c r="U153" i="16"/>
  <c r="Y152" i="16"/>
  <c r="U152" i="16"/>
  <c r="Y151" i="16"/>
  <c r="U151" i="16"/>
  <c r="Y150" i="16"/>
  <c r="U150" i="16"/>
  <c r="Y149" i="16"/>
  <c r="U149" i="16"/>
  <c r="Y148" i="16"/>
  <c r="U148" i="16"/>
  <c r="Y147" i="16"/>
  <c r="U147" i="16"/>
  <c r="Y146" i="16"/>
  <c r="U146" i="16"/>
  <c r="Y145" i="16"/>
  <c r="U145" i="16"/>
  <c r="Y144" i="16"/>
  <c r="U144" i="16"/>
  <c r="Y143" i="16"/>
  <c r="U143" i="16"/>
  <c r="Y142" i="16"/>
  <c r="U142" i="16"/>
  <c r="Y141" i="16"/>
  <c r="U141" i="16"/>
  <c r="Y140" i="16"/>
  <c r="U140" i="16"/>
  <c r="Y139" i="16"/>
  <c r="U139" i="16"/>
  <c r="Y138" i="16"/>
  <c r="U138" i="16"/>
  <c r="Y137" i="16"/>
  <c r="U137" i="16"/>
  <c r="Y136" i="16"/>
  <c r="U136" i="16"/>
  <c r="Y135" i="16"/>
  <c r="U135" i="16"/>
  <c r="Y134" i="16"/>
  <c r="U134" i="16"/>
  <c r="Y133" i="16"/>
  <c r="U133" i="16"/>
  <c r="Y132" i="16"/>
  <c r="U132" i="16"/>
  <c r="Y131" i="16"/>
  <c r="U131" i="16"/>
  <c r="Y130" i="16"/>
  <c r="U130" i="16"/>
  <c r="Y129" i="16"/>
  <c r="U129" i="16"/>
  <c r="Y128" i="16"/>
  <c r="U128" i="16"/>
  <c r="Y127" i="16"/>
  <c r="U127" i="16"/>
  <c r="Y126" i="16"/>
  <c r="U126" i="16"/>
  <c r="Y125" i="16"/>
  <c r="U125" i="16"/>
  <c r="Y124" i="16"/>
  <c r="U124" i="16"/>
  <c r="Y123" i="16"/>
  <c r="U123" i="16"/>
  <c r="Y122" i="16"/>
  <c r="U122" i="16"/>
  <c r="Y121" i="16"/>
  <c r="U121" i="16"/>
  <c r="Y120" i="16"/>
  <c r="U120" i="16"/>
  <c r="Y119" i="16"/>
  <c r="U119" i="16"/>
  <c r="Y118" i="16"/>
  <c r="U118" i="16"/>
  <c r="Y117" i="16"/>
  <c r="U117" i="16"/>
  <c r="Y116" i="16"/>
  <c r="U116" i="16"/>
  <c r="Y115" i="16"/>
  <c r="U115" i="16"/>
  <c r="Y114" i="16"/>
  <c r="U114" i="16"/>
  <c r="Y113" i="16"/>
  <c r="U113" i="16"/>
  <c r="Y112" i="16"/>
  <c r="U112" i="16"/>
  <c r="Y111" i="16"/>
  <c r="U111" i="16"/>
  <c r="Y110" i="16"/>
  <c r="U110" i="16"/>
  <c r="Y109" i="16"/>
  <c r="U109" i="16"/>
  <c r="Y108" i="16"/>
  <c r="U108" i="16"/>
  <c r="Y107" i="16"/>
  <c r="U107" i="16"/>
  <c r="Y106" i="16"/>
  <c r="U106" i="16"/>
  <c r="Y105" i="16"/>
  <c r="U105" i="16"/>
  <c r="Y104" i="16"/>
  <c r="U104" i="16"/>
  <c r="Y103" i="16"/>
  <c r="U103" i="16"/>
  <c r="Y102" i="16"/>
  <c r="U102" i="16"/>
  <c r="Y101" i="16"/>
  <c r="U101" i="16"/>
  <c r="Y100" i="16"/>
  <c r="U100" i="16"/>
  <c r="Y99" i="16"/>
  <c r="U99" i="16"/>
  <c r="Y98" i="16"/>
  <c r="U98" i="16"/>
  <c r="Y97" i="16"/>
  <c r="U97" i="16"/>
  <c r="Y96" i="16"/>
  <c r="U96" i="16"/>
  <c r="Y95" i="16"/>
  <c r="U95" i="16"/>
  <c r="Y94" i="16"/>
  <c r="U94" i="16"/>
  <c r="Y93" i="16"/>
  <c r="U93" i="16"/>
  <c r="Y92" i="16"/>
  <c r="U92" i="16"/>
  <c r="Y91" i="16"/>
  <c r="U91" i="16"/>
  <c r="Y90" i="16"/>
  <c r="U90" i="16"/>
  <c r="Y89" i="16"/>
  <c r="U89" i="16"/>
  <c r="Y88" i="16"/>
  <c r="U88" i="16"/>
  <c r="Y87" i="16"/>
  <c r="U87" i="16"/>
  <c r="Y86" i="16"/>
  <c r="U86" i="16"/>
  <c r="Y85" i="16"/>
  <c r="U85" i="16"/>
  <c r="Y84" i="16"/>
  <c r="U84" i="16"/>
  <c r="Y83" i="16"/>
  <c r="U83" i="16"/>
  <c r="Y82" i="16"/>
  <c r="U82" i="16"/>
  <c r="Y81" i="16"/>
  <c r="U81" i="16"/>
  <c r="Y80" i="16"/>
  <c r="U80" i="16"/>
  <c r="Y79" i="16"/>
  <c r="U79" i="16"/>
  <c r="Y78" i="16"/>
  <c r="U78" i="16"/>
  <c r="Y77" i="16"/>
  <c r="U77" i="16"/>
  <c r="Y76" i="16"/>
  <c r="U76" i="16"/>
  <c r="Y75" i="16"/>
  <c r="U75" i="16"/>
  <c r="Y74" i="16"/>
  <c r="U74" i="16"/>
  <c r="Y73" i="16"/>
  <c r="U73" i="16"/>
  <c r="Y72" i="16"/>
  <c r="U72" i="16"/>
  <c r="Y71" i="16"/>
  <c r="U71" i="16"/>
  <c r="Y70" i="16"/>
  <c r="U70" i="16"/>
  <c r="Y69" i="16"/>
  <c r="U69" i="16"/>
  <c r="Y68" i="16"/>
  <c r="U68" i="16"/>
  <c r="Y67" i="16"/>
  <c r="U67" i="16"/>
  <c r="Y66" i="16"/>
  <c r="U66" i="16"/>
  <c r="Y65" i="16"/>
  <c r="U65" i="16"/>
  <c r="Y64" i="16"/>
  <c r="U64" i="16"/>
  <c r="Y63" i="16"/>
  <c r="U63" i="16"/>
  <c r="Y62" i="16"/>
  <c r="U62" i="16"/>
  <c r="Y61" i="16"/>
  <c r="U61" i="16"/>
  <c r="Y60" i="16"/>
  <c r="U60" i="16"/>
  <c r="Y59" i="16"/>
  <c r="U59" i="16"/>
  <c r="Y58" i="16"/>
  <c r="U58" i="16"/>
  <c r="Y57" i="16"/>
  <c r="U57" i="16"/>
  <c r="Y56" i="16"/>
  <c r="U56" i="16"/>
  <c r="Y55" i="16"/>
  <c r="U55" i="16"/>
  <c r="Y54" i="16"/>
  <c r="U54" i="16"/>
  <c r="Y53" i="16"/>
  <c r="U53" i="16"/>
  <c r="Y52" i="16"/>
  <c r="U52" i="16"/>
  <c r="Y51" i="16"/>
  <c r="U51" i="16"/>
  <c r="Y50" i="16"/>
  <c r="U50" i="16"/>
  <c r="Y49" i="16"/>
  <c r="U49" i="16"/>
  <c r="Y48" i="16"/>
  <c r="U48" i="16"/>
  <c r="Y47" i="16"/>
  <c r="U47" i="16"/>
  <c r="Y46" i="16"/>
  <c r="U46" i="16"/>
  <c r="Y45" i="16"/>
  <c r="U45" i="16"/>
  <c r="Y44" i="16"/>
  <c r="U44" i="16"/>
  <c r="Y43" i="16"/>
  <c r="U43" i="16"/>
  <c r="Y42" i="16"/>
  <c r="U42" i="16"/>
  <c r="Y41" i="16"/>
  <c r="U41" i="16"/>
  <c r="Y40" i="16"/>
  <c r="U40" i="16"/>
  <c r="Y39" i="16"/>
  <c r="U39" i="16"/>
  <c r="Y38" i="16"/>
  <c r="U38" i="16"/>
  <c r="Y37" i="16"/>
  <c r="U37" i="16"/>
  <c r="Y36" i="16"/>
  <c r="U36" i="16"/>
  <c r="Y35" i="16"/>
  <c r="U35" i="16"/>
  <c r="Y34" i="16"/>
  <c r="U34" i="16"/>
  <c r="Y33" i="16"/>
  <c r="U33" i="16"/>
  <c r="Y32" i="16"/>
  <c r="U32" i="16"/>
  <c r="Y31" i="16"/>
  <c r="U31" i="16"/>
  <c r="Y30" i="16"/>
  <c r="U30" i="16"/>
  <c r="Y29" i="16"/>
  <c r="U29" i="16"/>
  <c r="Y28" i="16"/>
  <c r="U28" i="16"/>
  <c r="Y27" i="16"/>
  <c r="U27" i="16"/>
  <c r="AM21" i="16"/>
  <c r="AA20" i="16"/>
  <c r="AB21" i="16" s="1"/>
  <c r="AG17" i="16"/>
  <c r="AA17" i="16"/>
  <c r="X17" i="16"/>
  <c r="W17" i="16"/>
  <c r="S17" i="16"/>
  <c r="J17" i="16"/>
  <c r="I17" i="16"/>
  <c r="H17" i="16"/>
  <c r="B17" i="16"/>
  <c r="Y17" i="16" l="1"/>
  <c r="P191" i="16"/>
  <c r="Q191" i="16" s="1"/>
  <c r="R191" i="16" s="1"/>
  <c r="P27" i="16"/>
  <c r="Q27" i="16" s="1"/>
  <c r="R27" i="16" s="1"/>
  <c r="P30" i="16"/>
  <c r="Q30" i="16" s="1"/>
  <c r="R30" i="16" s="1"/>
  <c r="P32" i="16"/>
  <c r="Q32" i="16" s="1"/>
  <c r="R32" i="16" s="1"/>
  <c r="P35" i="16"/>
  <c r="Q35" i="16" s="1"/>
  <c r="R35" i="16" s="1"/>
  <c r="P39" i="16"/>
  <c r="Q39" i="16" s="1"/>
  <c r="R39" i="16" s="1"/>
  <c r="P40" i="16"/>
  <c r="Q40" i="16" s="1"/>
  <c r="R40" i="16" s="1"/>
  <c r="P43" i="16"/>
  <c r="Q43" i="16" s="1"/>
  <c r="R43" i="16" s="1"/>
  <c r="P46" i="16"/>
  <c r="Q46" i="16" s="1"/>
  <c r="R46" i="16" s="1"/>
  <c r="P48" i="16"/>
  <c r="Q48" i="16" s="1"/>
  <c r="R48" i="16" s="1"/>
  <c r="P51" i="16"/>
  <c r="Q51" i="16" s="1"/>
  <c r="R51" i="16" s="1"/>
  <c r="P54" i="16"/>
  <c r="Q54" i="16" s="1"/>
  <c r="R54" i="16" s="1"/>
  <c r="P56" i="16"/>
  <c r="Q56" i="16" s="1"/>
  <c r="R56" i="16" s="1"/>
  <c r="P59" i="16"/>
  <c r="Q59" i="16" s="1"/>
  <c r="R59" i="16" s="1"/>
  <c r="P61" i="16"/>
  <c r="Q61" i="16" s="1"/>
  <c r="R61" i="16" s="1"/>
  <c r="P64" i="16"/>
  <c r="Q64" i="16" s="1"/>
  <c r="R64" i="16" s="1"/>
  <c r="P67" i="16"/>
  <c r="Q67" i="16" s="1"/>
  <c r="R67" i="16" s="1"/>
  <c r="P69" i="16"/>
  <c r="Q69" i="16" s="1"/>
  <c r="R69" i="16" s="1"/>
  <c r="P72" i="16"/>
  <c r="Q72" i="16" s="1"/>
  <c r="R72" i="16" s="1"/>
  <c r="P74" i="16"/>
  <c r="Q74" i="16" s="1"/>
  <c r="R74" i="16" s="1"/>
  <c r="P77" i="16"/>
  <c r="Q77" i="16" s="1"/>
  <c r="R77" i="16" s="1"/>
  <c r="P79" i="16"/>
  <c r="Q79" i="16" s="1"/>
  <c r="R79" i="16" s="1"/>
  <c r="P83" i="16"/>
  <c r="Q83" i="16" s="1"/>
  <c r="R83" i="16" s="1"/>
  <c r="P87" i="16"/>
  <c r="Q87" i="16" s="1"/>
  <c r="R87" i="16" s="1"/>
  <c r="P89" i="16"/>
  <c r="Q89" i="16" s="1"/>
  <c r="R89" i="16" s="1"/>
  <c r="P91" i="16"/>
  <c r="Q91" i="16" s="1"/>
  <c r="R91" i="16" s="1"/>
  <c r="P94" i="16"/>
  <c r="Q94" i="16" s="1"/>
  <c r="R94" i="16" s="1"/>
  <c r="P97" i="16"/>
  <c r="Q97" i="16" s="1"/>
  <c r="R97" i="16" s="1"/>
  <c r="P100" i="16"/>
  <c r="P104" i="16"/>
  <c r="P111" i="16"/>
  <c r="Q111" i="16" s="1"/>
  <c r="R111" i="16" s="1"/>
  <c r="P134" i="16"/>
  <c r="Q134" i="16" s="1"/>
  <c r="R134" i="16" s="1"/>
  <c r="P192" i="16"/>
  <c r="Q192" i="16" s="1"/>
  <c r="R192" i="16" s="1"/>
  <c r="P29" i="16"/>
  <c r="Q29" i="16" s="1"/>
  <c r="R29" i="16" s="1"/>
  <c r="P31" i="16"/>
  <c r="Q31" i="16" s="1"/>
  <c r="R31" i="16" s="1"/>
  <c r="P34" i="16"/>
  <c r="Q34" i="16" s="1"/>
  <c r="R34" i="16" s="1"/>
  <c r="P36" i="16"/>
  <c r="Q36" i="16" s="1"/>
  <c r="R36" i="16" s="1"/>
  <c r="P38" i="16"/>
  <c r="Q38" i="16" s="1"/>
  <c r="R38" i="16" s="1"/>
  <c r="P41" i="16"/>
  <c r="Q41" i="16" s="1"/>
  <c r="R41" i="16" s="1"/>
  <c r="P44" i="16"/>
  <c r="P47" i="16"/>
  <c r="Q47" i="16" s="1"/>
  <c r="R47" i="16" s="1"/>
  <c r="P50" i="16"/>
  <c r="Q50" i="16" s="1"/>
  <c r="R50" i="16" s="1"/>
  <c r="P52" i="16"/>
  <c r="Q52" i="16" s="1"/>
  <c r="R52" i="16" s="1"/>
  <c r="P55" i="16"/>
  <c r="P58" i="16"/>
  <c r="Q58" i="16" s="1"/>
  <c r="R58" i="16" s="1"/>
  <c r="P60" i="16"/>
  <c r="Q60" i="16" s="1"/>
  <c r="R60" i="16" s="1"/>
  <c r="P63" i="16"/>
  <c r="P65" i="16"/>
  <c r="Q65" i="16" s="1"/>
  <c r="R65" i="16" s="1"/>
  <c r="P68" i="16"/>
  <c r="Q68" i="16" s="1"/>
  <c r="R68" i="16" s="1"/>
  <c r="P70" i="16"/>
  <c r="Q70" i="16" s="1"/>
  <c r="R70" i="16" s="1"/>
  <c r="P73" i="16"/>
  <c r="Q73" i="16" s="1"/>
  <c r="R73" i="16" s="1"/>
  <c r="P75" i="16"/>
  <c r="Q75" i="16" s="1"/>
  <c r="R75" i="16" s="1"/>
  <c r="P78" i="16"/>
  <c r="Q78" i="16" s="1"/>
  <c r="R78" i="16" s="1"/>
  <c r="P81" i="16"/>
  <c r="Q81" i="16" s="1"/>
  <c r="R81" i="16" s="1"/>
  <c r="P82" i="16"/>
  <c r="Q82" i="16" s="1"/>
  <c r="R82" i="16" s="1"/>
  <c r="P85" i="16"/>
  <c r="Q85" i="16" s="1"/>
  <c r="R85" i="16" s="1"/>
  <c r="P90" i="16"/>
  <c r="Q90" i="16" s="1"/>
  <c r="R90" i="16" s="1"/>
  <c r="P92" i="16"/>
  <c r="Q92" i="16" s="1"/>
  <c r="R92" i="16" s="1"/>
  <c r="P95" i="16"/>
  <c r="Q95" i="16" s="1"/>
  <c r="R95" i="16" s="1"/>
  <c r="P98" i="16"/>
  <c r="Q98" i="16" s="1"/>
  <c r="R98" i="16" s="1"/>
  <c r="P101" i="16"/>
  <c r="Q101" i="16" s="1"/>
  <c r="R101" i="16" s="1"/>
  <c r="P105" i="16"/>
  <c r="Q105" i="16" s="1"/>
  <c r="R105" i="16" s="1"/>
  <c r="P110" i="16"/>
  <c r="Q110" i="16" s="1"/>
  <c r="R110" i="16" s="1"/>
  <c r="P151" i="16"/>
  <c r="Q151" i="16" s="1"/>
  <c r="R151" i="16" s="1"/>
  <c r="P28" i="16"/>
  <c r="Q28" i="16" s="1"/>
  <c r="R28" i="16" s="1"/>
  <c r="P33" i="16"/>
  <c r="P37" i="16"/>
  <c r="Q37" i="16" s="1"/>
  <c r="R37" i="16" s="1"/>
  <c r="P42" i="16"/>
  <c r="Q42" i="16" s="1"/>
  <c r="R42" i="16" s="1"/>
  <c r="P45" i="16"/>
  <c r="Q45" i="16" s="1"/>
  <c r="R45" i="16" s="1"/>
  <c r="P49" i="16"/>
  <c r="Q49" i="16" s="1"/>
  <c r="R49" i="16" s="1"/>
  <c r="P53" i="16"/>
  <c r="Q53" i="16" s="1"/>
  <c r="R53" i="16" s="1"/>
  <c r="P57" i="16"/>
  <c r="Q57" i="16" s="1"/>
  <c r="R57" i="16" s="1"/>
  <c r="P62" i="16"/>
  <c r="Q62" i="16" s="1"/>
  <c r="R62" i="16" s="1"/>
  <c r="P66" i="16"/>
  <c r="Q66" i="16" s="1"/>
  <c r="R66" i="16" s="1"/>
  <c r="P71" i="16"/>
  <c r="Q71" i="16" s="1"/>
  <c r="R71" i="16" s="1"/>
  <c r="P76" i="16"/>
  <c r="Q76" i="16" s="1"/>
  <c r="R76" i="16" s="1"/>
  <c r="P80" i="16"/>
  <c r="Q80" i="16" s="1"/>
  <c r="R80" i="16" s="1"/>
  <c r="P84" i="16"/>
  <c r="Q84" i="16" s="1"/>
  <c r="R84" i="16" s="1"/>
  <c r="P86" i="16"/>
  <c r="Q86" i="16" s="1"/>
  <c r="R86" i="16" s="1"/>
  <c r="P88" i="16"/>
  <c r="Q88" i="16" s="1"/>
  <c r="R88" i="16" s="1"/>
  <c r="P93" i="16"/>
  <c r="Q93" i="16" s="1"/>
  <c r="R93" i="16" s="1"/>
  <c r="P96" i="16"/>
  <c r="Q96" i="16" s="1"/>
  <c r="R96" i="16" s="1"/>
  <c r="P99" i="16"/>
  <c r="Q99" i="16" s="1"/>
  <c r="R99" i="16" s="1"/>
  <c r="P102" i="16"/>
  <c r="Q102" i="16" s="1"/>
  <c r="R102" i="16" s="1"/>
  <c r="P103" i="16"/>
  <c r="Q103" i="16" s="1"/>
  <c r="R103" i="16" s="1"/>
  <c r="P106" i="16"/>
  <c r="Q106" i="16" s="1"/>
  <c r="R106" i="16" s="1"/>
  <c r="P107" i="16"/>
  <c r="Q107" i="16" s="1"/>
  <c r="R107" i="16" s="1"/>
  <c r="P108" i="16"/>
  <c r="Q108" i="16" s="1"/>
  <c r="R108" i="16" s="1"/>
  <c r="P109" i="16"/>
  <c r="Q109" i="16" s="1"/>
  <c r="R109" i="16" s="1"/>
  <c r="P112" i="16"/>
  <c r="Q112" i="16" s="1"/>
  <c r="R112" i="16" s="1"/>
  <c r="P113" i="16"/>
  <c r="P114" i="16"/>
  <c r="P115" i="16"/>
  <c r="Q115" i="16" s="1"/>
  <c r="R115" i="16" s="1"/>
  <c r="P116" i="16"/>
  <c r="Q116" i="16" s="1"/>
  <c r="R116" i="16" s="1"/>
  <c r="P117" i="16"/>
  <c r="Q117" i="16" s="1"/>
  <c r="R117" i="16" s="1"/>
  <c r="P118" i="16"/>
  <c r="Q118" i="16" s="1"/>
  <c r="R118" i="16" s="1"/>
  <c r="P119" i="16"/>
  <c r="Q119" i="16" s="1"/>
  <c r="R119" i="16" s="1"/>
  <c r="P120" i="16"/>
  <c r="Q120" i="16" s="1"/>
  <c r="R120" i="16" s="1"/>
  <c r="P121" i="16"/>
  <c r="P122" i="16"/>
  <c r="P123" i="16"/>
  <c r="Q123" i="16" s="1"/>
  <c r="R123" i="16" s="1"/>
  <c r="P124" i="16"/>
  <c r="Q124" i="16" s="1"/>
  <c r="R124" i="16" s="1"/>
  <c r="P125" i="16"/>
  <c r="Q125" i="16" s="1"/>
  <c r="R125" i="16" s="1"/>
  <c r="P126" i="16"/>
  <c r="Q126" i="16" s="1"/>
  <c r="R126" i="16" s="1"/>
  <c r="P127" i="16"/>
  <c r="Q127" i="16" s="1"/>
  <c r="R127" i="16" s="1"/>
  <c r="P128" i="16"/>
  <c r="Q128" i="16" s="1"/>
  <c r="R128" i="16" s="1"/>
  <c r="P129" i="16"/>
  <c r="Q129" i="16" s="1"/>
  <c r="R129" i="16" s="1"/>
  <c r="P130" i="16"/>
  <c r="Q130" i="16" s="1"/>
  <c r="R130" i="16" s="1"/>
  <c r="P131" i="16"/>
  <c r="Q131" i="16" s="1"/>
  <c r="R131" i="16" s="1"/>
  <c r="P132" i="16"/>
  <c r="Q132" i="16" s="1"/>
  <c r="R132" i="16" s="1"/>
  <c r="P133" i="16"/>
  <c r="Q133" i="16" s="1"/>
  <c r="R133" i="16" s="1"/>
  <c r="P135" i="16"/>
  <c r="Q135" i="16" s="1"/>
  <c r="R135" i="16" s="1"/>
  <c r="P136" i="16"/>
  <c r="Q136" i="16" s="1"/>
  <c r="R136" i="16" s="1"/>
  <c r="P137" i="16"/>
  <c r="P138" i="16"/>
  <c r="P139" i="16"/>
  <c r="Q139" i="16" s="1"/>
  <c r="R139" i="16" s="1"/>
  <c r="P140" i="16"/>
  <c r="Q140" i="16" s="1"/>
  <c r="R140" i="16" s="1"/>
  <c r="P141" i="16"/>
  <c r="Q141" i="16" s="1"/>
  <c r="R141" i="16" s="1"/>
  <c r="P142" i="16"/>
  <c r="Q142" i="16" s="1"/>
  <c r="R142" i="16" s="1"/>
  <c r="P143" i="16"/>
  <c r="Q143" i="16" s="1"/>
  <c r="R143" i="16" s="1"/>
  <c r="P144" i="16"/>
  <c r="Q144" i="16" s="1"/>
  <c r="R144" i="16" s="1"/>
  <c r="P145" i="16"/>
  <c r="Q145" i="16" s="1"/>
  <c r="R145" i="16" s="1"/>
  <c r="P146" i="16"/>
  <c r="Q146" i="16" s="1"/>
  <c r="R146" i="16" s="1"/>
  <c r="P147" i="16"/>
  <c r="P148" i="16"/>
  <c r="Q148" i="16" s="1"/>
  <c r="R148" i="16" s="1"/>
  <c r="P149" i="16"/>
  <c r="Q149" i="16" s="1"/>
  <c r="R149" i="16" s="1"/>
  <c r="P150" i="16"/>
  <c r="Q150" i="16" s="1"/>
  <c r="R150" i="16" s="1"/>
  <c r="P152" i="16"/>
  <c r="Q152" i="16" s="1"/>
  <c r="R152" i="16" s="1"/>
  <c r="P153" i="16"/>
  <c r="Q153" i="16" s="1"/>
  <c r="R153" i="16" s="1"/>
  <c r="P154" i="16"/>
  <c r="Q154" i="16" s="1"/>
  <c r="R154" i="16" s="1"/>
  <c r="P155" i="16"/>
  <c r="Q155" i="16" s="1"/>
  <c r="R155" i="16" s="1"/>
  <c r="P156" i="16"/>
  <c r="Q156" i="16" s="1"/>
  <c r="R156" i="16" s="1"/>
  <c r="P157" i="16"/>
  <c r="Q157" i="16" s="1"/>
  <c r="R157" i="16" s="1"/>
  <c r="P158" i="16"/>
  <c r="Q158" i="16" s="1"/>
  <c r="R158" i="16" s="1"/>
  <c r="P159" i="16"/>
  <c r="Q159" i="16" s="1"/>
  <c r="R159" i="16" s="1"/>
  <c r="P160" i="16"/>
  <c r="Q160" i="16" s="1"/>
  <c r="R160" i="16" s="1"/>
  <c r="P161" i="16"/>
  <c r="Q161" i="16" s="1"/>
  <c r="R161" i="16" s="1"/>
  <c r="P162" i="16"/>
  <c r="Q162" i="16" s="1"/>
  <c r="R162" i="16" s="1"/>
  <c r="P163" i="16"/>
  <c r="Q163" i="16" s="1"/>
  <c r="R163" i="16" s="1"/>
  <c r="P164" i="16"/>
  <c r="Q164" i="16" s="1"/>
  <c r="R164" i="16" s="1"/>
  <c r="P165" i="16"/>
  <c r="Q165" i="16" s="1"/>
  <c r="R165" i="16" s="1"/>
  <c r="P166" i="16"/>
  <c r="Q166" i="16" s="1"/>
  <c r="R166" i="16" s="1"/>
  <c r="P167" i="16"/>
  <c r="Q167" i="16" s="1"/>
  <c r="R167" i="16" s="1"/>
  <c r="P168" i="16"/>
  <c r="Q168" i="16" s="1"/>
  <c r="R168" i="16" s="1"/>
  <c r="P169" i="16"/>
  <c r="Q169" i="16" s="1"/>
  <c r="R169" i="16" s="1"/>
  <c r="P170" i="16"/>
  <c r="Q170" i="16" s="1"/>
  <c r="R170" i="16" s="1"/>
  <c r="P171" i="16"/>
  <c r="Q171" i="16" s="1"/>
  <c r="R171" i="16" s="1"/>
  <c r="P172" i="16"/>
  <c r="Q172" i="16" s="1"/>
  <c r="R172" i="16" s="1"/>
  <c r="P173" i="16"/>
  <c r="Q173" i="16" s="1"/>
  <c r="R173" i="16" s="1"/>
  <c r="P174" i="16"/>
  <c r="P175" i="16"/>
  <c r="P176" i="16"/>
  <c r="Q176" i="16" s="1"/>
  <c r="R176" i="16" s="1"/>
  <c r="P177" i="16"/>
  <c r="Q177" i="16" s="1"/>
  <c r="R177" i="16" s="1"/>
  <c r="P178" i="16"/>
  <c r="Q178" i="16" s="1"/>
  <c r="R178" i="16" s="1"/>
  <c r="P179" i="16"/>
  <c r="Q179" i="16" s="1"/>
  <c r="R179" i="16" s="1"/>
  <c r="P180" i="16"/>
  <c r="Q180" i="16" s="1"/>
  <c r="R180" i="16" s="1"/>
  <c r="P181" i="16"/>
  <c r="P182" i="16"/>
  <c r="Q182" i="16" s="1"/>
  <c r="R182" i="16" s="1"/>
  <c r="P183" i="16"/>
  <c r="Q183" i="16" s="1"/>
  <c r="R183" i="16" s="1"/>
  <c r="P184" i="16"/>
  <c r="Q184" i="16" s="1"/>
  <c r="R184" i="16" s="1"/>
  <c r="P185" i="16"/>
  <c r="Q185" i="16" s="1"/>
  <c r="R185" i="16" s="1"/>
  <c r="P186" i="16"/>
  <c r="Q186" i="16" s="1"/>
  <c r="R186" i="16" s="1"/>
  <c r="P187" i="16"/>
  <c r="Q187" i="16" s="1"/>
  <c r="R187" i="16" s="1"/>
  <c r="P188" i="16"/>
  <c r="Q188" i="16" s="1"/>
  <c r="R188" i="16" s="1"/>
  <c r="P189" i="16"/>
  <c r="Q189" i="16" s="1"/>
  <c r="R189" i="16" s="1"/>
  <c r="P190" i="16"/>
  <c r="Q190" i="16" s="1"/>
  <c r="R190" i="16" s="1"/>
  <c r="P193" i="16"/>
  <c r="Q193" i="16" s="1"/>
  <c r="R193" i="16" s="1"/>
  <c r="P194" i="16"/>
  <c r="Q194" i="16" s="1"/>
  <c r="R194" i="16" s="1"/>
  <c r="P195" i="16"/>
  <c r="AB159" i="16"/>
  <c r="AB160" i="16"/>
  <c r="AB119" i="16"/>
  <c r="AB37" i="16"/>
  <c r="AB29" i="16"/>
  <c r="AB30" i="16"/>
  <c r="AB45" i="16"/>
  <c r="AB60" i="16"/>
  <c r="AB167" i="16"/>
  <c r="AB38" i="16"/>
  <c r="AB49" i="16"/>
  <c r="AB154" i="16"/>
  <c r="AL17" i="16"/>
  <c r="AL16" i="16" s="1"/>
  <c r="U17" i="16"/>
  <c r="AB33" i="16"/>
  <c r="AB34" i="16"/>
  <c r="AB41" i="16"/>
  <c r="AB42" i="16"/>
  <c r="AB192" i="16"/>
  <c r="AB188" i="16"/>
  <c r="AB195" i="16"/>
  <c r="AB191" i="16"/>
  <c r="AB187" i="16"/>
  <c r="AB183" i="16"/>
  <c r="AB179" i="16"/>
  <c r="AB190" i="16"/>
  <c r="AB189" i="16"/>
  <c r="AB180" i="16"/>
  <c r="AB174" i="16"/>
  <c r="AB170" i="16"/>
  <c r="AB194" i="16"/>
  <c r="AB178" i="16"/>
  <c r="AB171" i="16"/>
  <c r="AB166" i="16"/>
  <c r="AB193" i="16"/>
  <c r="AB185" i="16"/>
  <c r="AB184" i="16"/>
  <c r="AB182" i="16"/>
  <c r="AB177" i="16"/>
  <c r="AB176" i="16"/>
  <c r="AB169" i="16"/>
  <c r="AB165" i="16"/>
  <c r="AB161" i="16"/>
  <c r="AB157" i="16"/>
  <c r="AB153" i="16"/>
  <c r="AB149" i="16"/>
  <c r="AB175" i="16"/>
  <c r="AB172" i="16"/>
  <c r="AB158" i="16"/>
  <c r="AB150" i="16"/>
  <c r="AB181" i="16"/>
  <c r="AB164" i="16"/>
  <c r="AB163" i="16"/>
  <c r="AB156" i="16"/>
  <c r="AB155" i="16"/>
  <c r="AB148" i="16"/>
  <c r="AB147" i="16"/>
  <c r="AB145" i="16"/>
  <c r="AB141" i="16"/>
  <c r="AB137" i="16"/>
  <c r="AB133" i="16"/>
  <c r="AB142" i="16"/>
  <c r="AB134" i="16"/>
  <c r="AB129" i="16"/>
  <c r="AB125" i="16"/>
  <c r="AB121" i="16"/>
  <c r="AB117" i="16"/>
  <c r="AB113" i="16"/>
  <c r="AB109" i="16"/>
  <c r="AB186" i="16"/>
  <c r="AB140" i="16"/>
  <c r="AB139" i="16"/>
  <c r="AB132" i="16"/>
  <c r="AB131" i="16"/>
  <c r="AB128" i="16"/>
  <c r="AB124" i="16"/>
  <c r="AB120" i="16"/>
  <c r="AB116" i="16"/>
  <c r="AB112" i="16"/>
  <c r="AB108" i="16"/>
  <c r="AB104" i="16"/>
  <c r="AB100" i="16"/>
  <c r="AB173" i="16"/>
  <c r="AB146" i="16"/>
  <c r="AB143" i="16"/>
  <c r="AB138" i="16"/>
  <c r="AB135" i="16"/>
  <c r="AB105" i="16"/>
  <c r="AB97" i="16"/>
  <c r="AB96" i="16"/>
  <c r="AB92" i="16"/>
  <c r="AB88" i="16"/>
  <c r="AB84" i="16"/>
  <c r="AB80" i="16"/>
  <c r="AB76" i="16"/>
  <c r="AB162" i="16"/>
  <c r="AB152" i="16"/>
  <c r="AB151" i="16"/>
  <c r="AB130" i="16"/>
  <c r="AB123" i="16"/>
  <c r="AB122" i="16"/>
  <c r="AB115" i="16"/>
  <c r="AB114" i="16"/>
  <c r="AB103" i="16"/>
  <c r="AB102" i="16"/>
  <c r="AB95" i="16"/>
  <c r="AB91" i="16"/>
  <c r="AB87" i="16"/>
  <c r="AB83" i="16"/>
  <c r="AB79" i="16"/>
  <c r="AB75" i="16"/>
  <c r="AB71" i="16"/>
  <c r="AB67" i="16"/>
  <c r="AB63" i="16"/>
  <c r="AB59" i="16"/>
  <c r="AB55" i="16"/>
  <c r="AB51" i="16"/>
  <c r="AB144" i="16"/>
  <c r="AB118" i="16"/>
  <c r="AB94" i="16"/>
  <c r="AB93" i="16"/>
  <c r="AB86" i="16"/>
  <c r="AB85" i="16"/>
  <c r="AB78" i="16"/>
  <c r="AB77" i="16"/>
  <c r="AB73" i="16"/>
  <c r="AB66" i="16"/>
  <c r="AB65" i="16"/>
  <c r="AB58" i="16"/>
  <c r="AB57" i="16"/>
  <c r="AB48" i="16"/>
  <c r="AB44" i="16"/>
  <c r="AB40" i="16"/>
  <c r="AB36" i="16"/>
  <c r="AB32" i="16"/>
  <c r="AB28" i="16"/>
  <c r="AB98" i="16"/>
  <c r="AB81" i="16"/>
  <c r="AB70" i="16"/>
  <c r="AB69" i="16"/>
  <c r="AB62" i="16"/>
  <c r="AB61" i="16"/>
  <c r="AB54" i="16"/>
  <c r="AB46" i="16"/>
  <c r="AB127" i="16"/>
  <c r="AB111" i="16"/>
  <c r="AB107" i="16"/>
  <c r="AB99" i="16"/>
  <c r="AB72" i="16"/>
  <c r="AB64" i="16"/>
  <c r="AB56" i="16"/>
  <c r="AB47" i="16"/>
  <c r="AB43" i="16"/>
  <c r="AB39" i="16"/>
  <c r="AB35" i="16"/>
  <c r="AB31" i="16"/>
  <c r="AB27" i="16"/>
  <c r="AB168" i="16"/>
  <c r="AB136" i="16"/>
  <c r="AB126" i="16"/>
  <c r="AB110" i="16"/>
  <c r="AB106" i="16"/>
  <c r="AB101" i="16"/>
  <c r="AB90" i="16"/>
  <c r="AB89" i="16"/>
  <c r="AB82" i="16"/>
  <c r="AB74" i="16"/>
  <c r="AB53" i="16"/>
  <c r="AB50" i="16"/>
  <c r="Y20" i="16"/>
  <c r="Z21" i="16" s="1"/>
  <c r="Z32" i="16" s="1"/>
  <c r="AC32" i="16" s="1"/>
  <c r="AD32" i="16" s="1"/>
  <c r="AB52" i="16"/>
  <c r="AB68" i="16"/>
  <c r="Q175" i="16" l="1"/>
  <c r="R175" i="16" s="1"/>
  <c r="Q138" i="16"/>
  <c r="R138" i="16" s="1"/>
  <c r="Q121" i="16"/>
  <c r="R121" i="16" s="1"/>
  <c r="Q113" i="16"/>
  <c r="R113" i="16" s="1"/>
  <c r="Q63" i="16"/>
  <c r="R63" i="16" s="1"/>
  <c r="Q174" i="16"/>
  <c r="R174" i="16" s="1"/>
  <c r="Q137" i="16"/>
  <c r="R137" i="16" s="1"/>
  <c r="Q33" i="16"/>
  <c r="R33" i="16" s="1"/>
  <c r="Q104" i="16"/>
  <c r="R104" i="16" s="1"/>
  <c r="Q195" i="16"/>
  <c r="R195" i="16" s="1"/>
  <c r="Q181" i="16"/>
  <c r="R181" i="16" s="1"/>
  <c r="Q100" i="16"/>
  <c r="R100" i="16" s="1"/>
  <c r="Q147" i="16"/>
  <c r="R147" i="16" s="1"/>
  <c r="Q122" i="16"/>
  <c r="R122" i="16" s="1"/>
  <c r="Q114" i="16"/>
  <c r="R114" i="16" s="1"/>
  <c r="Q55" i="16"/>
  <c r="R55" i="16" s="1"/>
  <c r="Q44" i="16"/>
  <c r="R44" i="16" s="1"/>
  <c r="Z80" i="16"/>
  <c r="AC80" i="16" s="1"/>
  <c r="AD80" i="16" s="1"/>
  <c r="Z84" i="16"/>
  <c r="AC84" i="16" s="1"/>
  <c r="AD84" i="16" s="1"/>
  <c r="Z154" i="16"/>
  <c r="AC154" i="16" s="1"/>
  <c r="AD154" i="16" s="1"/>
  <c r="Z76" i="16"/>
  <c r="AC76" i="16" s="1"/>
  <c r="AD76" i="16" s="1"/>
  <c r="Z180" i="16"/>
  <c r="AC180" i="16" s="1"/>
  <c r="AD180" i="16" s="1"/>
  <c r="Z158" i="16"/>
  <c r="AC158" i="16" s="1"/>
  <c r="AD158" i="16" s="1"/>
  <c r="Z184" i="16"/>
  <c r="AC184" i="16" s="1"/>
  <c r="AD184" i="16" s="1"/>
  <c r="Z101" i="16"/>
  <c r="AC101" i="16" s="1"/>
  <c r="AD101" i="16" s="1"/>
  <c r="Z47" i="16"/>
  <c r="AC47" i="16" s="1"/>
  <c r="AD47" i="16" s="1"/>
  <c r="Z187" i="16"/>
  <c r="AC187" i="16" s="1"/>
  <c r="AD187" i="16" s="1"/>
  <c r="Z162" i="16"/>
  <c r="AC162" i="16" s="1"/>
  <c r="AD162" i="16" s="1"/>
  <c r="Z146" i="16"/>
  <c r="AC146" i="16" s="1"/>
  <c r="AD146" i="16" s="1"/>
  <c r="Z105" i="16"/>
  <c r="AC105" i="16" s="1"/>
  <c r="AD105" i="16" s="1"/>
  <c r="Z193" i="16"/>
  <c r="AC193" i="16" s="1"/>
  <c r="AD193" i="16" s="1"/>
  <c r="Z189" i="16"/>
  <c r="AC189" i="16" s="1"/>
  <c r="AD189" i="16" s="1"/>
  <c r="Z194" i="16"/>
  <c r="AC194" i="16" s="1"/>
  <c r="AD194" i="16" s="1"/>
  <c r="Z186" i="16"/>
  <c r="AC186" i="16" s="1"/>
  <c r="AD186" i="16" s="1"/>
  <c r="Z181" i="16"/>
  <c r="AC181" i="16" s="1"/>
  <c r="AD181" i="16" s="1"/>
  <c r="Z190" i="16"/>
  <c r="AC190" i="16" s="1"/>
  <c r="AD190" i="16" s="1"/>
  <c r="Z174" i="16"/>
  <c r="AC174" i="16" s="1"/>
  <c r="AD174" i="16" s="1"/>
  <c r="Z173" i="16"/>
  <c r="AC173" i="16" s="1"/>
  <c r="AD173" i="16" s="1"/>
  <c r="Z172" i="16"/>
  <c r="AC172" i="16" s="1"/>
  <c r="AD172" i="16" s="1"/>
  <c r="Z167" i="16"/>
  <c r="AC167" i="16" s="1"/>
  <c r="AD167" i="16" s="1"/>
  <c r="Z191" i="16"/>
  <c r="AC191" i="16" s="1"/>
  <c r="AD191" i="16" s="1"/>
  <c r="Z170" i="16"/>
  <c r="AC170" i="16" s="1"/>
  <c r="AD170" i="16" s="1"/>
  <c r="Z168" i="16"/>
  <c r="AC168" i="16" s="1"/>
  <c r="AD168" i="16" s="1"/>
  <c r="Z161" i="16"/>
  <c r="AC161" i="16" s="1"/>
  <c r="AD161" i="16" s="1"/>
  <c r="Z160" i="16"/>
  <c r="AC160" i="16" s="1"/>
  <c r="AD160" i="16" s="1"/>
  <c r="Z159" i="16"/>
  <c r="AC159" i="16" s="1"/>
  <c r="AD159" i="16" s="1"/>
  <c r="Z153" i="16"/>
  <c r="AC153" i="16" s="1"/>
  <c r="AD153" i="16" s="1"/>
  <c r="Z152" i="16"/>
  <c r="AC152" i="16" s="1"/>
  <c r="AD152" i="16" s="1"/>
  <c r="Z151" i="16"/>
  <c r="AC151" i="16" s="1"/>
  <c r="AD151" i="16" s="1"/>
  <c r="Z156" i="16"/>
  <c r="AC156" i="16" s="1"/>
  <c r="AD156" i="16" s="1"/>
  <c r="Z148" i="16"/>
  <c r="AC148" i="16" s="1"/>
  <c r="AD148" i="16" s="1"/>
  <c r="Z145" i="16"/>
  <c r="AC145" i="16" s="1"/>
  <c r="AD145" i="16" s="1"/>
  <c r="Z144" i="16"/>
  <c r="AC144" i="16" s="1"/>
  <c r="AD144" i="16" s="1"/>
  <c r="Z143" i="16"/>
  <c r="AC143" i="16" s="1"/>
  <c r="AD143" i="16" s="1"/>
  <c r="Z137" i="16"/>
  <c r="AC137" i="16" s="1"/>
  <c r="AD137" i="16" s="1"/>
  <c r="Z136" i="16"/>
  <c r="AC136" i="16" s="1"/>
  <c r="AD136" i="16" s="1"/>
  <c r="Z135" i="16"/>
  <c r="AC135" i="16" s="1"/>
  <c r="AD135" i="16" s="1"/>
  <c r="Z130" i="16"/>
  <c r="AC130" i="16" s="1"/>
  <c r="AD130" i="16" s="1"/>
  <c r="Z126" i="16"/>
  <c r="AC126" i="16" s="1"/>
  <c r="AD126" i="16" s="1"/>
  <c r="Z122" i="16"/>
  <c r="AC122" i="16" s="1"/>
  <c r="AD122" i="16" s="1"/>
  <c r="Z118" i="16"/>
  <c r="AC118" i="16" s="1"/>
  <c r="AD118" i="16" s="1"/>
  <c r="Z114" i="16"/>
  <c r="AC114" i="16" s="1"/>
  <c r="AD114" i="16" s="1"/>
  <c r="Z110" i="16"/>
  <c r="AC110" i="16" s="1"/>
  <c r="AD110" i="16" s="1"/>
  <c r="Z179" i="16"/>
  <c r="AC179" i="16" s="1"/>
  <c r="AD179" i="16" s="1"/>
  <c r="Z165" i="16"/>
  <c r="AC165" i="16" s="1"/>
  <c r="AD165" i="16" s="1"/>
  <c r="Z155" i="16"/>
  <c r="AC155" i="16" s="1"/>
  <c r="AD155" i="16" s="1"/>
  <c r="Z149" i="16"/>
  <c r="AC149" i="16" s="1"/>
  <c r="AD149" i="16" s="1"/>
  <c r="Z141" i="16"/>
  <c r="AC141" i="16" s="1"/>
  <c r="AD141" i="16" s="1"/>
  <c r="Z133" i="16"/>
  <c r="AC133" i="16" s="1"/>
  <c r="AD133" i="16" s="1"/>
  <c r="Z127" i="16"/>
  <c r="AC127" i="16" s="1"/>
  <c r="AD127" i="16" s="1"/>
  <c r="Z119" i="16"/>
  <c r="AC119" i="16" s="1"/>
  <c r="AD119" i="16" s="1"/>
  <c r="Z111" i="16"/>
  <c r="AC111" i="16" s="1"/>
  <c r="AD111" i="16" s="1"/>
  <c r="Z108" i="16"/>
  <c r="AC108" i="16" s="1"/>
  <c r="AD108" i="16" s="1"/>
  <c r="Z107" i="16"/>
  <c r="AC107" i="16" s="1"/>
  <c r="AD107" i="16" s="1"/>
  <c r="Z106" i="16"/>
  <c r="AC106" i="16" s="1"/>
  <c r="AD106" i="16" s="1"/>
  <c r="Z100" i="16"/>
  <c r="AC100" i="16" s="1"/>
  <c r="AD100" i="16" s="1"/>
  <c r="Z99" i="16"/>
  <c r="AC99" i="16" s="1"/>
  <c r="AD99" i="16" s="1"/>
  <c r="Z98" i="16"/>
  <c r="AC98" i="16" s="1"/>
  <c r="AD98" i="16" s="1"/>
  <c r="Z93" i="16"/>
  <c r="AC93" i="16" s="1"/>
  <c r="AD93" i="16" s="1"/>
  <c r="Z89" i="16"/>
  <c r="AC89" i="16" s="1"/>
  <c r="AD89" i="16" s="1"/>
  <c r="Z85" i="16"/>
  <c r="AC85" i="16" s="1"/>
  <c r="AD85" i="16" s="1"/>
  <c r="Z81" i="16"/>
  <c r="AC81" i="16" s="1"/>
  <c r="AD81" i="16" s="1"/>
  <c r="Z77" i="16"/>
  <c r="AC77" i="16" s="1"/>
  <c r="AD77" i="16" s="1"/>
  <c r="Z176" i="16"/>
  <c r="AC176" i="16" s="1"/>
  <c r="AD176" i="16" s="1"/>
  <c r="Z131" i="16"/>
  <c r="AC131" i="16" s="1"/>
  <c r="AD131" i="16" s="1"/>
  <c r="Z116" i="16"/>
  <c r="AC116" i="16" s="1"/>
  <c r="AD116" i="16" s="1"/>
  <c r="Z91" i="16"/>
  <c r="AC91" i="16" s="1"/>
  <c r="AD91" i="16" s="1"/>
  <c r="Z83" i="16"/>
  <c r="AC83" i="16" s="1"/>
  <c r="AD83" i="16" s="1"/>
  <c r="Z75" i="16"/>
  <c r="AC75" i="16" s="1"/>
  <c r="AD75" i="16" s="1"/>
  <c r="Z49" i="16"/>
  <c r="AC49" i="16" s="1"/>
  <c r="AD49" i="16" s="1"/>
  <c r="Z45" i="16"/>
  <c r="AC45" i="16" s="1"/>
  <c r="AD45" i="16" s="1"/>
  <c r="Z41" i="16"/>
  <c r="AC41" i="16" s="1"/>
  <c r="AD41" i="16" s="1"/>
  <c r="Z37" i="16"/>
  <c r="AC37" i="16" s="1"/>
  <c r="AD37" i="16" s="1"/>
  <c r="Z33" i="16"/>
  <c r="AC33" i="16" s="1"/>
  <c r="AD33" i="16" s="1"/>
  <c r="Z29" i="16"/>
  <c r="AC29" i="16" s="1"/>
  <c r="AD29" i="16" s="1"/>
  <c r="Z185" i="16"/>
  <c r="AC185" i="16" s="1"/>
  <c r="AD185" i="16" s="1"/>
  <c r="Z123" i="16"/>
  <c r="AC123" i="16" s="1"/>
  <c r="AD123" i="16" s="1"/>
  <c r="Z102" i="16"/>
  <c r="AC102" i="16" s="1"/>
  <c r="AD102" i="16" s="1"/>
  <c r="Z94" i="16"/>
  <c r="AC94" i="16" s="1"/>
  <c r="AD94" i="16" s="1"/>
  <c r="Z86" i="16"/>
  <c r="AC86" i="16" s="1"/>
  <c r="AD86" i="16" s="1"/>
  <c r="Z78" i="16"/>
  <c r="AC78" i="16" s="1"/>
  <c r="AD78" i="16" s="1"/>
  <c r="Z73" i="16"/>
  <c r="AC73" i="16" s="1"/>
  <c r="AD73" i="16" s="1"/>
  <c r="Z65" i="16"/>
  <c r="AC65" i="16" s="1"/>
  <c r="AD65" i="16" s="1"/>
  <c r="Z57" i="16"/>
  <c r="AC57" i="16" s="1"/>
  <c r="AD57" i="16" s="1"/>
  <c r="Z157" i="16"/>
  <c r="AC157" i="16" s="1"/>
  <c r="AD157" i="16" s="1"/>
  <c r="Z147" i="16"/>
  <c r="AC147" i="16" s="1"/>
  <c r="AD147" i="16" s="1"/>
  <c r="Z139" i="16"/>
  <c r="AC139" i="16" s="1"/>
  <c r="AD139" i="16" s="1"/>
  <c r="Z124" i="16"/>
  <c r="AC124" i="16" s="1"/>
  <c r="AD124" i="16" s="1"/>
  <c r="Z82" i="16"/>
  <c r="AC82" i="16" s="1"/>
  <c r="AD82" i="16" s="1"/>
  <c r="Z63" i="16"/>
  <c r="AC63" i="16" s="1"/>
  <c r="AD63" i="16" s="1"/>
  <c r="Z61" i="16"/>
  <c r="AC61" i="16" s="1"/>
  <c r="AD61" i="16" s="1"/>
  <c r="Z38" i="16"/>
  <c r="AC38" i="16" s="1"/>
  <c r="AD38" i="16" s="1"/>
  <c r="Z30" i="16"/>
  <c r="AC30" i="16" s="1"/>
  <c r="AD30" i="16" s="1"/>
  <c r="Z69" i="16"/>
  <c r="AC69" i="16" s="1"/>
  <c r="AD69" i="16" s="1"/>
  <c r="Z90" i="16"/>
  <c r="AC90" i="16" s="1"/>
  <c r="AD90" i="16" s="1"/>
  <c r="Z70" i="16"/>
  <c r="AC70" i="16" s="1"/>
  <c r="AD70" i="16" s="1"/>
  <c r="Z43" i="16"/>
  <c r="AC43" i="16" s="1"/>
  <c r="AD43" i="16" s="1"/>
  <c r="Z163" i="16"/>
  <c r="AC163" i="16" s="1"/>
  <c r="AD163" i="16" s="1"/>
  <c r="Z115" i="16"/>
  <c r="AC115" i="16" s="1"/>
  <c r="AD115" i="16" s="1"/>
  <c r="Z74" i="16"/>
  <c r="AC74" i="16" s="1"/>
  <c r="AD74" i="16" s="1"/>
  <c r="Z62" i="16"/>
  <c r="AC62" i="16" s="1"/>
  <c r="AD62" i="16" s="1"/>
  <c r="Z50" i="16"/>
  <c r="AC50" i="16" s="1"/>
  <c r="AD50" i="16" s="1"/>
  <c r="Z46" i="16"/>
  <c r="AC46" i="16" s="1"/>
  <c r="AD46" i="16" s="1"/>
  <c r="Z164" i="16"/>
  <c r="AC164" i="16" s="1"/>
  <c r="AD164" i="16" s="1"/>
  <c r="Z103" i="16"/>
  <c r="AC103" i="16" s="1"/>
  <c r="AD103" i="16" s="1"/>
  <c r="Z71" i="16"/>
  <c r="AC71" i="16" s="1"/>
  <c r="AD71" i="16" s="1"/>
  <c r="Z55" i="16"/>
  <c r="AC55" i="16" s="1"/>
  <c r="AD55" i="16" s="1"/>
  <c r="Z53" i="16"/>
  <c r="AC53" i="16" s="1"/>
  <c r="AD53" i="16" s="1"/>
  <c r="Z42" i="16"/>
  <c r="AC42" i="16" s="1"/>
  <c r="AD42" i="16" s="1"/>
  <c r="Z34" i="16"/>
  <c r="AC34" i="16" s="1"/>
  <c r="AD34" i="16" s="1"/>
  <c r="Z54" i="16"/>
  <c r="AC54" i="16" s="1"/>
  <c r="AD54" i="16" s="1"/>
  <c r="Z35" i="16"/>
  <c r="AC35" i="16" s="1"/>
  <c r="AD35" i="16" s="1"/>
  <c r="Z27" i="16"/>
  <c r="AC27" i="16" s="1"/>
  <c r="AD27" i="16" s="1"/>
  <c r="Z67" i="16"/>
  <c r="AC67" i="16" s="1"/>
  <c r="AD67" i="16" s="1"/>
  <c r="Z51" i="16"/>
  <c r="AC51" i="16" s="1"/>
  <c r="AD51" i="16" s="1"/>
  <c r="Z44" i="16"/>
  <c r="AC44" i="16" s="1"/>
  <c r="AD44" i="16" s="1"/>
  <c r="Z192" i="16"/>
  <c r="AC192" i="16" s="1"/>
  <c r="AD192" i="16" s="1"/>
  <c r="Z195" i="16"/>
  <c r="AC195" i="16" s="1"/>
  <c r="AD195" i="16" s="1"/>
  <c r="Z188" i="16"/>
  <c r="AC188" i="16" s="1"/>
  <c r="AD188" i="16" s="1"/>
  <c r="Z169" i="16"/>
  <c r="AC169" i="16" s="1"/>
  <c r="AD169" i="16" s="1"/>
  <c r="Z134" i="16"/>
  <c r="AC134" i="16" s="1"/>
  <c r="AD134" i="16" s="1"/>
  <c r="Z117" i="16"/>
  <c r="AC117" i="16" s="1"/>
  <c r="AD117" i="16" s="1"/>
  <c r="Z96" i="16"/>
  <c r="AC96" i="16" s="1"/>
  <c r="AD96" i="16" s="1"/>
  <c r="Z60" i="16"/>
  <c r="AC60" i="16" s="1"/>
  <c r="AD60" i="16" s="1"/>
  <c r="Z132" i="16"/>
  <c r="AC132" i="16" s="1"/>
  <c r="AD132" i="16" s="1"/>
  <c r="Z56" i="16"/>
  <c r="AC56" i="16" s="1"/>
  <c r="AD56" i="16" s="1"/>
  <c r="Z48" i="16"/>
  <c r="AC48" i="16" s="1"/>
  <c r="AD48" i="16" s="1"/>
  <c r="Z59" i="16"/>
  <c r="AC59" i="16" s="1"/>
  <c r="AD59" i="16" s="1"/>
  <c r="Z95" i="16"/>
  <c r="AC95" i="16" s="1"/>
  <c r="AD95" i="16" s="1"/>
  <c r="Z66" i="16"/>
  <c r="AC66" i="16" s="1"/>
  <c r="AD66" i="16" s="1"/>
  <c r="Z36" i="16"/>
  <c r="AC36" i="16" s="1"/>
  <c r="AD36" i="16" s="1"/>
  <c r="Z28" i="16"/>
  <c r="AC28" i="16" s="1"/>
  <c r="AD28" i="16" s="1"/>
  <c r="Z87" i="16"/>
  <c r="AC87" i="16" s="1"/>
  <c r="AD87" i="16" s="1"/>
  <c r="Z121" i="16"/>
  <c r="AC121" i="16" s="1"/>
  <c r="AD121" i="16" s="1"/>
  <c r="Z79" i="16"/>
  <c r="AC79" i="16" s="1"/>
  <c r="AD79" i="16" s="1"/>
  <c r="Z171" i="16"/>
  <c r="AC171" i="16" s="1"/>
  <c r="AD171" i="16" s="1"/>
  <c r="Z150" i="16"/>
  <c r="AC150" i="16" s="1"/>
  <c r="AD150" i="16" s="1"/>
  <c r="Z178" i="16"/>
  <c r="AC178" i="16" s="1"/>
  <c r="AD178" i="16" s="1"/>
  <c r="Z142" i="16"/>
  <c r="AC142" i="16" s="1"/>
  <c r="AD142" i="16" s="1"/>
  <c r="Z138" i="16"/>
  <c r="AC138" i="16" s="1"/>
  <c r="AD138" i="16" s="1"/>
  <c r="Z125" i="16"/>
  <c r="AC125" i="16" s="1"/>
  <c r="AD125" i="16" s="1"/>
  <c r="Z97" i="16"/>
  <c r="AC97" i="16" s="1"/>
  <c r="AD97" i="16" s="1"/>
  <c r="Z68" i="16"/>
  <c r="AC68" i="16" s="1"/>
  <c r="AD68" i="16" s="1"/>
  <c r="Z64" i="16"/>
  <c r="AC64" i="16" s="1"/>
  <c r="AD64" i="16" s="1"/>
  <c r="Z120" i="16"/>
  <c r="AC120" i="16" s="1"/>
  <c r="AD120" i="16" s="1"/>
  <c r="Z72" i="16"/>
  <c r="AC72" i="16" s="1"/>
  <c r="AD72" i="16" s="1"/>
  <c r="Z183" i="16"/>
  <c r="AC183" i="16" s="1"/>
  <c r="AD183" i="16" s="1"/>
  <c r="Z175" i="16"/>
  <c r="AC175" i="16" s="1"/>
  <c r="AD175" i="16" s="1"/>
  <c r="Z166" i="16"/>
  <c r="AC166" i="16" s="1"/>
  <c r="AD166" i="16" s="1"/>
  <c r="Z177" i="16"/>
  <c r="AC177" i="16" s="1"/>
  <c r="AD177" i="16" s="1"/>
  <c r="Z109" i="16"/>
  <c r="AC109" i="16" s="1"/>
  <c r="AD109" i="16" s="1"/>
  <c r="Z88" i="16"/>
  <c r="AC88" i="16" s="1"/>
  <c r="AD88" i="16" s="1"/>
  <c r="Z52" i="16"/>
  <c r="AC52" i="16" s="1"/>
  <c r="AD52" i="16" s="1"/>
  <c r="Z129" i="16"/>
  <c r="AC129" i="16" s="1"/>
  <c r="AD129" i="16" s="1"/>
  <c r="Z113" i="16"/>
  <c r="AC113" i="16" s="1"/>
  <c r="AD113" i="16" s="1"/>
  <c r="Z92" i="16"/>
  <c r="AC92" i="16" s="1"/>
  <c r="AD92" i="16" s="1"/>
  <c r="Z182" i="16"/>
  <c r="AC182" i="16" s="1"/>
  <c r="AD182" i="16" s="1"/>
  <c r="Z104" i="16"/>
  <c r="AC104" i="16" s="1"/>
  <c r="AD104" i="16" s="1"/>
  <c r="Z58" i="16"/>
  <c r="AC58" i="16" s="1"/>
  <c r="AD58" i="16" s="1"/>
  <c r="Z40" i="16"/>
  <c r="AC40" i="16" s="1"/>
  <c r="AD40" i="16" s="1"/>
  <c r="Z140" i="16"/>
  <c r="AC140" i="16" s="1"/>
  <c r="AD140" i="16" s="1"/>
  <c r="Z112" i="16"/>
  <c r="AC112" i="16" s="1"/>
  <c r="AD112" i="16" s="1"/>
  <c r="Z128" i="16"/>
  <c r="AC128" i="16" s="1"/>
  <c r="AD128" i="16" s="1"/>
  <c r="Z39" i="16"/>
  <c r="AC39" i="16" s="1"/>
  <c r="AD39" i="16" s="1"/>
  <c r="Z31" i="16"/>
  <c r="AC31" i="16" s="1"/>
  <c r="AD31" i="16" s="1"/>
  <c r="V17" i="16" l="1"/>
  <c r="R17" i="16"/>
  <c r="Z17" i="16"/>
  <c r="AF40" i="16"/>
  <c r="AM40" i="16" s="1"/>
  <c r="AN40" i="16" s="1"/>
  <c r="AP40" i="16" s="1"/>
  <c r="AF64" i="16"/>
  <c r="AM64" i="16" s="1"/>
  <c r="AN64" i="16" s="1"/>
  <c r="AP64" i="16" s="1"/>
  <c r="AF95" i="16"/>
  <c r="AM95" i="16" s="1"/>
  <c r="AN95" i="16" s="1"/>
  <c r="AP95" i="16" s="1"/>
  <c r="AF67" i="16"/>
  <c r="AM67" i="16" s="1"/>
  <c r="AN67" i="16" s="1"/>
  <c r="AP67" i="16" s="1"/>
  <c r="AF163" i="16"/>
  <c r="AM163" i="16" s="1"/>
  <c r="AN163" i="16" s="1"/>
  <c r="AP163" i="16" s="1"/>
  <c r="AF102" i="16"/>
  <c r="AM102" i="16" s="1"/>
  <c r="AN102" i="16" s="1"/>
  <c r="AP102" i="16" s="1"/>
  <c r="AF107" i="16"/>
  <c r="AM107" i="16" s="1"/>
  <c r="AN107" i="16" s="1"/>
  <c r="AP107" i="16" s="1"/>
  <c r="AF114" i="16"/>
  <c r="AF49" i="16"/>
  <c r="AM49" i="16" s="1"/>
  <c r="AN49" i="16" s="1"/>
  <c r="AP49" i="16" s="1"/>
  <c r="AF98" i="16"/>
  <c r="AM98" i="16" s="1"/>
  <c r="AF84" i="16"/>
  <c r="AM84" i="16" s="1"/>
  <c r="AN84" i="16" s="1"/>
  <c r="AP84" i="16" s="1"/>
  <c r="AF189" i="16"/>
  <c r="AM189" i="16" s="1"/>
  <c r="AN189" i="16" s="1"/>
  <c r="AP189" i="16" s="1"/>
  <c r="AF162" i="16"/>
  <c r="AM162" i="16" s="1"/>
  <c r="AN162" i="16" s="1"/>
  <c r="AP162" i="16" s="1"/>
  <c r="AF154" i="16"/>
  <c r="AM154" i="16" s="1"/>
  <c r="AN154" i="16" s="1"/>
  <c r="AP154" i="16" s="1"/>
  <c r="AF39" i="16"/>
  <c r="AM39" i="16" s="1"/>
  <c r="AN39" i="16" s="1"/>
  <c r="AP39" i="16" s="1"/>
  <c r="AF92" i="16"/>
  <c r="AM92" i="16" s="1"/>
  <c r="AN92" i="16" s="1"/>
  <c r="AP92" i="16" s="1"/>
  <c r="AF132" i="16"/>
  <c r="AM132" i="16" s="1"/>
  <c r="AN132" i="16" s="1"/>
  <c r="AP132" i="16" s="1"/>
  <c r="AF34" i="16"/>
  <c r="AM34" i="16" s="1"/>
  <c r="AN34" i="16" s="1"/>
  <c r="AP34" i="16" s="1"/>
  <c r="AF50" i="16"/>
  <c r="AM50" i="16" s="1"/>
  <c r="AN50" i="16" s="1"/>
  <c r="AP50" i="16" s="1"/>
  <c r="AF81" i="16"/>
  <c r="AM81" i="16" s="1"/>
  <c r="AF127" i="16"/>
  <c r="AM127" i="16" s="1"/>
  <c r="AN127" i="16" s="1"/>
  <c r="AP127" i="16" s="1"/>
  <c r="AF159" i="16"/>
  <c r="AM159" i="16" s="1"/>
  <c r="AN159" i="16" s="1"/>
  <c r="AP159" i="16" s="1"/>
  <c r="AF186" i="16"/>
  <c r="AM186" i="16" s="1"/>
  <c r="AN186" i="16" s="1"/>
  <c r="AP186" i="16" s="1"/>
  <c r="AF180" i="16"/>
  <c r="AM180" i="16" s="1"/>
  <c r="AN180" i="16" s="1"/>
  <c r="AP180" i="16" s="1"/>
  <c r="AF79" i="16"/>
  <c r="AM79" i="16" s="1"/>
  <c r="AN79" i="16" s="1"/>
  <c r="AP79" i="16" s="1"/>
  <c r="AF169" i="16"/>
  <c r="AM169" i="16" s="1"/>
  <c r="AN169" i="16" s="1"/>
  <c r="AP169" i="16" s="1"/>
  <c r="AF104" i="16"/>
  <c r="AM104" i="16" s="1"/>
  <c r="AN104" i="16" s="1"/>
  <c r="AP104" i="16" s="1"/>
  <c r="AF177" i="16"/>
  <c r="AM177" i="16" s="1"/>
  <c r="AN177" i="16" s="1"/>
  <c r="AP177" i="16" s="1"/>
  <c r="AF97" i="16"/>
  <c r="AM97" i="16" s="1"/>
  <c r="AN97" i="16" s="1"/>
  <c r="AP97" i="16" s="1"/>
  <c r="AF178" i="16"/>
  <c r="AM178" i="16" s="1"/>
  <c r="AN178" i="16" s="1"/>
  <c r="AP178" i="16" s="1"/>
  <c r="AF121" i="16"/>
  <c r="AM121" i="16" s="1"/>
  <c r="AN121" i="16" s="1"/>
  <c r="AP121" i="16" s="1"/>
  <c r="AF96" i="16"/>
  <c r="AM96" i="16" s="1"/>
  <c r="AN96" i="16" s="1"/>
  <c r="AP96" i="16" s="1"/>
  <c r="AF188" i="16"/>
  <c r="AM188" i="16" s="1"/>
  <c r="AN188" i="16" s="1"/>
  <c r="AP188" i="16" s="1"/>
  <c r="AF35" i="16"/>
  <c r="AM35" i="16" s="1"/>
  <c r="AN35" i="16" s="1"/>
  <c r="AP35" i="16" s="1"/>
  <c r="AF53" i="16"/>
  <c r="AM53" i="16" s="1"/>
  <c r="AN53" i="16" s="1"/>
  <c r="AP53" i="16" s="1"/>
  <c r="AF38" i="16"/>
  <c r="AM38" i="16" s="1"/>
  <c r="AN38" i="16" s="1"/>
  <c r="AP38" i="16" s="1"/>
  <c r="AF86" i="16"/>
  <c r="AM86" i="16" s="1"/>
  <c r="AN86" i="16" s="1"/>
  <c r="AP86" i="16" s="1"/>
  <c r="AF185" i="16"/>
  <c r="AM185" i="16" s="1"/>
  <c r="AN185" i="16" s="1"/>
  <c r="AP185" i="16" s="1"/>
  <c r="AF41" i="16"/>
  <c r="AM41" i="16" s="1"/>
  <c r="AN41" i="16" s="1"/>
  <c r="AP41" i="16" s="1"/>
  <c r="AF176" i="16"/>
  <c r="AM176" i="16" s="1"/>
  <c r="AN176" i="16" s="1"/>
  <c r="AP176" i="16" s="1"/>
  <c r="AF89" i="16"/>
  <c r="AM89" i="16" s="1"/>
  <c r="AN89" i="16" s="1"/>
  <c r="AP89" i="16" s="1"/>
  <c r="AF100" i="16"/>
  <c r="AM100" i="16" s="1"/>
  <c r="AN100" i="16" s="1"/>
  <c r="AP100" i="16" s="1"/>
  <c r="AF122" i="16"/>
  <c r="AM122" i="16" s="1"/>
  <c r="AN122" i="16" s="1"/>
  <c r="AP122" i="16" s="1"/>
  <c r="AF145" i="16"/>
  <c r="AM145" i="16" s="1"/>
  <c r="AN145" i="16" s="1"/>
  <c r="AP145" i="16" s="1"/>
  <c r="AF161" i="16"/>
  <c r="AM161" i="16" s="1"/>
  <c r="AN161" i="16" s="1"/>
  <c r="AP161" i="16" s="1"/>
  <c r="AF167" i="16"/>
  <c r="AM167" i="16" s="1"/>
  <c r="AN167" i="16" s="1"/>
  <c r="AP167" i="16" s="1"/>
  <c r="AF140" i="16"/>
  <c r="AM140" i="16" s="1"/>
  <c r="AN140" i="16" s="1"/>
  <c r="AP140" i="16" s="1"/>
  <c r="AF182" i="16"/>
  <c r="AM182" i="16" s="1"/>
  <c r="AN182" i="16" s="1"/>
  <c r="AP182" i="16" s="1"/>
  <c r="AF166" i="16"/>
  <c r="AM166" i="16" s="1"/>
  <c r="AN166" i="16" s="1"/>
  <c r="AP166" i="16" s="1"/>
  <c r="AF120" i="16"/>
  <c r="AM120" i="16" s="1"/>
  <c r="AN120" i="16" s="1"/>
  <c r="AP120" i="16" s="1"/>
  <c r="AF125" i="16"/>
  <c r="AM125" i="16" s="1"/>
  <c r="AN125" i="16" s="1"/>
  <c r="AP125" i="16" s="1"/>
  <c r="AF66" i="16"/>
  <c r="AM66" i="16" s="1"/>
  <c r="AN66" i="16" s="1"/>
  <c r="AP66" i="16" s="1"/>
  <c r="AF56" i="16"/>
  <c r="AM56" i="16" s="1"/>
  <c r="AN56" i="16" s="1"/>
  <c r="AP56" i="16" s="1"/>
  <c r="AF195" i="16"/>
  <c r="AM195" i="16" s="1"/>
  <c r="AN195" i="16" s="1"/>
  <c r="AP195" i="16" s="1"/>
  <c r="AF51" i="16"/>
  <c r="AM51" i="16" s="1"/>
  <c r="AN51" i="16" s="1"/>
  <c r="AP51" i="16" s="1"/>
  <c r="AF54" i="16"/>
  <c r="AM54" i="16" s="1"/>
  <c r="AN54" i="16" s="1"/>
  <c r="AP54" i="16" s="1"/>
  <c r="AF46" i="16"/>
  <c r="AM46" i="16" s="1"/>
  <c r="AN46" i="16" s="1"/>
  <c r="AP46" i="16" s="1"/>
  <c r="AF115" i="16"/>
  <c r="AM115" i="16" s="1"/>
  <c r="AN115" i="16" s="1"/>
  <c r="AP115" i="16" s="1"/>
  <c r="AF90" i="16"/>
  <c r="AM90" i="16" s="1"/>
  <c r="AN90" i="16" s="1"/>
  <c r="AP90" i="16" s="1"/>
  <c r="AF139" i="16"/>
  <c r="AM139" i="16" s="1"/>
  <c r="AN139" i="16" s="1"/>
  <c r="AP139" i="16" s="1"/>
  <c r="AF65" i="16"/>
  <c r="AM65" i="16" s="1"/>
  <c r="AN65" i="16" s="1"/>
  <c r="AP65" i="16" s="1"/>
  <c r="AF94" i="16"/>
  <c r="AM94" i="16" s="1"/>
  <c r="AN94" i="16" s="1"/>
  <c r="AP94" i="16" s="1"/>
  <c r="AF45" i="16"/>
  <c r="AM45" i="16" s="1"/>
  <c r="AN45" i="16" s="1"/>
  <c r="AP45" i="16" s="1"/>
  <c r="AF91" i="16"/>
  <c r="AM91" i="16" s="1"/>
  <c r="AN91" i="16" s="1"/>
  <c r="AP91" i="16" s="1"/>
  <c r="AF77" i="16"/>
  <c r="AM77" i="16" s="1"/>
  <c r="AN77" i="16" s="1"/>
  <c r="AP77" i="16" s="1"/>
  <c r="AF106" i="16"/>
  <c r="AM106" i="16" s="1"/>
  <c r="AN106" i="16" s="1"/>
  <c r="AP106" i="16" s="1"/>
  <c r="AF119" i="16"/>
  <c r="AM119" i="16" s="1"/>
  <c r="AN119" i="16" s="1"/>
  <c r="AP119" i="16" s="1"/>
  <c r="AF149" i="16"/>
  <c r="AM149" i="16" s="1"/>
  <c r="AN149" i="16" s="1"/>
  <c r="AP149" i="16" s="1"/>
  <c r="AF126" i="16"/>
  <c r="AM126" i="16" s="1"/>
  <c r="AN126" i="16" s="1"/>
  <c r="AP126" i="16" s="1"/>
  <c r="AF137" i="16"/>
  <c r="AM137" i="16" s="1"/>
  <c r="AN137" i="16" s="1"/>
  <c r="AP137" i="16" s="1"/>
  <c r="AF148" i="16"/>
  <c r="AM148" i="16" s="1"/>
  <c r="AN148" i="16" s="1"/>
  <c r="AP148" i="16" s="1"/>
  <c r="AF168" i="16"/>
  <c r="AM168" i="16" s="1"/>
  <c r="AN168" i="16" s="1"/>
  <c r="AP168" i="16" s="1"/>
  <c r="AF172" i="16"/>
  <c r="AM172" i="16" s="1"/>
  <c r="AN172" i="16" s="1"/>
  <c r="AP172" i="16" s="1"/>
  <c r="AF181" i="16"/>
  <c r="AM181" i="16" s="1"/>
  <c r="AN181" i="16" s="1"/>
  <c r="AP181" i="16" s="1"/>
  <c r="AF187" i="16"/>
  <c r="AM187" i="16" s="1"/>
  <c r="AN187" i="16" s="1"/>
  <c r="AP187" i="16" s="1"/>
  <c r="AF158" i="16"/>
  <c r="AM158" i="16" s="1"/>
  <c r="AN158" i="16" s="1"/>
  <c r="AP158" i="16" s="1"/>
  <c r="AF112" i="16"/>
  <c r="AM112" i="16" s="1"/>
  <c r="AN112" i="16" s="1"/>
  <c r="AP112" i="16" s="1"/>
  <c r="AF36" i="16"/>
  <c r="AM36" i="16" s="1"/>
  <c r="AN36" i="16" s="1"/>
  <c r="AP36" i="16" s="1"/>
  <c r="AF74" i="16"/>
  <c r="AM74" i="16" s="1"/>
  <c r="AN74" i="16" s="1"/>
  <c r="AP74" i="16" s="1"/>
  <c r="AF124" i="16"/>
  <c r="AM124" i="16" s="1"/>
  <c r="AN124" i="16" s="1"/>
  <c r="AP124" i="16" s="1"/>
  <c r="AF111" i="16"/>
  <c r="AM111" i="16" s="1"/>
  <c r="AN111" i="16" s="1"/>
  <c r="AP111" i="16" s="1"/>
  <c r="AF152" i="16"/>
  <c r="AM152" i="16" s="1"/>
  <c r="AN152" i="16" s="1"/>
  <c r="AP152" i="16" s="1"/>
  <c r="AF184" i="16"/>
  <c r="AM184" i="16" s="1"/>
  <c r="AN184" i="16" s="1"/>
  <c r="AP184" i="16" s="1"/>
  <c r="AF31" i="16"/>
  <c r="AM31" i="16" s="1"/>
  <c r="AN31" i="16" s="1"/>
  <c r="AP31" i="16" s="1"/>
  <c r="AF52" i="16"/>
  <c r="AM52" i="16" s="1"/>
  <c r="AN52" i="16" s="1"/>
  <c r="AP52" i="16" s="1"/>
  <c r="AF150" i="16"/>
  <c r="AM150" i="16" s="1"/>
  <c r="AN150" i="16" s="1"/>
  <c r="AP150" i="16" s="1"/>
  <c r="AF87" i="16"/>
  <c r="AM87" i="16" s="1"/>
  <c r="AN87" i="16" s="1"/>
  <c r="AP87" i="16" s="1"/>
  <c r="AF117" i="16"/>
  <c r="AM117" i="16" s="1"/>
  <c r="AN117" i="16" s="1"/>
  <c r="AP117" i="16" s="1"/>
  <c r="AF55" i="16"/>
  <c r="AM55" i="16" s="1"/>
  <c r="AN55" i="16" s="1"/>
  <c r="AP55" i="16" s="1"/>
  <c r="AF61" i="16"/>
  <c r="AM61" i="16" s="1"/>
  <c r="AN61" i="16" s="1"/>
  <c r="AP61" i="16" s="1"/>
  <c r="AF29" i="16"/>
  <c r="AM29" i="16" s="1"/>
  <c r="AN29" i="16" s="1"/>
  <c r="AP29" i="16" s="1"/>
  <c r="AF93" i="16"/>
  <c r="AM93" i="16" s="1"/>
  <c r="AN93" i="16" s="1"/>
  <c r="AP93" i="16" s="1"/>
  <c r="AF110" i="16"/>
  <c r="AM110" i="16" s="1"/>
  <c r="AN110" i="16" s="1"/>
  <c r="AP110" i="16" s="1"/>
  <c r="AF153" i="16"/>
  <c r="AM153" i="16" s="1"/>
  <c r="AN153" i="16" s="1"/>
  <c r="AP153" i="16" s="1"/>
  <c r="AF193" i="16"/>
  <c r="AM193" i="16" s="1"/>
  <c r="AN193" i="16" s="1"/>
  <c r="AP193" i="16" s="1"/>
  <c r="AF72" i="16"/>
  <c r="AM72" i="16" s="1"/>
  <c r="AN72" i="16" s="1"/>
  <c r="AP72" i="16" s="1"/>
  <c r="AF164" i="16"/>
  <c r="AM164" i="16" s="1"/>
  <c r="AN164" i="16" s="1"/>
  <c r="AP164" i="16" s="1"/>
  <c r="AF83" i="16"/>
  <c r="AM83" i="16" s="1"/>
  <c r="AN83" i="16" s="1"/>
  <c r="AP83" i="16" s="1"/>
  <c r="AF179" i="16"/>
  <c r="AM179" i="16" s="1"/>
  <c r="AN179" i="16" s="1"/>
  <c r="AP179" i="16" s="1"/>
  <c r="AF88" i="16"/>
  <c r="AM88" i="16" s="1"/>
  <c r="AN88" i="16" s="1"/>
  <c r="AP88" i="16" s="1"/>
  <c r="AF175" i="16"/>
  <c r="AM175" i="16" s="1"/>
  <c r="AN175" i="16" s="1"/>
  <c r="AP175" i="16" s="1"/>
  <c r="AF138" i="16"/>
  <c r="AM138" i="16" s="1"/>
  <c r="AN138" i="16" s="1"/>
  <c r="AP138" i="16" s="1"/>
  <c r="AF171" i="16"/>
  <c r="AM171" i="16" s="1"/>
  <c r="AN171" i="16" s="1"/>
  <c r="AP171" i="16" s="1"/>
  <c r="AF32" i="16"/>
  <c r="AM32" i="16" s="1"/>
  <c r="AN32" i="16" s="1"/>
  <c r="AP32" i="16" s="1"/>
  <c r="AF134" i="16"/>
  <c r="AM134" i="16" s="1"/>
  <c r="AN134" i="16" s="1"/>
  <c r="AP134" i="16" s="1"/>
  <c r="AF192" i="16"/>
  <c r="AM192" i="16" s="1"/>
  <c r="AN192" i="16" s="1"/>
  <c r="AP192" i="16" s="1"/>
  <c r="AF71" i="16"/>
  <c r="AM71" i="16" s="1"/>
  <c r="AN71" i="16" s="1"/>
  <c r="AP71" i="16" s="1"/>
  <c r="AF69" i="16"/>
  <c r="AM69" i="16" s="1"/>
  <c r="AN69" i="16" s="1"/>
  <c r="AP69" i="16" s="1"/>
  <c r="AF63" i="16"/>
  <c r="AM63" i="16" s="1"/>
  <c r="AN63" i="16" s="1"/>
  <c r="AP63" i="16" s="1"/>
  <c r="AF147" i="16"/>
  <c r="AM147" i="16" s="1"/>
  <c r="AN147" i="16" s="1"/>
  <c r="AP147" i="16" s="1"/>
  <c r="AF73" i="16"/>
  <c r="AM73" i="16" s="1"/>
  <c r="AN73" i="16" s="1"/>
  <c r="AP73" i="16" s="1"/>
  <c r="AF33" i="16"/>
  <c r="AM33" i="16" s="1"/>
  <c r="AN33" i="16" s="1"/>
  <c r="AP33" i="16" s="1"/>
  <c r="AF116" i="16"/>
  <c r="AM116" i="16" s="1"/>
  <c r="AN116" i="16" s="1"/>
  <c r="AP116" i="16" s="1"/>
  <c r="AF155" i="16"/>
  <c r="AM155" i="16" s="1"/>
  <c r="AN155" i="16" s="1"/>
  <c r="AP155" i="16" s="1"/>
  <c r="AF130" i="16"/>
  <c r="AM130" i="16" s="1"/>
  <c r="AN130" i="16" s="1"/>
  <c r="AP130" i="16" s="1"/>
  <c r="AF143" i="16"/>
  <c r="AM143" i="16" s="1"/>
  <c r="AN143" i="16" s="1"/>
  <c r="AP143" i="16" s="1"/>
  <c r="AF156" i="16"/>
  <c r="AM156" i="16" s="1"/>
  <c r="AN156" i="16" s="1"/>
  <c r="AP156" i="16" s="1"/>
  <c r="AF170" i="16"/>
  <c r="AM170" i="16" s="1"/>
  <c r="AN170" i="16" s="1"/>
  <c r="AP170" i="16" s="1"/>
  <c r="AF173" i="16"/>
  <c r="AM173" i="16" s="1"/>
  <c r="AN173" i="16" s="1"/>
  <c r="AP173" i="16" s="1"/>
  <c r="AF105" i="16"/>
  <c r="AM105" i="16" s="1"/>
  <c r="AN105" i="16" s="1"/>
  <c r="AP105" i="16" s="1"/>
  <c r="AF47" i="16"/>
  <c r="AM47" i="16" s="1"/>
  <c r="AN47" i="16" s="1"/>
  <c r="AP47" i="16" s="1"/>
  <c r="AF129" i="16"/>
  <c r="AM129" i="16" s="1"/>
  <c r="AN129" i="16" s="1"/>
  <c r="AP129" i="16" s="1"/>
  <c r="AF48" i="16"/>
  <c r="AM48" i="16" s="1"/>
  <c r="AN48" i="16" s="1"/>
  <c r="AP48" i="16" s="1"/>
  <c r="AF70" i="16"/>
  <c r="AM70" i="16" s="1"/>
  <c r="AN70" i="16" s="1"/>
  <c r="AP70" i="16" s="1"/>
  <c r="AF57" i="16"/>
  <c r="AM57" i="16" s="1"/>
  <c r="AN57" i="16" s="1"/>
  <c r="AP57" i="16" s="1"/>
  <c r="AF141" i="16"/>
  <c r="AM141" i="16" s="1"/>
  <c r="AN141" i="16" s="1"/>
  <c r="AP141" i="16" s="1"/>
  <c r="AF136" i="16"/>
  <c r="AM136" i="16" s="1"/>
  <c r="AN136" i="16" s="1"/>
  <c r="AP136" i="16" s="1"/>
  <c r="AF190" i="16"/>
  <c r="AM190" i="16" s="1"/>
  <c r="AN190" i="16" s="1"/>
  <c r="AP190" i="16" s="1"/>
  <c r="AF128" i="16"/>
  <c r="AM128" i="16" s="1"/>
  <c r="AN128" i="16" s="1"/>
  <c r="AP128" i="16" s="1"/>
  <c r="AF58" i="16"/>
  <c r="AM58" i="16" s="1"/>
  <c r="AN58" i="16" s="1"/>
  <c r="AP58" i="16" s="1"/>
  <c r="AF113" i="16"/>
  <c r="AM113" i="16" s="1"/>
  <c r="AN113" i="16" s="1"/>
  <c r="AP113" i="16" s="1"/>
  <c r="AF109" i="16"/>
  <c r="AM109" i="16" s="1"/>
  <c r="AN109" i="16" s="1"/>
  <c r="AP109" i="16" s="1"/>
  <c r="AF183" i="16"/>
  <c r="AM183" i="16" s="1"/>
  <c r="AN183" i="16" s="1"/>
  <c r="AP183" i="16" s="1"/>
  <c r="AF68" i="16"/>
  <c r="AM68" i="16" s="1"/>
  <c r="AN68" i="16" s="1"/>
  <c r="AP68" i="16" s="1"/>
  <c r="AF142" i="16"/>
  <c r="AM142" i="16" s="1"/>
  <c r="AN142" i="16" s="1"/>
  <c r="AP142" i="16" s="1"/>
  <c r="AF28" i="16"/>
  <c r="AM28" i="16" s="1"/>
  <c r="AN28" i="16" s="1"/>
  <c r="AP28" i="16" s="1"/>
  <c r="AF59" i="16"/>
  <c r="AM59" i="16" s="1"/>
  <c r="AN59" i="16" s="1"/>
  <c r="AP59" i="16" s="1"/>
  <c r="AF60" i="16"/>
  <c r="AM60" i="16" s="1"/>
  <c r="AN60" i="16" s="1"/>
  <c r="AP60" i="16" s="1"/>
  <c r="AF44" i="16"/>
  <c r="AM44" i="16" s="1"/>
  <c r="AN44" i="16" s="1"/>
  <c r="AP44" i="16" s="1"/>
  <c r="AF42" i="16"/>
  <c r="AM42" i="16" s="1"/>
  <c r="AN42" i="16" s="1"/>
  <c r="AP42" i="16" s="1"/>
  <c r="AF103" i="16"/>
  <c r="AM103" i="16" s="1"/>
  <c r="AN103" i="16" s="1"/>
  <c r="AP103" i="16" s="1"/>
  <c r="AF62" i="16"/>
  <c r="AM62" i="16" s="1"/>
  <c r="AN62" i="16" s="1"/>
  <c r="AP62" i="16" s="1"/>
  <c r="AF43" i="16"/>
  <c r="AM43" i="16" s="1"/>
  <c r="AN43" i="16" s="1"/>
  <c r="AP43" i="16" s="1"/>
  <c r="AF30" i="16"/>
  <c r="AM30" i="16" s="1"/>
  <c r="AN30" i="16" s="1"/>
  <c r="AP30" i="16" s="1"/>
  <c r="AF82" i="16"/>
  <c r="AM82" i="16" s="1"/>
  <c r="AN82" i="16" s="1"/>
  <c r="AP82" i="16" s="1"/>
  <c r="AF157" i="16"/>
  <c r="AM157" i="16" s="1"/>
  <c r="AN157" i="16" s="1"/>
  <c r="AP157" i="16" s="1"/>
  <c r="AF78" i="16"/>
  <c r="AM78" i="16" s="1"/>
  <c r="AN78" i="16" s="1"/>
  <c r="AP78" i="16" s="1"/>
  <c r="AF123" i="16"/>
  <c r="AM123" i="16" s="1"/>
  <c r="AN123" i="16" s="1"/>
  <c r="AP123" i="16" s="1"/>
  <c r="AF37" i="16"/>
  <c r="AM37" i="16" s="1"/>
  <c r="AN37" i="16" s="1"/>
  <c r="AP37" i="16" s="1"/>
  <c r="AF75" i="16"/>
  <c r="AM75" i="16" s="1"/>
  <c r="AN75" i="16" s="1"/>
  <c r="AP75" i="16" s="1"/>
  <c r="AF131" i="16"/>
  <c r="AM131" i="16" s="1"/>
  <c r="AN131" i="16" s="1"/>
  <c r="AP131" i="16" s="1"/>
  <c r="AF85" i="16"/>
  <c r="AM85" i="16" s="1"/>
  <c r="AN85" i="16" s="1"/>
  <c r="AP85" i="16" s="1"/>
  <c r="AF99" i="16"/>
  <c r="AM99" i="16" s="1"/>
  <c r="AN99" i="16" s="1"/>
  <c r="AP99" i="16" s="1"/>
  <c r="AF108" i="16"/>
  <c r="AM108" i="16" s="1"/>
  <c r="AN108" i="16" s="1"/>
  <c r="AP108" i="16" s="1"/>
  <c r="AF133" i="16"/>
  <c r="AM133" i="16" s="1"/>
  <c r="AN133" i="16" s="1"/>
  <c r="AP133" i="16" s="1"/>
  <c r="AF165" i="16"/>
  <c r="AM165" i="16" s="1"/>
  <c r="AN165" i="16" s="1"/>
  <c r="AP165" i="16" s="1"/>
  <c r="AF118" i="16"/>
  <c r="AM118" i="16" s="1"/>
  <c r="AN118" i="16" s="1"/>
  <c r="AP118" i="16" s="1"/>
  <c r="AF135" i="16"/>
  <c r="AM135" i="16" s="1"/>
  <c r="AN135" i="16" s="1"/>
  <c r="AP135" i="16" s="1"/>
  <c r="AF144" i="16"/>
  <c r="AM144" i="16" s="1"/>
  <c r="AN144" i="16" s="1"/>
  <c r="AP144" i="16" s="1"/>
  <c r="AF151" i="16"/>
  <c r="AM151" i="16" s="1"/>
  <c r="AN151" i="16" s="1"/>
  <c r="AP151" i="16" s="1"/>
  <c r="AF160" i="16"/>
  <c r="AM160" i="16" s="1"/>
  <c r="AN160" i="16" s="1"/>
  <c r="AP160" i="16" s="1"/>
  <c r="AF191" i="16"/>
  <c r="AM191" i="16" s="1"/>
  <c r="AN191" i="16" s="1"/>
  <c r="AP191" i="16" s="1"/>
  <c r="AF174" i="16"/>
  <c r="AM174" i="16" s="1"/>
  <c r="AN174" i="16" s="1"/>
  <c r="AP174" i="16" s="1"/>
  <c r="AF194" i="16"/>
  <c r="AM194" i="16" s="1"/>
  <c r="AN194" i="16" s="1"/>
  <c r="AP194" i="16" s="1"/>
  <c r="AF146" i="16"/>
  <c r="AM146" i="16" s="1"/>
  <c r="AN146" i="16" s="1"/>
  <c r="AP146" i="16" s="1"/>
  <c r="AF101" i="16"/>
  <c r="AM101" i="16" s="1"/>
  <c r="AN101" i="16" s="1"/>
  <c r="AP101" i="16" s="1"/>
  <c r="AF76" i="16"/>
  <c r="AM76" i="16" s="1"/>
  <c r="AN76" i="16" s="1"/>
  <c r="AP76" i="16" s="1"/>
  <c r="AF80" i="16"/>
  <c r="AM80" i="16" s="1"/>
  <c r="AN80" i="16" s="1"/>
  <c r="AP80" i="16" s="1"/>
  <c r="AC17" i="16"/>
  <c r="AF27" i="16"/>
  <c r="AQ41" i="16" l="1"/>
  <c r="AM114" i="16"/>
  <c r="AN114" i="16" s="1"/>
  <c r="AP114" i="16" s="1"/>
  <c r="AN81" i="16"/>
  <c r="AN98" i="16"/>
  <c r="AQ123" i="16"/>
  <c r="AQ68" i="16"/>
  <c r="AQ141" i="16"/>
  <c r="AQ178" i="16"/>
  <c r="AQ180" i="16"/>
  <c r="AQ143" i="16"/>
  <c r="AQ102" i="16"/>
  <c r="AQ34" i="16"/>
  <c r="AQ138" i="16"/>
  <c r="AQ161" i="16"/>
  <c r="AQ51" i="16"/>
  <c r="AQ181" i="16"/>
  <c r="AQ149" i="16"/>
  <c r="AQ94" i="16"/>
  <c r="AQ54" i="16"/>
  <c r="AQ56" i="16"/>
  <c r="AQ125" i="16"/>
  <c r="AQ182" i="16"/>
  <c r="AQ184" i="16"/>
  <c r="AQ122" i="16"/>
  <c r="AQ124" i="16"/>
  <c r="AQ36" i="16"/>
  <c r="AQ101" i="16"/>
  <c r="AQ135" i="16"/>
  <c r="AQ75" i="16"/>
  <c r="AQ62" i="16"/>
  <c r="AQ79" i="16"/>
  <c r="AQ190" i="16"/>
  <c r="AQ129" i="16"/>
  <c r="AQ159" i="16"/>
  <c r="AQ49" i="16"/>
  <c r="AQ50" i="16"/>
  <c r="AQ32" i="16"/>
  <c r="AQ39" i="16"/>
  <c r="AQ38" i="16"/>
  <c r="AQ187" i="16"/>
  <c r="AQ126" i="16"/>
  <c r="AQ45" i="16"/>
  <c r="AQ46" i="16"/>
  <c r="AQ66" i="16"/>
  <c r="AQ120" i="16"/>
  <c r="AQ140" i="16"/>
  <c r="AQ189" i="16"/>
  <c r="AQ111" i="16"/>
  <c r="AQ74" i="16"/>
  <c r="AQ97" i="16"/>
  <c r="AQ194" i="16"/>
  <c r="AQ85" i="16"/>
  <c r="AQ59" i="16"/>
  <c r="AQ48" i="16"/>
  <c r="AQ69" i="16"/>
  <c r="AQ83" i="16"/>
  <c r="AQ166" i="16"/>
  <c r="AQ165" i="16"/>
  <c r="AQ42" i="16"/>
  <c r="AQ80" i="16"/>
  <c r="AQ151" i="16"/>
  <c r="AQ30" i="16"/>
  <c r="AQ58" i="16"/>
  <c r="AQ53" i="16"/>
  <c r="AQ173" i="16"/>
  <c r="AQ107" i="16"/>
  <c r="AQ132" i="16"/>
  <c r="AQ92" i="16"/>
  <c r="AQ104" i="16"/>
  <c r="AQ148" i="16"/>
  <c r="AQ77" i="16"/>
  <c r="AQ90" i="16"/>
  <c r="AQ195" i="16"/>
  <c r="AQ87" i="16"/>
  <c r="AQ31" i="16"/>
  <c r="AQ167" i="16"/>
  <c r="AQ176" i="16"/>
  <c r="AQ35" i="16"/>
  <c r="AQ177" i="16"/>
  <c r="AQ191" i="16"/>
  <c r="AQ108" i="16"/>
  <c r="AQ157" i="16"/>
  <c r="AQ169" i="16"/>
  <c r="AQ109" i="16"/>
  <c r="AQ57" i="16"/>
  <c r="AQ105" i="16"/>
  <c r="AQ155" i="16"/>
  <c r="AQ147" i="16"/>
  <c r="AQ192" i="16"/>
  <c r="AQ175" i="16"/>
  <c r="AQ179" i="16"/>
  <c r="AQ121" i="16"/>
  <c r="AQ168" i="16"/>
  <c r="AQ106" i="16"/>
  <c r="AQ139" i="16"/>
  <c r="AQ117" i="16"/>
  <c r="AQ150" i="16"/>
  <c r="AQ52" i="16"/>
  <c r="AQ154" i="16"/>
  <c r="AQ152" i="16"/>
  <c r="AQ185" i="16"/>
  <c r="AQ188" i="16"/>
  <c r="AQ112" i="16"/>
  <c r="AQ84" i="16"/>
  <c r="AQ156" i="16"/>
  <c r="AQ134" i="16"/>
  <c r="AQ64" i="16"/>
  <c r="AQ162" i="16"/>
  <c r="AQ86" i="16"/>
  <c r="AQ96" i="16"/>
  <c r="AQ158" i="16"/>
  <c r="AQ172" i="16"/>
  <c r="AQ137" i="16"/>
  <c r="AQ93" i="16"/>
  <c r="AQ29" i="16"/>
  <c r="AQ65" i="16"/>
  <c r="AQ115" i="16"/>
  <c r="AQ67" i="16"/>
  <c r="AQ47" i="16"/>
  <c r="AQ170" i="16"/>
  <c r="AQ127" i="16"/>
  <c r="AQ33" i="16"/>
  <c r="AQ63" i="16"/>
  <c r="AQ71" i="16"/>
  <c r="AQ95" i="16"/>
  <c r="AQ88" i="16"/>
  <c r="AQ145" i="16"/>
  <c r="AQ164" i="16"/>
  <c r="AQ72" i="16"/>
  <c r="AQ193" i="16"/>
  <c r="AQ153" i="16"/>
  <c r="AQ110" i="16"/>
  <c r="AQ91" i="16"/>
  <c r="AQ61" i="16"/>
  <c r="AQ55" i="16"/>
  <c r="AQ186" i="16"/>
  <c r="AQ130" i="16"/>
  <c r="AQ116" i="16"/>
  <c r="AQ73" i="16"/>
  <c r="AQ163" i="16"/>
  <c r="AQ171" i="16"/>
  <c r="AQ40" i="16"/>
  <c r="AQ100" i="16"/>
  <c r="AQ119" i="16"/>
  <c r="AQ76" i="16"/>
  <c r="AQ146" i="16"/>
  <c r="AQ174" i="16"/>
  <c r="AQ160" i="16"/>
  <c r="AQ144" i="16"/>
  <c r="AQ118" i="16"/>
  <c r="AQ133" i="16"/>
  <c r="AQ99" i="16"/>
  <c r="AQ131" i="16"/>
  <c r="AQ37" i="16"/>
  <c r="AQ78" i="16"/>
  <c r="AQ82" i="16"/>
  <c r="AQ43" i="16"/>
  <c r="AQ103" i="16"/>
  <c r="AQ44" i="16"/>
  <c r="AQ60" i="16"/>
  <c r="AQ28" i="16"/>
  <c r="AQ142" i="16"/>
  <c r="AQ183" i="16"/>
  <c r="AQ113" i="16"/>
  <c r="AQ128" i="16"/>
  <c r="AQ136" i="16"/>
  <c r="AQ89" i="16"/>
  <c r="AQ70" i="16"/>
  <c r="AD17" i="16"/>
  <c r="AM27" i="16"/>
  <c r="AN27" i="16" s="1"/>
  <c r="AP27" i="16" s="1"/>
  <c r="AQ98" i="16" l="1"/>
  <c r="AP98" i="16"/>
  <c r="AQ81" i="16"/>
  <c r="AP81" i="16"/>
  <c r="AR142" i="16"/>
  <c r="AS142" i="16" s="1"/>
  <c r="AR82" i="16"/>
  <c r="AS82" i="16" s="1"/>
  <c r="AR118" i="16"/>
  <c r="AS118" i="16" s="1"/>
  <c r="AR61" i="16"/>
  <c r="AS61" i="16" s="1"/>
  <c r="AR33" i="16"/>
  <c r="AS33" i="16" s="1"/>
  <c r="AR65" i="16"/>
  <c r="AS65" i="16" s="1"/>
  <c r="AR172" i="16"/>
  <c r="AS172" i="16" s="1"/>
  <c r="AR162" i="16"/>
  <c r="AS162" i="16" s="1"/>
  <c r="AR152" i="16"/>
  <c r="AS152" i="16" s="1"/>
  <c r="AR106" i="16"/>
  <c r="AS106" i="16" s="1"/>
  <c r="AR92" i="16"/>
  <c r="AS92" i="16" s="1"/>
  <c r="AR30" i="16"/>
  <c r="AS30" i="16" s="1"/>
  <c r="AR66" i="16"/>
  <c r="AS66" i="16" s="1"/>
  <c r="AR50" i="16"/>
  <c r="AS50" i="16" s="1"/>
  <c r="AR62" i="16"/>
  <c r="AS62" i="16" s="1"/>
  <c r="AR122" i="16"/>
  <c r="AS122" i="16" s="1"/>
  <c r="AR56" i="16"/>
  <c r="AS56" i="16" s="1"/>
  <c r="AR34" i="16"/>
  <c r="AS34" i="16" s="1"/>
  <c r="AR178" i="16"/>
  <c r="AS178" i="16" s="1"/>
  <c r="AR68" i="16"/>
  <c r="AS68" i="16" s="1"/>
  <c r="AR183" i="16"/>
  <c r="AS183" i="16" s="1"/>
  <c r="AR43" i="16"/>
  <c r="AS43" i="16" s="1"/>
  <c r="AR131" i="16"/>
  <c r="AS131" i="16" s="1"/>
  <c r="AR133" i="16"/>
  <c r="AS133" i="16" s="1"/>
  <c r="AR171" i="16"/>
  <c r="AS171" i="16" s="1"/>
  <c r="AR55" i="16"/>
  <c r="AS55" i="16" s="1"/>
  <c r="AR91" i="16"/>
  <c r="AS91" i="16" s="1"/>
  <c r="AR153" i="16"/>
  <c r="AS153" i="16" s="1"/>
  <c r="AR145" i="16"/>
  <c r="AS145" i="16" s="1"/>
  <c r="AR95" i="16"/>
  <c r="AS95" i="16" s="1"/>
  <c r="AR63" i="16"/>
  <c r="AS63" i="16" s="1"/>
  <c r="AR127" i="16"/>
  <c r="AS127" i="16" s="1"/>
  <c r="AR47" i="16"/>
  <c r="AS47" i="16" s="1"/>
  <c r="AR115" i="16"/>
  <c r="AS115" i="16" s="1"/>
  <c r="AR137" i="16"/>
  <c r="AS137" i="16" s="1"/>
  <c r="AR185" i="16"/>
  <c r="AS185" i="16" s="1"/>
  <c r="AR139" i="16"/>
  <c r="AS139" i="16" s="1"/>
  <c r="AR179" i="16"/>
  <c r="AS179" i="16" s="1"/>
  <c r="AR155" i="16"/>
  <c r="AS155" i="16" s="1"/>
  <c r="AR169" i="16"/>
  <c r="AS169" i="16" s="1"/>
  <c r="AR177" i="16"/>
  <c r="AS177" i="16" s="1"/>
  <c r="AR31" i="16"/>
  <c r="AS31" i="16" s="1"/>
  <c r="AR195" i="16"/>
  <c r="AS195" i="16" s="1"/>
  <c r="AR173" i="16"/>
  <c r="AS173" i="16" s="1"/>
  <c r="AR151" i="16"/>
  <c r="AS151" i="16" s="1"/>
  <c r="AR69" i="16"/>
  <c r="AS69" i="16" s="1"/>
  <c r="AR59" i="16"/>
  <c r="AS59" i="16" s="1"/>
  <c r="AR189" i="16"/>
  <c r="AS189" i="16" s="1"/>
  <c r="AR129" i="16"/>
  <c r="AS129" i="16" s="1"/>
  <c r="AR79" i="16"/>
  <c r="AS79" i="16" s="1"/>
  <c r="AR75" i="16"/>
  <c r="AS75" i="16" s="1"/>
  <c r="AR101" i="16"/>
  <c r="AS101" i="16" s="1"/>
  <c r="AR125" i="16"/>
  <c r="AS125" i="16" s="1"/>
  <c r="AR149" i="16"/>
  <c r="AS149" i="16" s="1"/>
  <c r="AR51" i="16"/>
  <c r="AS51" i="16" s="1"/>
  <c r="AR141" i="16"/>
  <c r="AS141" i="16" s="1"/>
  <c r="AR123" i="16"/>
  <c r="AS123" i="16" s="1"/>
  <c r="AR136" i="16"/>
  <c r="AS136" i="16" s="1"/>
  <c r="AR60" i="16"/>
  <c r="AS60" i="16" s="1"/>
  <c r="AR146" i="16"/>
  <c r="AS146" i="16" s="1"/>
  <c r="AR116" i="16"/>
  <c r="AS116" i="16" s="1"/>
  <c r="AR110" i="16"/>
  <c r="AS110" i="16" s="1"/>
  <c r="AR88" i="16"/>
  <c r="AS88" i="16" s="1"/>
  <c r="AR170" i="16"/>
  <c r="AS170" i="16" s="1"/>
  <c r="AR96" i="16"/>
  <c r="AS96" i="16" s="1"/>
  <c r="AR84" i="16"/>
  <c r="AS84" i="16" s="1"/>
  <c r="AR52" i="16"/>
  <c r="AS52" i="16" s="1"/>
  <c r="AR90" i="16"/>
  <c r="AS90" i="16" s="1"/>
  <c r="AR80" i="16"/>
  <c r="AS80" i="16" s="1"/>
  <c r="AR97" i="16"/>
  <c r="AS97" i="16" s="1"/>
  <c r="AR140" i="16"/>
  <c r="AS140" i="16" s="1"/>
  <c r="AR45" i="16"/>
  <c r="AS45" i="16" s="1"/>
  <c r="AR36" i="16"/>
  <c r="AS36" i="16" s="1"/>
  <c r="AR182" i="16"/>
  <c r="AS182" i="16" s="1"/>
  <c r="AR94" i="16"/>
  <c r="AS94" i="16" s="1"/>
  <c r="AR98" i="16"/>
  <c r="AS98" i="16" s="1"/>
  <c r="AR89" i="16"/>
  <c r="AS89" i="16" s="1"/>
  <c r="AR128" i="16"/>
  <c r="AS128" i="16" s="1"/>
  <c r="AR28" i="16"/>
  <c r="AS28" i="16" s="1"/>
  <c r="AR44" i="16"/>
  <c r="AS44" i="16" s="1"/>
  <c r="AR78" i="16"/>
  <c r="AS78" i="16" s="1"/>
  <c r="AR144" i="16"/>
  <c r="AS144" i="16" s="1"/>
  <c r="AR174" i="16"/>
  <c r="AS174" i="16" s="1"/>
  <c r="AR76" i="16"/>
  <c r="AS76" i="16" s="1"/>
  <c r="AR100" i="16"/>
  <c r="AS100" i="16" s="1"/>
  <c r="AR73" i="16"/>
  <c r="AS73" i="16" s="1"/>
  <c r="AR130" i="16"/>
  <c r="AS130" i="16" s="1"/>
  <c r="AR72" i="16"/>
  <c r="AS72" i="16" s="1"/>
  <c r="AR29" i="16"/>
  <c r="AS29" i="16" s="1"/>
  <c r="AR158" i="16"/>
  <c r="AS158" i="16" s="1"/>
  <c r="AR86" i="16"/>
  <c r="AS86" i="16" s="1"/>
  <c r="AR64" i="16"/>
  <c r="AS64" i="16" s="1"/>
  <c r="AR156" i="16"/>
  <c r="AS156" i="16" s="1"/>
  <c r="AR112" i="16"/>
  <c r="AS112" i="16" s="1"/>
  <c r="AR154" i="16"/>
  <c r="AS154" i="16" s="1"/>
  <c r="AR150" i="16"/>
  <c r="AS150" i="16" s="1"/>
  <c r="AR168" i="16"/>
  <c r="AS168" i="16" s="1"/>
  <c r="AR192" i="16"/>
  <c r="AS192" i="16" s="1"/>
  <c r="AR57" i="16"/>
  <c r="AS57" i="16" s="1"/>
  <c r="AR108" i="16"/>
  <c r="AS108" i="16" s="1"/>
  <c r="AR176" i="16"/>
  <c r="AS176" i="16" s="1"/>
  <c r="AR77" i="16"/>
  <c r="AS77" i="16" s="1"/>
  <c r="AR104" i="16"/>
  <c r="AS104" i="16" s="1"/>
  <c r="AR132" i="16"/>
  <c r="AS132" i="16" s="1"/>
  <c r="AR58" i="16"/>
  <c r="AS58" i="16" s="1"/>
  <c r="AR42" i="16"/>
  <c r="AS42" i="16" s="1"/>
  <c r="AR166" i="16"/>
  <c r="AS166" i="16" s="1"/>
  <c r="AR194" i="16"/>
  <c r="AS194" i="16" s="1"/>
  <c r="AR74" i="16"/>
  <c r="AS74" i="16" s="1"/>
  <c r="AR120" i="16"/>
  <c r="AS120" i="16" s="1"/>
  <c r="AR46" i="16"/>
  <c r="AS46" i="16" s="1"/>
  <c r="AR126" i="16"/>
  <c r="AS126" i="16" s="1"/>
  <c r="AR38" i="16"/>
  <c r="AS38" i="16" s="1"/>
  <c r="AR32" i="16"/>
  <c r="AS32" i="16" s="1"/>
  <c r="AR49" i="16"/>
  <c r="AS49" i="16" s="1"/>
  <c r="AR124" i="16"/>
  <c r="AS124" i="16" s="1"/>
  <c r="AR184" i="16"/>
  <c r="AS184" i="16" s="1"/>
  <c r="AR54" i="16"/>
  <c r="AS54" i="16" s="1"/>
  <c r="AR138" i="16"/>
  <c r="AS138" i="16" s="1"/>
  <c r="AR102" i="16"/>
  <c r="AS102" i="16" s="1"/>
  <c r="AR180" i="16"/>
  <c r="AS180" i="16" s="1"/>
  <c r="AR70" i="16"/>
  <c r="AS70" i="16" s="1"/>
  <c r="AR160" i="16"/>
  <c r="AS160" i="16" s="1"/>
  <c r="AR40" i="16"/>
  <c r="AS40" i="16" s="1"/>
  <c r="AR186" i="16"/>
  <c r="AS186" i="16" s="1"/>
  <c r="AR164" i="16"/>
  <c r="AS164" i="16" s="1"/>
  <c r="AR93" i="16"/>
  <c r="AS93" i="16" s="1"/>
  <c r="AR134" i="16"/>
  <c r="AS134" i="16" s="1"/>
  <c r="AR188" i="16"/>
  <c r="AS188" i="16" s="1"/>
  <c r="AR148" i="16"/>
  <c r="AS148" i="16" s="1"/>
  <c r="AR48" i="16"/>
  <c r="AS48" i="16" s="1"/>
  <c r="AR190" i="16"/>
  <c r="AS190" i="16" s="1"/>
  <c r="AR113" i="16"/>
  <c r="AS113" i="16" s="1"/>
  <c r="AR103" i="16"/>
  <c r="AS103" i="16" s="1"/>
  <c r="AR37" i="16"/>
  <c r="AS37" i="16" s="1"/>
  <c r="AR99" i="16"/>
  <c r="AS99" i="16" s="1"/>
  <c r="AR119" i="16"/>
  <c r="AS119" i="16" s="1"/>
  <c r="AR163" i="16"/>
  <c r="AS163" i="16" s="1"/>
  <c r="AR193" i="16"/>
  <c r="AS193" i="16" s="1"/>
  <c r="AR71" i="16"/>
  <c r="AS71" i="16" s="1"/>
  <c r="AR67" i="16"/>
  <c r="AS67" i="16" s="1"/>
  <c r="AR117" i="16"/>
  <c r="AS117" i="16" s="1"/>
  <c r="AR121" i="16"/>
  <c r="AS121" i="16" s="1"/>
  <c r="AR175" i="16"/>
  <c r="AS175" i="16" s="1"/>
  <c r="AR147" i="16"/>
  <c r="AS147" i="16" s="1"/>
  <c r="AR105" i="16"/>
  <c r="AS105" i="16" s="1"/>
  <c r="AR109" i="16"/>
  <c r="AS109" i="16" s="1"/>
  <c r="AR157" i="16"/>
  <c r="AS157" i="16" s="1"/>
  <c r="AR191" i="16"/>
  <c r="AS191" i="16" s="1"/>
  <c r="AR35" i="16"/>
  <c r="AS35" i="16" s="1"/>
  <c r="AR167" i="16"/>
  <c r="AS167" i="16" s="1"/>
  <c r="AR87" i="16"/>
  <c r="AS87" i="16" s="1"/>
  <c r="AR107" i="16"/>
  <c r="AS107" i="16" s="1"/>
  <c r="AR53" i="16"/>
  <c r="AS53" i="16" s="1"/>
  <c r="AR165" i="16"/>
  <c r="AS165" i="16" s="1"/>
  <c r="AR83" i="16"/>
  <c r="AS83" i="16" s="1"/>
  <c r="AR85" i="16"/>
  <c r="AS85" i="16" s="1"/>
  <c r="AR111" i="16"/>
  <c r="AS111" i="16" s="1"/>
  <c r="AR187" i="16"/>
  <c r="AS187" i="16" s="1"/>
  <c r="AR39" i="16"/>
  <c r="AS39" i="16" s="1"/>
  <c r="AR159" i="16"/>
  <c r="AS159" i="16" s="1"/>
  <c r="AR135" i="16"/>
  <c r="AS135" i="16" s="1"/>
  <c r="AR181" i="16"/>
  <c r="AS181" i="16" s="1"/>
  <c r="AR161" i="16"/>
  <c r="AS161" i="16" s="1"/>
  <c r="AR143" i="16"/>
  <c r="AS143" i="16" s="1"/>
  <c r="AR41" i="16"/>
  <c r="AS41" i="16" s="1"/>
  <c r="AQ114" i="16"/>
  <c r="AM17" i="16"/>
  <c r="AR81" i="16" l="1"/>
  <c r="AS81" i="16" s="1"/>
  <c r="AR114" i="16"/>
  <c r="AS114" i="16" s="1"/>
  <c r="AP17" i="16"/>
  <c r="AQ27" i="16"/>
  <c r="AN17" i="16"/>
  <c r="AR27" i="16" l="1"/>
  <c r="AS27" i="16" s="1"/>
  <c r="AR17" i="16" l="1"/>
  <c r="AS17" i="16"/>
</calcChain>
</file>

<file path=xl/sharedStrings.xml><?xml version="1.0" encoding="utf-8"?>
<sst xmlns="http://schemas.openxmlformats.org/spreadsheetml/2006/main" count="383" uniqueCount="336">
  <si>
    <t>Need Weighting Factor for Col 3:</t>
  </si>
  <si>
    <t>ENGL per Capita and MHI Threshold Factor for Col 8 &amp; Col 10:</t>
  </si>
  <si>
    <t>ENGL per Capita Weight for Col 11:</t>
  </si>
  <si>
    <t>MHI Weight for Col 11:</t>
  </si>
  <si>
    <t>Non-Alliance District Minimum Aid Ratio for use in Column 12:</t>
  </si>
  <si>
    <t>Alliance District Minimum Aid Ratio for use in Column 12:</t>
  </si>
  <si>
    <t>Foundation for Column 17:</t>
  </si>
  <si>
    <t>2014-15 Non-Alliance District Phase-In Rate for Col 24:</t>
  </si>
  <si>
    <t>2014-15 Alliance District Phase-In Rate for Col 24:</t>
  </si>
  <si>
    <t>2014-15 Reform District Phase-In Rate for Col 24:</t>
  </si>
  <si>
    <t xml:space="preserve">Totals  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</si>
  <si>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</si>
  <si>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</si>
  <si>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</si>
  <si>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</si>
  <si>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</si>
  <si>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</si>
  <si>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</si>
  <si>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</si>
  <si>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</si>
  <si>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</si>
  <si>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</si>
  <si>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</si>
  <si>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</si>
  <si>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</si>
  <si>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</si>
  <si>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</si>
  <si>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</si>
  <si>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</si>
  <si>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</si>
  <si>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Median:</t>
  </si>
  <si>
    <t>(EEPC</t>
  </si>
  <si>
    <t>(MHI</t>
  </si>
  <si>
    <t>Base Aid Ratio</t>
  </si>
  <si>
    <t>Foundation:</t>
  </si>
  <si>
    <t>Preliminary</t>
  </si>
  <si>
    <t>Threshold:</t>
  </si>
  <si>
    <t>Wealth</t>
  </si>
  <si>
    <t>Regional</t>
  </si>
  <si>
    <t>(Item E)</t>
  </si>
  <si>
    <t>Free and</t>
  </si>
  <si>
    <t>Average</t>
  </si>
  <si>
    <t>Median</t>
  </si>
  <si>
    <t>Adjustment</t>
  </si>
  <si>
    <t>Students</t>
  </si>
  <si>
    <t>Number of</t>
  </si>
  <si>
    <t>District</t>
  </si>
  <si>
    <t>Reduced</t>
  </si>
  <si>
    <t>Free&amp;Reduced</t>
  </si>
  <si>
    <t>Need</t>
  </si>
  <si>
    <t>Equalized Net</t>
  </si>
  <si>
    <t>ECS ENGL</t>
  </si>
  <si>
    <t>Median x Item B)</t>
  </si>
  <si>
    <t>Household</t>
  </si>
  <si>
    <t>Factor</t>
  </si>
  <si>
    <t>Sent To</t>
  </si>
  <si>
    <t>Base Formula</t>
  </si>
  <si>
    <t>Fully Funded</t>
  </si>
  <si>
    <t>Alliance</t>
  </si>
  <si>
    <t>Resident</t>
  </si>
  <si>
    <t>Eligibility</t>
  </si>
  <si>
    <t>Weight</t>
  </si>
  <si>
    <t>Grand List</t>
  </si>
  <si>
    <t>Total</t>
  </si>
  <si>
    <t>per Capita</t>
  </si>
  <si>
    <t>ENGL Adjustment Factor</t>
  </si>
  <si>
    <t>Income</t>
  </si>
  <si>
    <t>MHI Adjustment Factor</t>
  </si>
  <si>
    <t>Bonus</t>
  </si>
  <si>
    <t>Aid</t>
  </si>
  <si>
    <t>Grant</t>
  </si>
  <si>
    <t>PSD</t>
  </si>
  <si>
    <t>Town</t>
  </si>
  <si>
    <t>October</t>
  </si>
  <si>
    <t>ELL</t>
  </si>
  <si>
    <t>(Col 2 x</t>
  </si>
  <si>
    <t>(ECS ENGL)</t>
  </si>
  <si>
    <t>Population</t>
  </si>
  <si>
    <t>(EEPC)</t>
  </si>
  <si>
    <t>(MHI)</t>
  </si>
  <si>
    <t>Item C) +</t>
  </si>
  <si>
    <t>Grades</t>
  </si>
  <si>
    <t>ECS</t>
  </si>
  <si>
    <t>Districts</t>
  </si>
  <si>
    <t>Code</t>
  </si>
  <si>
    <t>Name</t>
  </si>
  <si>
    <t>Item A)</t>
  </si>
  <si>
    <t>Threshold)</t>
  </si>
  <si>
    <t>Andover</t>
  </si>
  <si>
    <t>Ansonia</t>
  </si>
  <si>
    <t>Ashford</t>
  </si>
  <si>
    <t>Avon</t>
  </si>
  <si>
    <t>Barkhamsted</t>
  </si>
  <si>
    <t>Beacon Falls</t>
  </si>
  <si>
    <t>Berlin</t>
  </si>
  <si>
    <t>Bethany</t>
  </si>
  <si>
    <t>Bethel</t>
  </si>
  <si>
    <t>Bethlehem</t>
  </si>
  <si>
    <t>Bloomfield</t>
  </si>
  <si>
    <t>Bolton</t>
  </si>
  <si>
    <t>Bozrah</t>
  </si>
  <si>
    <t>Branford</t>
  </si>
  <si>
    <t>Bridgeport</t>
  </si>
  <si>
    <t>Bridgewater</t>
  </si>
  <si>
    <t>Bristol</t>
  </si>
  <si>
    <t>Brookfield</t>
  </si>
  <si>
    <t>Brooklyn</t>
  </si>
  <si>
    <t>Burlington</t>
  </si>
  <si>
    <t>Canaan</t>
  </si>
  <si>
    <t>Canterbury</t>
  </si>
  <si>
    <t>Canton</t>
  </si>
  <si>
    <t>Chaplin</t>
  </si>
  <si>
    <t>Cheshire</t>
  </si>
  <si>
    <t>Chester</t>
  </si>
  <si>
    <t>Clinton</t>
  </si>
  <si>
    <t>Colchester</t>
  </si>
  <si>
    <t>Colebrook</t>
  </si>
  <si>
    <t>Columbia</t>
  </si>
  <si>
    <t>Cornwall</t>
  </si>
  <si>
    <t>Coventry</t>
  </si>
  <si>
    <t>Cromwell</t>
  </si>
  <si>
    <t>Danbury</t>
  </si>
  <si>
    <t>Darien</t>
  </si>
  <si>
    <t>Deep River</t>
  </si>
  <si>
    <t>Derby</t>
  </si>
  <si>
    <t>Durham</t>
  </si>
  <si>
    <t>Eastford</t>
  </si>
  <si>
    <t>East Granby</t>
  </si>
  <si>
    <t>East Haddam</t>
  </si>
  <si>
    <t>East Hampton</t>
  </si>
  <si>
    <t>East Hartford</t>
  </si>
  <si>
    <t>East Haven</t>
  </si>
  <si>
    <t>East Lyme</t>
  </si>
  <si>
    <t>Easton</t>
  </si>
  <si>
    <t>East Windsor</t>
  </si>
  <si>
    <t>Ellington</t>
  </si>
  <si>
    <t>Enfield</t>
  </si>
  <si>
    <t>Essex</t>
  </si>
  <si>
    <t>Fairfield</t>
  </si>
  <si>
    <t>Farmington</t>
  </si>
  <si>
    <t>Franklin</t>
  </si>
  <si>
    <t>Glastonbury</t>
  </si>
  <si>
    <t>Goshen</t>
  </si>
  <si>
    <t>Granby</t>
  </si>
  <si>
    <t>Greenwich</t>
  </si>
  <si>
    <t>Griswold</t>
  </si>
  <si>
    <t>Groton</t>
  </si>
  <si>
    <t>Guilford</t>
  </si>
  <si>
    <t>Haddam</t>
  </si>
  <si>
    <t>Hamden</t>
  </si>
  <si>
    <t>Hampton</t>
  </si>
  <si>
    <t>Hartford</t>
  </si>
  <si>
    <t>Hartland</t>
  </si>
  <si>
    <t>Harwinton</t>
  </si>
  <si>
    <t>Hebron</t>
  </si>
  <si>
    <t>Kent</t>
  </si>
  <si>
    <t>Killingly</t>
  </si>
  <si>
    <t>Killingworth</t>
  </si>
  <si>
    <t>Lebanon</t>
  </si>
  <si>
    <t>Ledyard</t>
  </si>
  <si>
    <t>Lisbon</t>
  </si>
  <si>
    <t>Litchfield</t>
  </si>
  <si>
    <t>Lyme</t>
  </si>
  <si>
    <t>Madison</t>
  </si>
  <si>
    <t>Manchester</t>
  </si>
  <si>
    <t>Mansfield</t>
  </si>
  <si>
    <t>Marlborough</t>
  </si>
  <si>
    <t>Meriden</t>
  </si>
  <si>
    <t>Middlebury</t>
  </si>
  <si>
    <t>Middlefield</t>
  </si>
  <si>
    <t>Middletown</t>
  </si>
  <si>
    <t>Milford</t>
  </si>
  <si>
    <t>Monroe</t>
  </si>
  <si>
    <t>Montville</t>
  </si>
  <si>
    <t>Morris</t>
  </si>
  <si>
    <t>Naugatuck</t>
  </si>
  <si>
    <t>New Britain</t>
  </si>
  <si>
    <t>New Canaan</t>
  </si>
  <si>
    <t>New Fairfield</t>
  </si>
  <si>
    <t>New Hartford</t>
  </si>
  <si>
    <t>New Haven</t>
  </si>
  <si>
    <t>Newington</t>
  </si>
  <si>
    <t>New London</t>
  </si>
  <si>
    <t>New Milford</t>
  </si>
  <si>
    <t>Newtown</t>
  </si>
  <si>
    <t>Norfolk</t>
  </si>
  <si>
    <t>North Branford</t>
  </si>
  <si>
    <t>North Canaan</t>
  </si>
  <si>
    <t>North Haven</t>
  </si>
  <si>
    <t>North Stonington</t>
  </si>
  <si>
    <t>Norwalk</t>
  </si>
  <si>
    <t>Norwich</t>
  </si>
  <si>
    <t>Old Lyme</t>
  </si>
  <si>
    <t>Old Saybrook</t>
  </si>
  <si>
    <t>Orange</t>
  </si>
  <si>
    <t>Oxford</t>
  </si>
  <si>
    <t>Plainfield</t>
  </si>
  <si>
    <t>Plainville</t>
  </si>
  <si>
    <t>Plymouth</t>
  </si>
  <si>
    <t>Pomfret</t>
  </si>
  <si>
    <t>Portland</t>
  </si>
  <si>
    <t>Preston</t>
  </si>
  <si>
    <t>Prospect</t>
  </si>
  <si>
    <t>Putnam</t>
  </si>
  <si>
    <t>Redding</t>
  </si>
  <si>
    <t>Ridgefield</t>
  </si>
  <si>
    <t>Rocky Hill</t>
  </si>
  <si>
    <t>Roxbury</t>
  </si>
  <si>
    <t>Salem</t>
  </si>
  <si>
    <t>Salisbury</t>
  </si>
  <si>
    <t>Scotland</t>
  </si>
  <si>
    <t>Seymour</t>
  </si>
  <si>
    <t>Sharon</t>
  </si>
  <si>
    <t>Shelton</t>
  </si>
  <si>
    <t>Sherman</t>
  </si>
  <si>
    <t>Simsbury</t>
  </si>
  <si>
    <t>Somers</t>
  </si>
  <si>
    <t>Southbury</t>
  </si>
  <si>
    <t>Southington</t>
  </si>
  <si>
    <t>South Windsor</t>
  </si>
  <si>
    <t>Sprague</t>
  </si>
  <si>
    <t>Stafford</t>
  </si>
  <si>
    <t>Stamford</t>
  </si>
  <si>
    <t>Sterling</t>
  </si>
  <si>
    <t>Stonington</t>
  </si>
  <si>
    <t>Stratford</t>
  </si>
  <si>
    <t>Suffield</t>
  </si>
  <si>
    <t>Thomaston</t>
  </si>
  <si>
    <t>Thompson</t>
  </si>
  <si>
    <t>Tolland</t>
  </si>
  <si>
    <t>Torrington</t>
  </si>
  <si>
    <t>Trumbull</t>
  </si>
  <si>
    <t>Union</t>
  </si>
  <si>
    <t>Vernon</t>
  </si>
  <si>
    <t>Voluntown</t>
  </si>
  <si>
    <t>Wallingford</t>
  </si>
  <si>
    <t>Warren</t>
  </si>
  <si>
    <t>Washington</t>
  </si>
  <si>
    <t>Waterbury</t>
  </si>
  <si>
    <t>Waterford</t>
  </si>
  <si>
    <t>Watertown</t>
  </si>
  <si>
    <t>Westbrook</t>
  </si>
  <si>
    <t>West Hartford</t>
  </si>
  <si>
    <t>West Haven</t>
  </si>
  <si>
    <t>Weston</t>
  </si>
  <si>
    <t>Westport</t>
  </si>
  <si>
    <t>Wethersfield</t>
  </si>
  <si>
    <t>Willington</t>
  </si>
  <si>
    <t>Wilton</t>
  </si>
  <si>
    <t>Winchester</t>
  </si>
  <si>
    <t>Windham</t>
  </si>
  <si>
    <t>Windsor</t>
  </si>
  <si>
    <t>Windsor Locks</t>
  </si>
  <si>
    <t>Wolcott</t>
  </si>
  <si>
    <t>Woodbridge</t>
  </si>
  <si>
    <t>Woodbury</t>
  </si>
  <si>
    <t>Woodstock</t>
  </si>
  <si>
    <t>Concentrated</t>
  </si>
  <si>
    <t>PIC</t>
  </si>
  <si>
    <t>Poverty</t>
  </si>
  <si>
    <t>Entitlement</t>
  </si>
  <si>
    <t xml:space="preserve">Grant </t>
  </si>
  <si>
    <t>Greater</t>
  </si>
  <si>
    <t>Than Base</t>
  </si>
  <si>
    <t>(Yes/No)</t>
  </si>
  <si>
    <t>Adjustment % for Districts who are Fully Funded:</t>
  </si>
  <si>
    <t>Adjustment % for Districts who are not Fully Funded:</t>
  </si>
  <si>
    <t>Phase-In</t>
  </si>
  <si>
    <t>Amount</t>
  </si>
  <si>
    <t>Fixed ECS</t>
  </si>
  <si>
    <t>2021-2022</t>
  </si>
  <si>
    <t>If FRPL % above 60%,</t>
  </si>
  <si>
    <t>% above 60%</t>
  </si>
  <si>
    <t>at 60%</t>
  </si>
  <si>
    <t>(# students above 60%)</t>
  </si>
  <si>
    <t>(20)</t>
  </si>
  <si>
    <t>Endowed</t>
  </si>
  <si>
    <t>Academies</t>
  </si>
  <si>
    <t>Total Bonus &gt;&gt;&gt;</t>
  </si>
  <si>
    <t>x Foundation)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</si>
  <si>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</si>
  <si>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</si>
  <si>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</si>
  <si>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</si>
  <si>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</si>
  <si>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</si>
  <si>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</si>
  <si>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</si>
  <si>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</si>
  <si>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Portion of</t>
  </si>
  <si>
    <t>Need Students</t>
  </si>
  <si>
    <t xml:space="preserve">Portion of </t>
  </si>
  <si>
    <t>Free &amp;</t>
  </si>
  <si>
    <t>(Col 2 x .30)</t>
  </si>
  <si>
    <t xml:space="preserve">Net </t>
  </si>
  <si>
    <t>(Col 1 x .60)</t>
  </si>
  <si>
    <t>Excess</t>
  </si>
  <si>
    <t>(Greater of</t>
  </si>
  <si>
    <t>Col 1 - Col 4</t>
  </si>
  <si>
    <t>or 0)</t>
  </si>
  <si>
    <t>Total Need</t>
  </si>
  <si>
    <t>(Col 5 x .15)</t>
  </si>
  <si>
    <t>(Col 7 x .25)</t>
  </si>
  <si>
    <t>(Col 1 + Col 3</t>
  </si>
  <si>
    <t>+ Col 6 + Col 8)</t>
  </si>
  <si>
    <t xml:space="preserve">Base Aid </t>
  </si>
  <si>
    <t>Ratio Adjustment</t>
  </si>
  <si>
    <t>Ratio</t>
  </si>
  <si>
    <t>(30)</t>
  </si>
  <si>
    <t>(33)</t>
  </si>
  <si>
    <t>(Col 10 / Col 11)</t>
  </si>
  <si>
    <t>(Col 12 /</t>
  </si>
  <si>
    <t>(Col 14 /</t>
  </si>
  <si>
    <t>(1 - ((Col 13 x</t>
  </si>
  <si>
    <t>Col 15 x Item D))</t>
  </si>
  <si>
    <t>Item E or Col 16),</t>
  </si>
  <si>
    <t>Item F or Col 16)</t>
  </si>
  <si>
    <t>(Col 17 + Col 18)</t>
  </si>
  <si>
    <t>(Col 20 x</t>
  </si>
  <si>
    <t>Col 21) x $100</t>
  </si>
  <si>
    <t>(Col 23 x</t>
  </si>
  <si>
    <t>Col 24) x $100</t>
  </si>
  <si>
    <t>(Col 9 x Col 19</t>
  </si>
  <si>
    <t>(Col 22 +</t>
  </si>
  <si>
    <t>Col 25 + Col 26)</t>
  </si>
  <si>
    <t>(10/2021)</t>
  </si>
  <si>
    <t>FY 22</t>
  </si>
  <si>
    <t>(2017/18/19)</t>
  </si>
  <si>
    <t>2022-2023</t>
  </si>
  <si>
    <t>(35)</t>
  </si>
  <si>
    <t>(Non-Alliance/PSD</t>
  </si>
  <si>
    <t>Districts Greater of</t>
  </si>
  <si>
    <t>(Alliance/PSD</t>
  </si>
  <si>
    <t>(Greater of 0</t>
  </si>
  <si>
    <t>or Col 27</t>
  </si>
  <si>
    <t>- Col 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</si>
</sst>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164" formatCode="#,##0.000000_);[Red]\(#,##0.000000\)"/>
    <numFmt numFmtId="165" formatCode="#,##0.000_);\(#,##0.000\)"/>
    <numFmt numFmtId="166" formatCode="0.000000%"/>
    <numFmt numFmtId="167" formatCode="#,##0.000000_);\(#,##0.000000\)"/>
    <numFmt numFmtId="168" formatCode="0.0%"/>
    <numFmt numFmtId="169" formatCode="_(* #,##0_);[Red]_(* \(#,##0\);_(* \-_);_(@_)"/>
    <numFmt numFmtId="170" formatCode="0.000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0"/>
      <color theme="1"/>
      <name val="Book Antiqua"/>
      <family val="1"/>
    </font>
    <font>
      <sz val="10"/>
      <color theme="1"/>
      <name val="Book Antiqua"/>
      <family val="1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9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9" fontId="1" fillId="0" borderId="0" applyFont="0" applyFill="0" applyBorder="0" applyAlignment="0" applyProtection="0"/>
    <xf numFmtId="0" fontId="8" fillId="0" borderId="0" applyFill="0" applyBorder="0">
      <alignment horizontal="center" wrapText="1"/>
    </xf>
    <xf numFmtId="169" fontId="9" fillId="0" borderId="1" applyFill="0"/>
    <xf numFmtId="0" fontId="9" fillId="0" borderId="1" applyFill="0"/>
    <xf numFmtId="0" fontId="8" fillId="0" borderId="0" applyNumberFormat="0" applyFill="0" applyBorder="0">
      <alignment horizontal="left" wrapText="1"/>
    </xf>
    <xf numFmtId="0" fontId="10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6" applyNumberFormat="0" applyAlignment="0" applyProtection="0"/>
    <xf numFmtId="0" fontId="18" fillId="10" borderId="7" applyNumberFormat="0" applyAlignment="0" applyProtection="0"/>
    <xf numFmtId="0" fontId="19" fillId="10" borderId="6" applyNumberFormat="0" applyAlignment="0" applyProtection="0"/>
    <xf numFmtId="0" fontId="20" fillId="0" borderId="8" applyNumberFormat="0" applyFill="0" applyAlignment="0" applyProtection="0"/>
    <xf numFmtId="0" fontId="21" fillId="11" borderId="9" applyNumberFormat="0" applyAlignment="0" applyProtection="0"/>
    <xf numFmtId="0" fontId="22" fillId="0" borderId="0" applyNumberFormat="0" applyFill="0" applyBorder="0" applyAlignment="0" applyProtection="0"/>
    <xf numFmtId="0" fontId="1" fillId="12" borderId="10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11" applyNumberFormat="0" applyFill="0" applyAlignment="0" applyProtection="0"/>
    <xf numFmtId="0" fontId="2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5" fillId="36" borderId="0" applyNumberFormat="0" applyBorder="0" applyAlignment="0" applyProtection="0"/>
    <xf numFmtId="0" fontId="26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15" fontId="3" fillId="0" borderId="0" xfId="0" quotePrefix="1" applyNumberFormat="1" applyFont="1" applyFill="1"/>
    <xf numFmtId="0" fontId="2" fillId="0" borderId="0" xfId="0" applyNumberFormat="1" applyFont="1" applyFill="1"/>
    <xf numFmtId="0" fontId="2" fillId="0" borderId="0" xfId="0" applyNumberFormat="1" applyFont="1" applyFill="1" applyAlignment="1">
      <alignment horizontal="right"/>
    </xf>
    <xf numFmtId="0" fontId="3" fillId="0" borderId="0" xfId="0" applyNumberFormat="1" applyFont="1" applyFill="1"/>
    <xf numFmtId="10" fontId="2" fillId="0" borderId="0" xfId="0" applyNumberFormat="1" applyFont="1" applyFill="1"/>
    <xf numFmtId="164" fontId="2" fillId="0" borderId="0" xfId="0" applyNumberFormat="1" applyFont="1"/>
    <xf numFmtId="0" fontId="2" fillId="0" borderId="0" xfId="0" applyNumberFormat="1" applyFont="1" applyFill="1" applyAlignment="1">
      <alignment horizontal="center"/>
    </xf>
    <xf numFmtId="39" fontId="2" fillId="0" borderId="0" xfId="0" applyNumberFormat="1" applyFont="1" applyFill="1"/>
    <xf numFmtId="165" fontId="2" fillId="0" borderId="0" xfId="0" applyNumberFormat="1" applyFont="1" applyFill="1"/>
    <xf numFmtId="37" fontId="2" fillId="0" borderId="0" xfId="0" applyNumberFormat="1" applyFont="1" applyFill="1"/>
    <xf numFmtId="5" fontId="2" fillId="0" borderId="0" xfId="0" applyNumberFormat="1" applyFont="1" applyFill="1"/>
    <xf numFmtId="166" fontId="2" fillId="0" borderId="0" xfId="0" applyNumberFormat="1" applyFont="1" applyFill="1"/>
    <xf numFmtId="0" fontId="2" fillId="0" borderId="0" xfId="0" applyFont="1" applyAlignment="1">
      <alignment horizontal="right"/>
    </xf>
    <xf numFmtId="0" fontId="2" fillId="0" borderId="0" xfId="0" quotePrefix="1" applyNumberFormat="1" applyFont="1" applyFill="1"/>
    <xf numFmtId="37" fontId="3" fillId="0" borderId="0" xfId="0" applyNumberFormat="1" applyFont="1" applyFill="1"/>
    <xf numFmtId="40" fontId="2" fillId="0" borderId="0" xfId="0" applyNumberFormat="1" applyFont="1" applyFill="1"/>
    <xf numFmtId="164" fontId="2" fillId="0" borderId="0" xfId="0" applyNumberFormat="1" applyFont="1" applyFill="1" applyAlignment="1">
      <alignment horizontal="center"/>
    </xf>
    <xf numFmtId="0" fontId="4" fillId="0" borderId="0" xfId="0" applyNumberFormat="1" applyFont="1" applyFill="1" applyAlignment="1">
      <alignment horizontal="right"/>
    </xf>
    <xf numFmtId="167" fontId="2" fillId="0" borderId="0" xfId="0" applyNumberFormat="1" applyFont="1" applyFill="1"/>
    <xf numFmtId="3" fontId="2" fillId="0" borderId="0" xfId="0" applyNumberFormat="1" applyFont="1"/>
    <xf numFmtId="0" fontId="2" fillId="0" borderId="0" xfId="0" quotePrefix="1" applyFont="1" applyAlignment="1">
      <alignment horizontal="center"/>
    </xf>
    <xf numFmtId="0" fontId="3" fillId="0" borderId="0" xfId="0" quotePrefix="1" applyNumberFormat="1" applyFont="1" applyFill="1" applyAlignment="1">
      <alignment horizontal="center"/>
    </xf>
    <xf numFmtId="0" fontId="5" fillId="0" borderId="0" xfId="0" applyNumberFormat="1" applyFont="1" applyFill="1" applyAlignment="1">
      <alignment horizontal="center"/>
    </xf>
    <xf numFmtId="0" fontId="3" fillId="0" borderId="0" xfId="0" applyNumberFormat="1" applyFont="1" applyFill="1" applyAlignment="1">
      <alignment horizontal="center"/>
    </xf>
    <xf numFmtId="40" fontId="5" fillId="0" borderId="0" xfId="0" applyNumberFormat="1" applyFont="1" applyFill="1"/>
    <xf numFmtId="6" fontId="5" fillId="0" borderId="0" xfId="0" applyNumberFormat="1" applyFont="1" applyFill="1" applyAlignment="1">
      <alignment horizontal="center"/>
    </xf>
    <xf numFmtId="0" fontId="4" fillId="0" borderId="0" xfId="0" quotePrefix="1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8" fontId="5" fillId="0" borderId="0" xfId="0" applyNumberFormat="1" applyFont="1" applyFill="1" applyAlignment="1">
      <alignment horizontal="center"/>
    </xf>
    <xf numFmtId="5" fontId="5" fillId="0" borderId="0" xfId="0" applyNumberFormat="1" applyFont="1" applyFill="1"/>
    <xf numFmtId="0" fontId="2" fillId="0" borderId="0" xfId="0" applyFont="1" applyAlignment="1">
      <alignment horizontal="center"/>
    </xf>
    <xf numFmtId="0" fontId="2" fillId="0" borderId="0" xfId="0" quotePrefix="1" applyNumberFormat="1" applyFont="1" applyFill="1" applyAlignment="1">
      <alignment horizontal="center"/>
    </xf>
    <xf numFmtId="4" fontId="6" fillId="0" borderId="0" xfId="0" applyNumberFormat="1" applyFont="1"/>
    <xf numFmtId="3" fontId="6" fillId="0" borderId="0" xfId="0" applyNumberFormat="1" applyFont="1"/>
    <xf numFmtId="40" fontId="2" fillId="0" borderId="0" xfId="0" applyNumberFormat="1" applyFont="1"/>
    <xf numFmtId="164" fontId="2" fillId="0" borderId="0" xfId="0" applyNumberFormat="1" applyFont="1" applyFill="1"/>
    <xf numFmtId="168" fontId="2" fillId="0" borderId="0" xfId="0" applyNumberFormat="1" applyFont="1" applyFill="1"/>
    <xf numFmtId="0" fontId="6" fillId="0" borderId="0" xfId="0" applyFont="1"/>
    <xf numFmtId="0" fontId="7" fillId="0" borderId="0" xfId="0" applyNumberFormat="1" applyFont="1" applyFill="1" applyAlignment="1">
      <alignment horizontal="center"/>
    </xf>
    <xf numFmtId="0" fontId="2" fillId="3" borderId="0" xfId="0" applyNumberFormat="1" applyFont="1" applyFill="1"/>
    <xf numFmtId="37" fontId="2" fillId="3" borderId="0" xfId="0" applyNumberFormat="1" applyFont="1" applyFill="1"/>
    <xf numFmtId="9" fontId="2" fillId="3" borderId="0" xfId="1" applyFont="1" applyFill="1"/>
    <xf numFmtId="3" fontId="3" fillId="3" borderId="0" xfId="0" quotePrefix="1" applyNumberFormat="1" applyFont="1" applyFill="1" applyAlignment="1">
      <alignment horizontal="center"/>
    </xf>
    <xf numFmtId="9" fontId="3" fillId="3" borderId="0" xfId="1" quotePrefix="1" applyFont="1" applyFill="1" applyAlignment="1">
      <alignment horizontal="center"/>
    </xf>
    <xf numFmtId="37" fontId="2" fillId="0" borderId="0" xfId="0" applyNumberFormat="1" applyFont="1"/>
    <xf numFmtId="0" fontId="2" fillId="3" borderId="0" xfId="0" applyFont="1" applyFill="1"/>
    <xf numFmtId="0" fontId="2" fillId="3" borderId="0" xfId="0" applyNumberFormat="1" applyFont="1" applyFill="1" applyAlignment="1">
      <alignment horizontal="center"/>
    </xf>
    <xf numFmtId="0" fontId="3" fillId="3" borderId="0" xfId="0" applyNumberFormat="1" applyFont="1" applyFill="1" applyAlignment="1">
      <alignment horizontal="center"/>
    </xf>
    <xf numFmtId="0" fontId="2" fillId="3" borderId="0" xfId="0" quotePrefix="1" applyFont="1" applyFill="1" applyAlignment="1">
      <alignment horizontal="center"/>
    </xf>
    <xf numFmtId="168" fontId="6" fillId="0" borderId="0" xfId="0" applyNumberFormat="1" applyFont="1"/>
    <xf numFmtId="3" fontId="6" fillId="2" borderId="0" xfId="0" applyNumberFormat="1" applyFont="1" applyFill="1"/>
    <xf numFmtId="9" fontId="6" fillId="0" borderId="0" xfId="1" applyFont="1"/>
    <xf numFmtId="4" fontId="2" fillId="0" borderId="0" xfId="0" applyNumberFormat="1" applyFont="1" applyFill="1"/>
    <xf numFmtId="170" fontId="2" fillId="0" borderId="0" xfId="0" applyNumberFormat="1" applyFont="1" applyFill="1"/>
    <xf numFmtId="37" fontId="2" fillId="0" borderId="0" xfId="0" applyNumberFormat="1" applyFont="1" applyFill="1" applyAlignment="1">
      <alignment horizontal="center"/>
    </xf>
    <xf numFmtId="10" fontId="2" fillId="0" borderId="0" xfId="0" applyNumberFormat="1" applyFont="1"/>
    <xf numFmtId="170" fontId="6" fillId="0" borderId="0" xfId="0" applyNumberFormat="1" applyFont="1"/>
    <xf numFmtId="4" fontId="4" fillId="4" borderId="2" xfId="0" applyNumberFormat="1" applyFont="1" applyFill="1" applyBorder="1" applyAlignment="1">
      <alignment horizontal="right"/>
    </xf>
    <xf numFmtId="4" fontId="0" fillId="0" borderId="0" xfId="0" applyNumberFormat="1"/>
    <xf numFmtId="3" fontId="0" fillId="0" borderId="0" xfId="0" applyNumberFormat="1"/>
    <xf numFmtId="0" fontId="27" fillId="0" borderId="2" xfId="0" applyFont="1" applyFill="1" applyBorder="1"/>
    <xf numFmtId="0" fontId="27" fillId="37" borderId="2" xfId="0" applyFont="1" applyFill="1" applyBorder="1"/>
    <xf numFmtId="0" fontId="27" fillId="38" borderId="2" xfId="0" applyFont="1" applyFill="1" applyBorder="1"/>
    <xf numFmtId="3" fontId="24" fillId="0" borderId="0" xfId="0" applyNumberFormat="1" applyFont="1"/>
    <xf numFmtId="37" fontId="5" fillId="0" borderId="0" xfId="0" applyNumberFormat="1" applyFont="1" applyFill="1"/>
    <xf numFmtId="0" fontId="0" fillId="0" borderId="0" xfId="0" applyNumberFormat="1"/>
    <xf numFmtId="0" fontId="3" fillId="0" borderId="0" xfId="0" quotePrefix="1" applyFont="1" applyAlignment="1">
      <alignment horizontal="center"/>
    </xf>
    <xf numFmtId="3" fontId="2" fillId="2" borderId="0" xfId="0" applyNumberFormat="1" applyFont="1" applyFill="1"/>
    <xf numFmtId="3" fontId="3" fillId="5" borderId="0" xfId="0" quotePrefix="1" applyNumberFormat="1" applyFont="1" applyFill="1" applyAlignment="1">
      <alignment horizontal="center"/>
    </xf>
    <xf numFmtId="3" fontId="2" fillId="2" borderId="0" xfId="0" applyNumberFormat="1" applyFont="1" applyFill="1" applyAlignment="1">
      <alignment horizontal="center"/>
    </xf>
    <xf numFmtId="3" fontId="2" fillId="2" borderId="0" xfId="0" applyNumberFormat="1" applyFont="1" applyFill="1" applyAlignment="1">
      <alignment wrapText="1"/>
    </xf>
    <xf numFmtId="3" fontId="3" fillId="2" borderId="0" xfId="0" applyNumberFormat="1" applyFont="1" applyFill="1" applyAlignment="1">
      <alignment horizontal="center"/>
    </xf>
    <xf numFmtId="3" fontId="2" fillId="2" borderId="0" xfId="0" quotePrefix="1" applyNumberFormat="1" applyFont="1" applyFill="1" applyAlignment="1">
      <alignment horizontal="center"/>
    </xf>
  </cellXfs>
  <cellStyles count="48">
    <cellStyle name="20% - Accent1" xfId="24" builtinId="30" customBuiltin="1"/>
    <cellStyle name="20% - Accent2" xfId="28" builtinId="34" customBuiltin="1"/>
    <cellStyle name="20% - Accent3" xfId="32" builtinId="38" customBuiltin="1"/>
    <cellStyle name="20% - Accent4" xfId="36" builtinId="42" customBuiltin="1"/>
    <cellStyle name="20% - Accent5" xfId="40" builtinId="46" customBuiltin="1"/>
    <cellStyle name="20% - Accent6" xfId="44" builtinId="50" customBuiltin="1"/>
    <cellStyle name="40% - Accent1" xfId="25" builtinId="31" customBuiltin="1"/>
    <cellStyle name="40% - Accent2" xfId="29" builtinId="35" customBuiltin="1"/>
    <cellStyle name="40% - Accent3" xfId="33" builtinId="39" customBuiltin="1"/>
    <cellStyle name="40% - Accent4" xfId="37" builtinId="43" customBuiltin="1"/>
    <cellStyle name="40% - Accent5" xfId="41" builtinId="47" customBuiltin="1"/>
    <cellStyle name="40% - Accent6" xfId="45" builtinId="51" customBuiltin="1"/>
    <cellStyle name="60% - Accent1" xfId="26" builtinId="32" customBuiltin="1"/>
    <cellStyle name="60% - Accent2" xfId="30" builtinId="36" customBuiltin="1"/>
    <cellStyle name="60% - Accent3" xfId="34" builtinId="40" customBuiltin="1"/>
    <cellStyle name="60% - Accent4" xfId="38" builtinId="44" customBuiltin="1"/>
    <cellStyle name="60% - Accent5" xfId="42" builtinId="48" customBuiltin="1"/>
    <cellStyle name="60% - Accent6" xfId="46" builtinId="52" customBuiltin="1"/>
    <cellStyle name="Accent1" xfId="23" builtinId="29" customBuiltin="1"/>
    <cellStyle name="Accent2" xfId="27" builtinId="33" customBuiltin="1"/>
    <cellStyle name="Accent3" xfId="31" builtinId="37" customBuiltin="1"/>
    <cellStyle name="Accent4" xfId="35" builtinId="41" customBuiltin="1"/>
    <cellStyle name="Accent5" xfId="39" builtinId="45" customBuiltin="1"/>
    <cellStyle name="Accent6" xfId="43" builtinId="49" customBuiltin="1"/>
    <cellStyle name="Bad" xfId="12" builtinId="27" customBuiltin="1"/>
    <cellStyle name="Calculation" xfId="16" builtinId="22" customBuiltin="1"/>
    <cellStyle name="Check Cell" xfId="18" builtinId="23" customBuiltin="1"/>
    <cellStyle name="Explanatory Text" xfId="21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4" builtinId="20" customBuiltin="1"/>
    <cellStyle name="Linked Cell" xfId="17" builtinId="24" customBuiltin="1"/>
    <cellStyle name="Neutral" xfId="13" builtinId="28" customBuiltin="1"/>
    <cellStyle name="Normal" xfId="0" builtinId="0"/>
    <cellStyle name="Note" xfId="20" builtinId="10" customBuiltin="1"/>
    <cellStyle name="Number Headers" xfId="2"/>
    <cellStyle name="Numbers" xfId="3"/>
    <cellStyle name="Output" xfId="15" builtinId="21" customBuiltin="1"/>
    <cellStyle name="Percent" xfId="1" builtinId="5"/>
    <cellStyle name="Text" xfId="4"/>
    <cellStyle name="Text Headers" xfId="5"/>
    <cellStyle name="Title" xfId="6" builtinId="15" customBuiltin="1"/>
    <cellStyle name="Title 2" xfId="47"/>
    <cellStyle name="Total" xfId="22" builtinId="25" customBuiltin="1"/>
    <cellStyle name="Warning Text" xfId="19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363"/>
  <sheetViews>
    <sheetView tabSelected="1" topLeftCell="AR16" workbookViewId="0">
      <selection activeCell="J9" sqref="J9"/>
    </sheetView>
  </sheetViews>
  <sheetFormatPr defaultColWidth="8.87890625" defaultRowHeight="13.7" x14ac:dyDescent="0.4"/>
  <cols>
    <col min="1" max="4" width="9.1171875" style="3" customWidth="1"/>
    <col min="5" max="5" width="8.87890625" style="3"/>
    <col min="6" max="7" width="19.41015625" style="3" customWidth="1"/>
    <col min="8" max="9" width="16.87890625" style="3" customWidth="1"/>
    <col min="10" max="14" width="15.87890625" style="3" customWidth="1"/>
    <col min="15" max="18" width="15.87890625" style="3" hidden="1" customWidth="1"/>
    <col min="19" max="20" width="15.87890625" style="3" customWidth="1"/>
    <col min="21" max="21" width="15.87890625" style="3" hidden="1" customWidth="1"/>
    <col min="22" max="22" width="16.87890625" style="3" customWidth="1"/>
    <col min="23" max="23" width="25.46875" style="3" customWidth="1"/>
    <col min="24" max="24" width="17.1171875" style="3" customWidth="1"/>
    <col min="25" max="25" width="26.703125" style="3" customWidth="1"/>
    <col min="26" max="26" width="22.41015625" style="3" customWidth="1"/>
    <col min="27" max="27" width="18.41015625" style="3" customWidth="1"/>
    <col min="28" max="28" width="21.703125" style="3" customWidth="1"/>
    <col min="29" max="29" width="18" style="3" customWidth="1"/>
    <col min="30" max="32" width="20.29296875" style="3" customWidth="1"/>
    <col min="33" max="33" width="15.41015625" style="3" customWidth="1"/>
    <col min="34" max="37" width="16.41015625" style="3" customWidth="1"/>
    <col min="38" max="38" width="19.703125" style="3" customWidth="1"/>
    <col min="39" max="39" width="23.1171875" style="3" customWidth="1"/>
    <col min="40" max="45" width="17.87890625" style="3" customWidth="1"/>
    <col min="46" max="46" width="36.41015625" style="69" customWidth="1"/>
    <col min="47" max="49" width="17.87890625" style="3" customWidth="1"/>
    <col min="50" max="50" width="17.1171875" style="1" customWidth="1"/>
    <col min="51" max="51" width="8.87890625" style="1"/>
    <col min="52" max="52" width="15.29296875" style="1" customWidth="1"/>
    <col min="53" max="53" width="13.703125" style="1" customWidth="1"/>
    <col min="54" max="56" width="8.87890625" style="1"/>
    <col min="57" max="61" width="15" style="1" bestFit="1" customWidth="1"/>
    <col min="62" max="16384" width="8.87890625" style="1"/>
  </cols>
  <sheetData>
    <row r="1" spans="1:49" x14ac:dyDescent="0.4">
      <c r="A1" s="2"/>
      <c r="AU1" s="41"/>
      <c r="AV1" s="41"/>
    </row>
    <row r="2" spans="1:49" x14ac:dyDescent="0.4">
      <c r="A2" s="1"/>
      <c r="B2" s="2"/>
      <c r="C2" s="2"/>
      <c r="D2" s="4"/>
      <c r="E2" s="5" t="s">
        <v>0</v>
      </c>
      <c r="H2" s="1"/>
      <c r="I2" s="6">
        <v>0.3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>
        <v>0.3</v>
      </c>
      <c r="V2" s="7"/>
      <c r="W2" s="8"/>
      <c r="AU2" s="41"/>
      <c r="AV2" s="41"/>
    </row>
    <row r="3" spans="1:49" x14ac:dyDescent="0.4">
      <c r="A3" s="1"/>
      <c r="B3" s="2"/>
      <c r="C3" s="2"/>
      <c r="D3" s="4"/>
      <c r="E3" s="5" t="s">
        <v>1</v>
      </c>
      <c r="I3" s="9">
        <v>1.35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>
        <v>1.35</v>
      </c>
      <c r="V3" s="7"/>
      <c r="W3" s="8"/>
      <c r="AU3" s="41"/>
      <c r="AV3" s="41"/>
    </row>
    <row r="4" spans="1:49" x14ac:dyDescent="0.4">
      <c r="A4" s="1"/>
      <c r="B4" s="2"/>
      <c r="C4" s="2"/>
      <c r="D4" s="4"/>
      <c r="E4" s="5" t="s">
        <v>2</v>
      </c>
      <c r="H4" s="1"/>
      <c r="I4" s="6">
        <v>0.7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>
        <v>0.7</v>
      </c>
      <c r="V4" s="7"/>
      <c r="W4" s="8"/>
      <c r="AU4" s="41"/>
      <c r="AV4" s="41"/>
    </row>
    <row r="5" spans="1:49" x14ac:dyDescent="0.4">
      <c r="D5" s="4"/>
      <c r="E5" s="1" t="s">
        <v>3</v>
      </c>
      <c r="F5" s="1"/>
      <c r="G5" s="1"/>
      <c r="H5" s="1"/>
      <c r="I5" s="6">
        <v>0.3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6">
        <v>0.3</v>
      </c>
      <c r="V5" s="10"/>
      <c r="X5" s="8"/>
      <c r="AA5" s="8"/>
      <c r="AB5" s="8"/>
      <c r="AC5" s="8"/>
      <c r="AD5" s="8"/>
      <c r="AE5" s="8"/>
      <c r="AF5" s="8"/>
      <c r="AU5" s="41"/>
      <c r="AV5" s="41"/>
    </row>
    <row r="6" spans="1:49" x14ac:dyDescent="0.4">
      <c r="D6" s="4"/>
      <c r="E6" s="5" t="s">
        <v>4</v>
      </c>
      <c r="I6" s="6">
        <v>0.01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>
        <v>0.01</v>
      </c>
      <c r="V6" s="6"/>
      <c r="X6" s="8"/>
      <c r="AA6" s="8"/>
      <c r="AB6" s="8"/>
      <c r="AC6" s="8"/>
      <c r="AD6" s="8"/>
      <c r="AE6" s="8"/>
      <c r="AF6" s="8"/>
      <c r="AU6" s="41"/>
      <c r="AV6" s="41"/>
    </row>
    <row r="7" spans="1:49" x14ac:dyDescent="0.4">
      <c r="D7" s="4"/>
      <c r="E7" s="5" t="s">
        <v>5</v>
      </c>
      <c r="I7" s="6">
        <v>0.1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>
        <v>0.1</v>
      </c>
      <c r="V7" s="6"/>
      <c r="X7" s="8"/>
      <c r="AA7" s="8"/>
      <c r="AB7" s="8"/>
      <c r="AC7" s="8"/>
      <c r="AD7" s="8"/>
      <c r="AE7" s="8"/>
      <c r="AF7" s="8"/>
      <c r="AU7" s="41"/>
      <c r="AV7" s="41"/>
    </row>
    <row r="8" spans="1:49" x14ac:dyDescent="0.4">
      <c r="D8" s="4"/>
      <c r="E8" s="5" t="s">
        <v>6</v>
      </c>
      <c r="H8" s="1"/>
      <c r="I8" s="12">
        <v>11525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>
        <v>11525</v>
      </c>
      <c r="X8" s="8"/>
      <c r="AA8" s="8"/>
      <c r="AB8" s="8"/>
      <c r="AC8" s="8"/>
      <c r="AD8" s="8"/>
      <c r="AE8" s="8"/>
      <c r="AF8" s="8"/>
      <c r="AU8" s="41"/>
      <c r="AV8" s="41"/>
    </row>
    <row r="9" spans="1:49" x14ac:dyDescent="0.4">
      <c r="D9" s="4"/>
      <c r="E9" s="3" t="s">
        <v>265</v>
      </c>
      <c r="I9" s="6">
        <v>0.16669999999999999</v>
      </c>
      <c r="U9" s="6"/>
      <c r="V9" s="6"/>
      <c r="W9" s="13"/>
      <c r="X9" s="8"/>
      <c r="AA9" s="8"/>
      <c r="AB9" s="8"/>
      <c r="AC9" s="8"/>
      <c r="AD9" s="8"/>
      <c r="AE9" s="8"/>
      <c r="AF9" s="8"/>
      <c r="AU9" s="41"/>
      <c r="AV9" s="41"/>
    </row>
    <row r="10" spans="1:49" x14ac:dyDescent="0.4">
      <c r="D10" s="14"/>
      <c r="E10" s="3" t="s">
        <v>266</v>
      </c>
      <c r="F10" s="1"/>
      <c r="G10" s="1"/>
      <c r="H10" s="1"/>
      <c r="I10" s="57">
        <v>8.3299999999999999E-2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6"/>
      <c r="V10" s="6"/>
      <c r="W10" s="13"/>
      <c r="X10" s="8"/>
      <c r="AA10" s="8"/>
      <c r="AB10" s="8"/>
      <c r="AC10" s="8"/>
      <c r="AD10" s="8"/>
      <c r="AE10" s="8"/>
      <c r="AF10" s="8"/>
      <c r="AU10" s="41"/>
      <c r="AV10" s="41"/>
    </row>
    <row r="11" spans="1:49" x14ac:dyDescent="0.4">
      <c r="D11" s="1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6"/>
      <c r="V11" s="6"/>
      <c r="W11" s="13"/>
      <c r="X11" s="8"/>
      <c r="AA11" s="8"/>
      <c r="AB11" s="8"/>
      <c r="AC11" s="8"/>
      <c r="AD11" s="8"/>
      <c r="AE11" s="8"/>
      <c r="AF11" s="8"/>
      <c r="AU11" s="41"/>
      <c r="AV11" s="41"/>
    </row>
    <row r="12" spans="1:49" hidden="1" x14ac:dyDescent="0.4">
      <c r="D12" s="4"/>
      <c r="E12" s="3" t="s">
        <v>7</v>
      </c>
      <c r="U12" s="6">
        <v>1.7999999999999999E-2</v>
      </c>
      <c r="X12" s="8"/>
      <c r="AA12" s="8"/>
      <c r="AB12" s="8"/>
      <c r="AC12" s="8"/>
      <c r="AD12" s="8"/>
      <c r="AE12" s="8"/>
      <c r="AF12" s="8"/>
      <c r="AU12" s="41"/>
      <c r="AV12" s="41"/>
    </row>
    <row r="13" spans="1:49" hidden="1" x14ac:dyDescent="0.4">
      <c r="D13" s="14"/>
      <c r="E13" s="3" t="s">
        <v>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6">
        <v>0.14399999999999999</v>
      </c>
      <c r="X13" s="8"/>
      <c r="AA13" s="8"/>
      <c r="AB13" s="8"/>
      <c r="AC13" s="8"/>
      <c r="AD13" s="8"/>
      <c r="AE13" s="8"/>
      <c r="AF13" s="8"/>
      <c r="AU13" s="41"/>
      <c r="AV13" s="41"/>
    </row>
    <row r="14" spans="1:49" hidden="1" x14ac:dyDescent="0.4">
      <c r="D14" s="14"/>
      <c r="E14" s="3" t="s">
        <v>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6">
        <v>0.216</v>
      </c>
      <c r="X14" s="8"/>
      <c r="AA14" s="8"/>
      <c r="AB14" s="8"/>
      <c r="AC14" s="8"/>
      <c r="AD14" s="8"/>
      <c r="AE14" s="8"/>
      <c r="AF14" s="8"/>
      <c r="AU14" s="41"/>
      <c r="AV14" s="41"/>
    </row>
    <row r="15" spans="1:49" x14ac:dyDescent="0.4">
      <c r="D15" s="14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6"/>
      <c r="X15" s="8"/>
      <c r="AA15" s="8"/>
      <c r="AB15" s="8"/>
      <c r="AC15" s="8"/>
      <c r="AD15" s="8"/>
      <c r="AE15" s="8"/>
      <c r="AF15" s="8"/>
      <c r="AU15" s="41"/>
      <c r="AV15" s="41"/>
    </row>
    <row r="16" spans="1:49" x14ac:dyDescent="0.4">
      <c r="E16" s="15"/>
      <c r="H16" s="16"/>
      <c r="I16" s="16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8"/>
      <c r="X16" s="11"/>
      <c r="Y16" s="8"/>
      <c r="Z16" s="17"/>
      <c r="AA16" s="8"/>
      <c r="AB16" s="8"/>
      <c r="AC16" s="8"/>
      <c r="AD16" s="18"/>
      <c r="AE16" s="18"/>
      <c r="AF16" s="18"/>
      <c r="AG16" s="11"/>
      <c r="AK16" s="3" t="s">
        <v>278</v>
      </c>
      <c r="AL16" s="66">
        <f>+AL17+AI17</f>
        <v>24879200</v>
      </c>
      <c r="AM16" s="11"/>
      <c r="AN16" s="11"/>
      <c r="AO16" s="11"/>
      <c r="AP16" s="11"/>
      <c r="AQ16" s="11"/>
      <c r="AR16" s="11"/>
      <c r="AS16" s="11"/>
      <c r="AU16" s="42"/>
      <c r="AV16" s="43"/>
      <c r="AW16" s="11"/>
    </row>
    <row r="17" spans="1:61" x14ac:dyDescent="0.4">
      <c r="A17" s="11">
        <f>SUM(A27:A195)</f>
        <v>16</v>
      </c>
      <c r="B17" s="11">
        <f>SUM(B27:B195)</f>
        <v>36</v>
      </c>
      <c r="C17" s="11"/>
      <c r="F17" s="19" t="s">
        <v>10</v>
      </c>
      <c r="G17" s="11"/>
      <c r="H17" s="9">
        <f t="shared" ref="H17:Y17" si="0">SUM(H27:H195)</f>
        <v>485364.18999999959</v>
      </c>
      <c r="I17" s="9">
        <f t="shared" ref="I17:N17" si="1">SUM(I27:I195)</f>
        <v>0</v>
      </c>
      <c r="J17" s="11">
        <f t="shared" si="1"/>
        <v>194465</v>
      </c>
      <c r="K17" s="9">
        <f t="shared" si="1"/>
        <v>58339.499999999956</v>
      </c>
      <c r="L17" s="9">
        <f t="shared" si="1"/>
        <v>291218.50999999995</v>
      </c>
      <c r="M17" s="9">
        <f t="shared" si="1"/>
        <v>15402.65</v>
      </c>
      <c r="N17" s="9">
        <f t="shared" si="1"/>
        <v>2310.38</v>
      </c>
      <c r="O17" s="11"/>
      <c r="P17" s="11"/>
      <c r="Q17" s="11"/>
      <c r="R17" s="9">
        <f t="shared" si="0"/>
        <v>2327.9100000000003</v>
      </c>
      <c r="S17" s="11">
        <f t="shared" si="0"/>
        <v>43879</v>
      </c>
      <c r="T17" s="11"/>
      <c r="U17" s="9">
        <f t="shared" si="0"/>
        <v>58339.499999999956</v>
      </c>
      <c r="V17" s="9">
        <f t="shared" si="0"/>
        <v>556983.81999999983</v>
      </c>
      <c r="W17" s="9">
        <f t="shared" si="0"/>
        <v>573208476138.04016</v>
      </c>
      <c r="X17" s="11">
        <f t="shared" si="0"/>
        <v>3553532</v>
      </c>
      <c r="Y17" s="9">
        <f t="shared" si="0"/>
        <v>29964969.280000005</v>
      </c>
      <c r="Z17" s="20">
        <f>SUM(Z27:Z195)</f>
        <v>151.15734000000006</v>
      </c>
      <c r="AA17" s="11">
        <f>SUM(AA27:AA195)</f>
        <v>15950376</v>
      </c>
      <c r="AB17" s="11"/>
      <c r="AC17" s="20">
        <f>SUM(AC27:AC195)</f>
        <v>24.193159000000026</v>
      </c>
      <c r="AD17" s="20">
        <f>SUM(AD27:AD195)</f>
        <v>41.940021000000002</v>
      </c>
      <c r="AE17" s="20"/>
      <c r="AF17" s="20"/>
      <c r="AG17" s="11">
        <f>SUM(AG27:AG195)</f>
        <v>22335</v>
      </c>
      <c r="AI17" s="11">
        <f>SUM(AI27:AI195)</f>
        <v>23434600</v>
      </c>
      <c r="AJ17" s="11">
        <f>SUM(AJ27:AJ195)</f>
        <v>3401</v>
      </c>
      <c r="AL17" s="11">
        <f>SUM(AL27:AL195)</f>
        <v>1444600</v>
      </c>
      <c r="AM17" s="11">
        <f>SUM(AM27:AM195)</f>
        <v>2274546498</v>
      </c>
      <c r="AN17" s="11">
        <f>SUM(AN27:AN195)</f>
        <v>2299425698</v>
      </c>
      <c r="AO17" s="11">
        <f t="shared" ref="AO17:AP17" si="2">SUM(AO27:AO195)</f>
        <v>2139188165</v>
      </c>
      <c r="AP17" s="11">
        <f t="shared" si="2"/>
        <v>236220235</v>
      </c>
      <c r="AQ17" s="11"/>
      <c r="AR17" s="11">
        <f t="shared" ref="AR17:AS17" si="3">SUM(AR27:AR195)</f>
        <v>39377913.174499981</v>
      </c>
      <c r="AS17" s="11">
        <f t="shared" si="3"/>
        <v>2178566078.1745</v>
      </c>
      <c r="AU17" s="42"/>
      <c r="AV17" s="42"/>
      <c r="AW17" s="11"/>
      <c r="AX17" s="11"/>
      <c r="AZ17" s="11"/>
      <c r="BA17" s="11"/>
      <c r="BE17" s="11"/>
      <c r="BF17" s="11"/>
      <c r="BG17" s="11"/>
      <c r="BH17" s="11"/>
      <c r="BI17" s="11"/>
    </row>
    <row r="18" spans="1:61" x14ac:dyDescent="0.4">
      <c r="F18" s="11"/>
      <c r="G18" s="11"/>
      <c r="H18" s="8" t="s">
        <v>11</v>
      </c>
      <c r="I18" s="8"/>
      <c r="J18" s="22" t="s">
        <v>12</v>
      </c>
      <c r="K18" s="22" t="s">
        <v>13</v>
      </c>
      <c r="L18" s="22" t="s">
        <v>14</v>
      </c>
      <c r="M18" s="22" t="s">
        <v>15</v>
      </c>
      <c r="N18" s="22" t="s">
        <v>16</v>
      </c>
      <c r="O18" s="22"/>
      <c r="P18" s="22"/>
      <c r="Q18" s="22"/>
      <c r="R18" s="22"/>
      <c r="S18" s="22" t="s">
        <v>17</v>
      </c>
      <c r="T18" s="22" t="s">
        <v>18</v>
      </c>
      <c r="U18" s="23" t="s">
        <v>13</v>
      </c>
      <c r="V18" s="23" t="s">
        <v>19</v>
      </c>
      <c r="W18" s="23" t="s">
        <v>20</v>
      </c>
      <c r="X18" s="23" t="s">
        <v>21</v>
      </c>
      <c r="Y18" s="23" t="s">
        <v>22</v>
      </c>
      <c r="Z18" s="23" t="s">
        <v>23</v>
      </c>
      <c r="AA18" s="22" t="s">
        <v>24</v>
      </c>
      <c r="AB18" s="22" t="s">
        <v>25</v>
      </c>
      <c r="AC18" s="22" t="s">
        <v>26</v>
      </c>
      <c r="AD18" s="22" t="s">
        <v>27</v>
      </c>
      <c r="AE18" s="22" t="s">
        <v>28</v>
      </c>
      <c r="AF18" s="22" t="s">
        <v>29</v>
      </c>
      <c r="AG18" s="23" t="s">
        <v>275</v>
      </c>
      <c r="AH18" s="23" t="s">
        <v>280</v>
      </c>
      <c r="AI18" s="23" t="s">
        <v>281</v>
      </c>
      <c r="AJ18" s="23" t="s">
        <v>282</v>
      </c>
      <c r="AK18" s="23" t="s">
        <v>283</v>
      </c>
      <c r="AL18" s="23" t="s">
        <v>284</v>
      </c>
      <c r="AM18" s="23" t="s">
        <v>285</v>
      </c>
      <c r="AN18" s="23" t="s">
        <v>286</v>
      </c>
      <c r="AO18" s="23" t="s">
        <v>287</v>
      </c>
      <c r="AP18" s="23" t="s">
        <v>288</v>
      </c>
      <c r="AQ18" s="23" t="s">
        <v>308</v>
      </c>
      <c r="AR18" s="23" t="s">
        <v>309</v>
      </c>
      <c r="AS18" s="33" t="s">
        <v>329</v>
      </c>
      <c r="AT18" s="70"/>
      <c r="AU18" s="44"/>
      <c r="AV18" s="45"/>
      <c r="AW18" s="23"/>
      <c r="BF18" s="46"/>
      <c r="BG18" s="46"/>
      <c r="BH18" s="46"/>
      <c r="BI18" s="46"/>
    </row>
    <row r="19" spans="1:61" x14ac:dyDescent="0.4">
      <c r="F19" s="11"/>
      <c r="G19" s="11"/>
      <c r="V19" s="1"/>
      <c r="Y19" s="24" t="s">
        <v>30</v>
      </c>
      <c r="Z19" s="24" t="s">
        <v>31</v>
      </c>
      <c r="AA19" s="24" t="s">
        <v>30</v>
      </c>
      <c r="AB19" s="24" t="s">
        <v>32</v>
      </c>
      <c r="AC19" s="24"/>
      <c r="AD19" s="25" t="s">
        <v>33</v>
      </c>
      <c r="AE19" s="25"/>
      <c r="AF19" s="25"/>
      <c r="AM19" s="24" t="s">
        <v>34</v>
      </c>
      <c r="AN19" s="1"/>
      <c r="AO19" s="1"/>
      <c r="AP19" s="1"/>
      <c r="AQ19" s="1"/>
      <c r="AR19" s="1"/>
      <c r="AS19" s="1"/>
      <c r="AU19" s="47"/>
      <c r="AV19" s="47"/>
      <c r="AW19" s="1"/>
    </row>
    <row r="20" spans="1:61" x14ac:dyDescent="0.4">
      <c r="F20" s="11"/>
      <c r="G20" s="11"/>
      <c r="J20" s="25" t="s">
        <v>35</v>
      </c>
      <c r="K20" s="25"/>
      <c r="L20" s="25"/>
      <c r="M20" s="25"/>
      <c r="N20" s="29" t="s">
        <v>296</v>
      </c>
      <c r="O20" s="25"/>
      <c r="P20" s="25"/>
      <c r="Q20" s="25"/>
      <c r="R20" s="25"/>
      <c r="S20" s="25"/>
      <c r="T20" s="25"/>
      <c r="Y20" s="26">
        <f>MEDIAN(Y27:Y195)</f>
        <v>146842.18</v>
      </c>
      <c r="Z20" s="24" t="s">
        <v>36</v>
      </c>
      <c r="AA20" s="27">
        <f>MEDIAN(AA27:AA195)</f>
        <v>90893</v>
      </c>
      <c r="AB20" s="24" t="s">
        <v>36</v>
      </c>
      <c r="AC20" s="8" t="s">
        <v>37</v>
      </c>
      <c r="AD20" s="8" t="s">
        <v>330</v>
      </c>
      <c r="AE20" s="8"/>
      <c r="AF20" s="8"/>
      <c r="AM20" s="28" t="s">
        <v>39</v>
      </c>
      <c r="AN20" s="8"/>
      <c r="AO20" s="8"/>
      <c r="AP20" s="8"/>
      <c r="AQ20" s="8"/>
      <c r="AR20" s="8"/>
      <c r="AS20" s="8"/>
      <c r="AT20" s="71"/>
      <c r="AU20" s="48"/>
      <c r="AV20" s="48"/>
      <c r="AW20" s="8"/>
    </row>
    <row r="21" spans="1:61" x14ac:dyDescent="0.4">
      <c r="H21" s="8"/>
      <c r="I21" s="8"/>
      <c r="J21" s="29" t="s">
        <v>40</v>
      </c>
      <c r="K21" s="29" t="s">
        <v>259</v>
      </c>
      <c r="L21" s="29"/>
      <c r="M21" s="29" t="s">
        <v>296</v>
      </c>
      <c r="N21" s="29" t="s">
        <v>59</v>
      </c>
      <c r="O21" s="29"/>
      <c r="P21" s="29"/>
      <c r="Q21" s="29"/>
      <c r="R21" s="29"/>
      <c r="S21" s="29"/>
      <c r="T21" s="29" t="s">
        <v>74</v>
      </c>
      <c r="U21" s="1"/>
      <c r="W21" s="8" t="s">
        <v>41</v>
      </c>
      <c r="Y21" s="8"/>
      <c r="Z21" s="30">
        <f>ROUND(Y20*$U$3,2)</f>
        <v>198236.94</v>
      </c>
      <c r="AA21" s="8" t="s">
        <v>42</v>
      </c>
      <c r="AB21" s="30">
        <f>ROUND(AA20*$U$3,2)</f>
        <v>122705.55</v>
      </c>
      <c r="AC21" s="8" t="s">
        <v>43</v>
      </c>
      <c r="AD21" s="8" t="s">
        <v>331</v>
      </c>
      <c r="AE21" s="8"/>
      <c r="AF21" s="8"/>
      <c r="AG21" s="8" t="s">
        <v>44</v>
      </c>
      <c r="AH21" s="8" t="s">
        <v>45</v>
      </c>
      <c r="AI21" s="8" t="s">
        <v>38</v>
      </c>
      <c r="AJ21" s="8" t="s">
        <v>44</v>
      </c>
      <c r="AK21" s="8" t="s">
        <v>45</v>
      </c>
      <c r="AL21" s="8" t="s">
        <v>276</v>
      </c>
      <c r="AM21" s="31">
        <f>U8</f>
        <v>11525</v>
      </c>
      <c r="AP21" s="8" t="s">
        <v>261</v>
      </c>
      <c r="AS21" s="23"/>
      <c r="AU21" s="41"/>
      <c r="AV21" s="41"/>
    </row>
    <row r="22" spans="1:61" x14ac:dyDescent="0.4">
      <c r="H22" s="25" t="s">
        <v>35</v>
      </c>
      <c r="I22" s="25"/>
      <c r="J22" s="29" t="s">
        <v>47</v>
      </c>
      <c r="K22" s="29" t="s">
        <v>291</v>
      </c>
      <c r="L22" s="29" t="s">
        <v>294</v>
      </c>
      <c r="M22" s="29" t="s">
        <v>59</v>
      </c>
      <c r="N22" s="29" t="s">
        <v>44</v>
      </c>
      <c r="O22" s="29"/>
      <c r="P22" s="29" t="s">
        <v>271</v>
      </c>
      <c r="Q22" s="29"/>
      <c r="R22" s="29"/>
      <c r="S22" s="29"/>
      <c r="T22" s="29" t="s">
        <v>289</v>
      </c>
      <c r="U22" s="32" t="s">
        <v>48</v>
      </c>
      <c r="V22" s="8" t="s">
        <v>49</v>
      </c>
      <c r="W22" s="8" t="s">
        <v>50</v>
      </c>
      <c r="Y22" s="8" t="s">
        <v>51</v>
      </c>
      <c r="Z22" s="24" t="s">
        <v>52</v>
      </c>
      <c r="AA22" s="8" t="s">
        <v>53</v>
      </c>
      <c r="AB22" s="24" t="s">
        <v>52</v>
      </c>
      <c r="AC22" s="8" t="s">
        <v>54</v>
      </c>
      <c r="AD22" s="8" t="s">
        <v>315</v>
      </c>
      <c r="AE22" s="8" t="s">
        <v>305</v>
      </c>
      <c r="AF22" s="8" t="s">
        <v>305</v>
      </c>
      <c r="AG22" s="8" t="s">
        <v>55</v>
      </c>
      <c r="AH22" s="8" t="s">
        <v>38</v>
      </c>
      <c r="AI22" s="8" t="s">
        <v>46</v>
      </c>
      <c r="AJ22" s="8" t="s">
        <v>55</v>
      </c>
      <c r="AK22" s="8" t="s">
        <v>276</v>
      </c>
      <c r="AL22" s="8" t="s">
        <v>277</v>
      </c>
      <c r="AM22" s="8" t="s">
        <v>56</v>
      </c>
      <c r="AN22" s="8" t="s">
        <v>57</v>
      </c>
      <c r="AO22" s="8"/>
      <c r="AP22" s="25" t="s">
        <v>43</v>
      </c>
      <c r="AQ22" s="8" t="s">
        <v>57</v>
      </c>
      <c r="AR22" s="1"/>
      <c r="AS22" s="22"/>
      <c r="AT22" s="72"/>
      <c r="AU22" s="47"/>
      <c r="AV22" s="47"/>
      <c r="AW22" s="1"/>
    </row>
    <row r="23" spans="1:61" x14ac:dyDescent="0.4">
      <c r="A23" s="32"/>
      <c r="B23" s="8"/>
      <c r="C23" s="8"/>
      <c r="D23" s="8"/>
      <c r="H23" s="8" t="s">
        <v>59</v>
      </c>
      <c r="I23" s="8"/>
      <c r="J23" s="29" t="s">
        <v>60</v>
      </c>
      <c r="K23" s="29" t="s">
        <v>292</v>
      </c>
      <c r="L23" s="29" t="s">
        <v>59</v>
      </c>
      <c r="M23" s="29" t="s">
        <v>44</v>
      </c>
      <c r="N23" s="29" t="s">
        <v>289</v>
      </c>
      <c r="O23" s="29"/>
      <c r="P23" s="29" t="s">
        <v>272</v>
      </c>
      <c r="Q23" s="29" t="s">
        <v>257</v>
      </c>
      <c r="R23" s="29"/>
      <c r="S23" s="29" t="s">
        <v>74</v>
      </c>
      <c r="T23" s="29" t="s">
        <v>63</v>
      </c>
      <c r="U23" s="8" t="s">
        <v>61</v>
      </c>
      <c r="V23" s="8" t="s">
        <v>44</v>
      </c>
      <c r="W23" s="8" t="s">
        <v>62</v>
      </c>
      <c r="X23" s="8" t="s">
        <v>63</v>
      </c>
      <c r="Y23" s="8" t="s">
        <v>64</v>
      </c>
      <c r="Z23" s="8" t="s">
        <v>65</v>
      </c>
      <c r="AA23" s="8" t="s">
        <v>66</v>
      </c>
      <c r="AB23" s="8" t="s">
        <v>67</v>
      </c>
      <c r="AC23" s="22" t="s">
        <v>313</v>
      </c>
      <c r="AD23" s="25" t="s">
        <v>332</v>
      </c>
      <c r="AE23" s="25" t="s">
        <v>306</v>
      </c>
      <c r="AF23" s="25" t="s">
        <v>307</v>
      </c>
      <c r="AG23" s="8" t="s">
        <v>38</v>
      </c>
      <c r="AH23" s="8" t="s">
        <v>46</v>
      </c>
      <c r="AI23" s="8" t="s">
        <v>68</v>
      </c>
      <c r="AJ23" s="8" t="s">
        <v>276</v>
      </c>
      <c r="AK23" s="8" t="s">
        <v>277</v>
      </c>
      <c r="AL23" s="8" t="s">
        <v>68</v>
      </c>
      <c r="AM23" s="8" t="s">
        <v>69</v>
      </c>
      <c r="AN23" s="25" t="s">
        <v>70</v>
      </c>
      <c r="AO23" s="25" t="s">
        <v>270</v>
      </c>
      <c r="AP23" s="22" t="s">
        <v>333</v>
      </c>
      <c r="AQ23" s="25" t="s">
        <v>262</v>
      </c>
      <c r="AR23" s="25"/>
      <c r="AS23" s="23" t="s">
        <v>328</v>
      </c>
      <c r="AT23" s="73"/>
      <c r="AU23" s="49"/>
      <c r="AV23" s="49"/>
      <c r="AW23" s="25"/>
    </row>
    <row r="24" spans="1:61" x14ac:dyDescent="0.4">
      <c r="A24" s="8" t="s">
        <v>71</v>
      </c>
      <c r="B24" s="25" t="s">
        <v>58</v>
      </c>
      <c r="C24" s="25"/>
      <c r="D24" s="25" t="s">
        <v>258</v>
      </c>
      <c r="E24" s="8" t="s">
        <v>72</v>
      </c>
      <c r="F24" s="3" t="s">
        <v>72</v>
      </c>
      <c r="H24" s="8" t="s">
        <v>44</v>
      </c>
      <c r="I24" s="8"/>
      <c r="J24" s="29" t="s">
        <v>73</v>
      </c>
      <c r="K24" s="29" t="s">
        <v>47</v>
      </c>
      <c r="L24" s="29" t="s">
        <v>44</v>
      </c>
      <c r="M24" s="68" t="s">
        <v>297</v>
      </c>
      <c r="N24" s="68" t="s">
        <v>300</v>
      </c>
      <c r="O24" s="29"/>
      <c r="P24" s="29"/>
      <c r="Q24" s="29" t="s">
        <v>259</v>
      </c>
      <c r="R24" s="29"/>
      <c r="S24" s="8" t="s">
        <v>44</v>
      </c>
      <c r="T24" s="8" t="s">
        <v>290</v>
      </c>
      <c r="U24" s="25" t="s">
        <v>75</v>
      </c>
      <c r="V24" s="8" t="s">
        <v>303</v>
      </c>
      <c r="W24" s="8" t="s">
        <v>76</v>
      </c>
      <c r="X24" s="8" t="s">
        <v>77</v>
      </c>
      <c r="Y24" s="22" t="s">
        <v>78</v>
      </c>
      <c r="Z24" s="8" t="s">
        <v>311</v>
      </c>
      <c r="AA24" s="8" t="s">
        <v>79</v>
      </c>
      <c r="AB24" s="8" t="s">
        <v>312</v>
      </c>
      <c r="AC24" s="33" t="s">
        <v>80</v>
      </c>
      <c r="AD24" s="8" t="s">
        <v>331</v>
      </c>
      <c r="AE24" s="8" t="s">
        <v>54</v>
      </c>
      <c r="AF24" s="33" t="s">
        <v>317</v>
      </c>
      <c r="AG24" s="8" t="s">
        <v>46</v>
      </c>
      <c r="AH24" s="8" t="s">
        <v>81</v>
      </c>
      <c r="AI24" s="25" t="s">
        <v>318</v>
      </c>
      <c r="AJ24" s="8" t="s">
        <v>277</v>
      </c>
      <c r="AK24" s="8" t="s">
        <v>81</v>
      </c>
      <c r="AL24" s="25" t="s">
        <v>320</v>
      </c>
      <c r="AM24" s="25" t="s">
        <v>322</v>
      </c>
      <c r="AN24" s="22" t="s">
        <v>323</v>
      </c>
      <c r="AO24" s="22" t="s">
        <v>82</v>
      </c>
      <c r="AP24" s="25" t="s">
        <v>334</v>
      </c>
      <c r="AQ24" s="22" t="s">
        <v>263</v>
      </c>
      <c r="AR24" s="22" t="s">
        <v>267</v>
      </c>
      <c r="AS24" s="22" t="s">
        <v>269</v>
      </c>
      <c r="AT24" s="74"/>
      <c r="AU24" s="50"/>
      <c r="AV24" s="50"/>
      <c r="AW24" s="22"/>
    </row>
    <row r="25" spans="1:61" x14ac:dyDescent="0.4">
      <c r="A25" s="8" t="s">
        <v>83</v>
      </c>
      <c r="B25" s="25" t="s">
        <v>83</v>
      </c>
      <c r="C25" s="25"/>
      <c r="D25" s="8" t="s">
        <v>326</v>
      </c>
      <c r="E25" s="8" t="s">
        <v>84</v>
      </c>
      <c r="F25" s="3" t="s">
        <v>85</v>
      </c>
      <c r="H25" s="25" t="s">
        <v>325</v>
      </c>
      <c r="I25" s="25"/>
      <c r="J25" s="29">
        <v>2021</v>
      </c>
      <c r="K25" s="68" t="s">
        <v>293</v>
      </c>
      <c r="L25" s="68" t="s">
        <v>295</v>
      </c>
      <c r="M25" s="68" t="s">
        <v>298</v>
      </c>
      <c r="N25" s="68" t="s">
        <v>44</v>
      </c>
      <c r="O25" s="29"/>
      <c r="P25" s="29"/>
      <c r="Q25" s="29" t="s">
        <v>273</v>
      </c>
      <c r="R25" s="29"/>
      <c r="S25" s="29">
        <v>2021</v>
      </c>
      <c r="T25" s="33" t="s">
        <v>302</v>
      </c>
      <c r="U25" s="8" t="s">
        <v>86</v>
      </c>
      <c r="V25" s="33" t="s">
        <v>304</v>
      </c>
      <c r="W25" s="25" t="s">
        <v>327</v>
      </c>
      <c r="X25" s="8">
        <v>2019</v>
      </c>
      <c r="Y25" s="25" t="s">
        <v>310</v>
      </c>
      <c r="Z25" s="25" t="s">
        <v>87</v>
      </c>
      <c r="AA25" s="8">
        <v>2019</v>
      </c>
      <c r="AB25" s="25" t="s">
        <v>87</v>
      </c>
      <c r="AC25" s="25" t="s">
        <v>314</v>
      </c>
      <c r="AD25" s="8" t="s">
        <v>316</v>
      </c>
      <c r="AE25" s="8"/>
      <c r="AF25" s="8"/>
      <c r="AG25" s="25" t="s">
        <v>325</v>
      </c>
      <c r="AH25" s="25" t="s">
        <v>325</v>
      </c>
      <c r="AI25" s="25" t="s">
        <v>319</v>
      </c>
      <c r="AJ25" s="25" t="s">
        <v>325</v>
      </c>
      <c r="AK25" s="25" t="s">
        <v>325</v>
      </c>
      <c r="AL25" s="25" t="s">
        <v>321</v>
      </c>
      <c r="AM25" s="8" t="s">
        <v>279</v>
      </c>
      <c r="AN25" s="25" t="s">
        <v>324</v>
      </c>
      <c r="AO25" s="25" t="s">
        <v>260</v>
      </c>
      <c r="AP25" s="33" t="s">
        <v>335</v>
      </c>
      <c r="AQ25" s="23" t="s">
        <v>264</v>
      </c>
      <c r="AR25" s="25" t="s">
        <v>268</v>
      </c>
      <c r="AS25" s="25" t="s">
        <v>260</v>
      </c>
      <c r="AT25" s="73"/>
      <c r="AU25" s="49"/>
      <c r="AV25" s="49"/>
      <c r="AW25" s="25"/>
    </row>
    <row r="26" spans="1:61" x14ac:dyDescent="0.4">
      <c r="B26" s="5"/>
      <c r="C26" s="5"/>
      <c r="D26" s="5"/>
      <c r="M26" s="8" t="s">
        <v>299</v>
      </c>
      <c r="N26" s="33" t="s">
        <v>301</v>
      </c>
      <c r="Q26" s="3" t="s">
        <v>274</v>
      </c>
      <c r="AU26" s="41"/>
      <c r="AV26" s="41"/>
    </row>
    <row r="27" spans="1:61" ht="14.35" x14ac:dyDescent="0.5">
      <c r="A27" s="8"/>
      <c r="B27" s="25"/>
      <c r="C27" s="25"/>
      <c r="D27">
        <v>58</v>
      </c>
      <c r="E27" s="8">
        <v>1</v>
      </c>
      <c r="F27" s="3" t="s">
        <v>88</v>
      </c>
      <c r="G27" s="54"/>
      <c r="H27">
        <v>381.32</v>
      </c>
      <c r="I27" s="62"/>
      <c r="J27">
        <v>80</v>
      </c>
      <c r="K27" s="60">
        <f>ROUND(J27*0.3,2)</f>
        <v>24</v>
      </c>
      <c r="L27" s="60">
        <f>ROUND(H27*0.6,2)</f>
        <v>228.79</v>
      </c>
      <c r="M27" s="60">
        <f>MAX(J27-L27,0)</f>
        <v>0</v>
      </c>
      <c r="N27" s="60">
        <f>ROUND(M27*0.15,2)</f>
        <v>0</v>
      </c>
      <c r="O27" s="51">
        <f>ROUND(J27/H27,2)</f>
        <v>0.21</v>
      </c>
      <c r="P27" s="51">
        <f t="shared" ref="P27:P58" si="4">IF(O27&gt;0.6,+O27-0.6,0)</f>
        <v>0</v>
      </c>
      <c r="Q27" s="34">
        <f t="shared" ref="Q27:Q58" si="5">ROUND(P27*H27,2)</f>
        <v>0</v>
      </c>
      <c r="R27" s="34">
        <f>ROUND(Q27*0.15,2)</f>
        <v>0</v>
      </c>
      <c r="S27">
        <v>6</v>
      </c>
      <c r="T27" s="60">
        <f>ROUND(S27*0.25,2)</f>
        <v>1.5</v>
      </c>
      <c r="U27" s="36">
        <f t="shared" ref="U27:U58" si="6">ROUND(J27*$U$2,2)</f>
        <v>24</v>
      </c>
      <c r="V27" s="9">
        <f>+H27+K27+N27+T27</f>
        <v>406.82</v>
      </c>
      <c r="W27" s="60">
        <v>393612457.32999998</v>
      </c>
      <c r="X27" s="61">
        <v>3236</v>
      </c>
      <c r="Y27" s="17">
        <f t="shared" ref="Y27:Y90" si="7">ROUND(W27/X27,2)</f>
        <v>121635.49</v>
      </c>
      <c r="Z27" s="37">
        <f t="shared" ref="Z27:Z90" si="8">(ROUND(Y27/$Z$21,6))</f>
        <v>0.61358599999999996</v>
      </c>
      <c r="AA27" s="61">
        <v>105328</v>
      </c>
      <c r="AB27" s="37">
        <f t="shared" ref="AB27:AB90" si="9">(ROUND(AA27/$AB$21,6))</f>
        <v>0.85838000000000003</v>
      </c>
      <c r="AC27" s="37">
        <f>ROUND(1-((Z27*$I$4)+(AB27*$I$5)),6)</f>
        <v>0.31297599999999998</v>
      </c>
      <c r="AD27" s="55">
        <f>IF(C27&gt;=1,MAX($I$7,AC27),MAX($I$6,AC27))</f>
        <v>0.31297599999999998</v>
      </c>
      <c r="AE27" s="38">
        <f t="shared" ref="AE27:AE58" si="10">IF(D27&gt;=1,IF(D27&lt;=5,0.06,IF(D27&lt;=10,0.05,IF(D27&lt;=15,0.04,IF(D27&lt;=19,0.03,0)))),0)</f>
        <v>0</v>
      </c>
      <c r="AF27" s="58">
        <f>+AE27+AD27</f>
        <v>0.31297599999999998</v>
      </c>
      <c r="AG27">
        <v>211</v>
      </c>
      <c r="AH27" s="61">
        <v>6</v>
      </c>
      <c r="AI27" s="11">
        <f>ROUND(AG27*AH27*100,0)</f>
        <v>126600</v>
      </c>
      <c r="AJ27">
        <v>1</v>
      </c>
      <c r="AK27" s="67">
        <v>4</v>
      </c>
      <c r="AL27" s="11">
        <f>ROUND(AJ27*AK27*100,0)</f>
        <v>400</v>
      </c>
      <c r="AM27" s="11">
        <f t="shared" ref="AM27:AM58" si="11">ROUND(V27*AF27*$AM$21,0)</f>
        <v>1467419</v>
      </c>
      <c r="AN27" s="11">
        <f>SUM(AI27+AL27+AM27)</f>
        <v>1594419</v>
      </c>
      <c r="AO27" s="61">
        <v>2004782</v>
      </c>
      <c r="AP27" s="11">
        <f>MAX(0,SUM(AN27,-AO27))</f>
        <v>0</v>
      </c>
      <c r="AQ27" s="56" t="str">
        <f>IF(AN27&gt;AO27,"Yes","No")</f>
        <v>No</v>
      </c>
      <c r="AR27" s="35">
        <f>IF(AQ27="Yes",+AP27*$I$9,0)</f>
        <v>0</v>
      </c>
      <c r="AS27" s="35">
        <f>SUM(AO27,AR27)</f>
        <v>2004782</v>
      </c>
      <c r="AT27"/>
      <c r="AU27" s="35"/>
      <c r="AV27" s="53"/>
      <c r="AW27" s="35"/>
      <c r="AX27" s="21"/>
      <c r="AZ27" s="21"/>
      <c r="BA27" s="21"/>
      <c r="BE27" s="21"/>
      <c r="BF27" s="21"/>
      <c r="BG27" s="21"/>
      <c r="BH27" s="21"/>
      <c r="BI27" s="21"/>
    </row>
    <row r="28" spans="1:61" ht="14.35" x14ac:dyDescent="0.5">
      <c r="A28" s="25">
        <v>1</v>
      </c>
      <c r="B28" s="25">
        <v>1</v>
      </c>
      <c r="C28" s="25">
        <f>+A28+B28</f>
        <v>2</v>
      </c>
      <c r="D28">
        <v>9</v>
      </c>
      <c r="E28" s="8">
        <v>2</v>
      </c>
      <c r="F28" s="3" t="s">
        <v>89</v>
      </c>
      <c r="G28" s="54"/>
      <c r="H28">
        <v>2379.46</v>
      </c>
      <c r="I28" s="63"/>
      <c r="J28">
        <v>1624</v>
      </c>
      <c r="K28" s="60">
        <f t="shared" ref="K28:K91" si="12">ROUND(J28*0.3,2)</f>
        <v>487.2</v>
      </c>
      <c r="L28" s="60">
        <f t="shared" ref="L28:L91" si="13">ROUND(H28*0.6,2)</f>
        <v>1427.68</v>
      </c>
      <c r="M28" s="60">
        <f t="shared" ref="M28:M91" si="14">MAX(J28-L28,0)</f>
        <v>196.31999999999994</v>
      </c>
      <c r="N28" s="60">
        <f t="shared" ref="N28:N91" si="15">ROUND(M28*0.15,2)</f>
        <v>29.45</v>
      </c>
      <c r="O28" s="51">
        <f t="shared" ref="O28:O91" si="16">ROUND(J28/H28,2)</f>
        <v>0.68</v>
      </c>
      <c r="P28" s="51">
        <f t="shared" si="4"/>
        <v>8.0000000000000071E-2</v>
      </c>
      <c r="Q28" s="34">
        <f t="shared" si="5"/>
        <v>190.36</v>
      </c>
      <c r="R28" s="34">
        <f t="shared" ref="R28:R91" si="17">ROUND(Q28*0.15,2)</f>
        <v>28.55</v>
      </c>
      <c r="S28">
        <v>132</v>
      </c>
      <c r="T28" s="60">
        <f t="shared" ref="T28:T91" si="18">ROUND(S28*0.25,2)</f>
        <v>33</v>
      </c>
      <c r="U28" s="36">
        <f t="shared" si="6"/>
        <v>487.2</v>
      </c>
      <c r="V28" s="9">
        <f t="shared" ref="V28:V91" si="19">+H28+K28+N28+T28</f>
        <v>2929.1099999999997</v>
      </c>
      <c r="W28" s="60">
        <v>1532781089.6700001</v>
      </c>
      <c r="X28" s="61">
        <v>18654</v>
      </c>
      <c r="Y28" s="17">
        <f t="shared" si="7"/>
        <v>82169.03</v>
      </c>
      <c r="Z28" s="37">
        <f t="shared" si="8"/>
        <v>0.41449900000000001</v>
      </c>
      <c r="AA28" s="61">
        <v>54901</v>
      </c>
      <c r="AB28" s="37">
        <f t="shared" si="9"/>
        <v>0.44742100000000001</v>
      </c>
      <c r="AC28" s="37">
        <f>ROUND(1-((Z28*$I$4)+(AB28*$I$5)),6)</f>
        <v>0.57562400000000002</v>
      </c>
      <c r="AD28" s="55">
        <f t="shared" ref="AD28:AD91" si="20">IF(C28&gt;=1,MAX($I$7,AC28),MAX($I$6,AC28))</f>
        <v>0.57562400000000002</v>
      </c>
      <c r="AE28" s="38">
        <f t="shared" si="10"/>
        <v>0.05</v>
      </c>
      <c r="AF28" s="58">
        <f t="shared" ref="AF28:AF91" si="21">+AE28+AD28</f>
        <v>0.62562400000000007</v>
      </c>
      <c r="AG28">
        <v>0</v>
      </c>
      <c r="AH28" s="61">
        <v>0</v>
      </c>
      <c r="AI28" s="11">
        <f t="shared" ref="AI28:AI91" si="22">ROUND(AG28*AH28*100,0)</f>
        <v>0</v>
      </c>
      <c r="AJ28">
        <v>0</v>
      </c>
      <c r="AK28" s="67"/>
      <c r="AL28" s="11">
        <f t="shared" ref="AL28:AL91" si="23">ROUND(AJ28*AK28*100,0)</f>
        <v>0</v>
      </c>
      <c r="AM28" s="11">
        <f t="shared" si="11"/>
        <v>21119810</v>
      </c>
      <c r="AN28" s="11">
        <f t="shared" ref="AN28:AN91" si="24">SUM(AI28+AL28+AM28)</f>
        <v>21119810</v>
      </c>
      <c r="AO28" s="61">
        <v>18448067</v>
      </c>
      <c r="AP28" s="11">
        <f t="shared" ref="AP28:AP91" si="25">MAX(0,SUM(AN28,-AO28))</f>
        <v>2671743</v>
      </c>
      <c r="AQ28" s="56" t="str">
        <f t="shared" ref="AQ28:AQ91" si="26">IF(AN28&gt;AO28,"Yes","No")</f>
        <v>Yes</v>
      </c>
      <c r="AR28" s="35">
        <f>IF(AQ28="Yes",+AP28*$I$9,0)</f>
        <v>445379.55809999997</v>
      </c>
      <c r="AS28" s="35">
        <f t="shared" ref="AS28:AS91" si="27">SUM(AO28,AR28)</f>
        <v>18893446.5581</v>
      </c>
      <c r="AT28"/>
      <c r="AU28" s="35"/>
      <c r="AV28" s="53"/>
      <c r="AW28" s="35"/>
      <c r="AX28" s="21"/>
      <c r="AZ28" s="21"/>
      <c r="BA28" s="21"/>
      <c r="BE28" s="21"/>
      <c r="BF28" s="21"/>
      <c r="BG28" s="21"/>
      <c r="BH28" s="21"/>
      <c r="BI28" s="21"/>
    </row>
    <row r="29" spans="1:61" ht="14.35" x14ac:dyDescent="0.5">
      <c r="A29" s="8"/>
      <c r="B29" s="25"/>
      <c r="C29" s="25"/>
      <c r="D29">
        <v>49</v>
      </c>
      <c r="E29" s="8">
        <v>3</v>
      </c>
      <c r="F29" s="3" t="s">
        <v>90</v>
      </c>
      <c r="G29" s="54"/>
      <c r="H29">
        <v>506.87</v>
      </c>
      <c r="I29" s="62"/>
      <c r="J29">
        <v>161</v>
      </c>
      <c r="K29" s="60">
        <f t="shared" si="12"/>
        <v>48.3</v>
      </c>
      <c r="L29" s="60">
        <f t="shared" si="13"/>
        <v>304.12</v>
      </c>
      <c r="M29" s="60">
        <f t="shared" si="14"/>
        <v>0</v>
      </c>
      <c r="N29" s="60">
        <f t="shared" si="15"/>
        <v>0</v>
      </c>
      <c r="O29" s="51">
        <f t="shared" si="16"/>
        <v>0.32</v>
      </c>
      <c r="P29" s="51">
        <f t="shared" si="4"/>
        <v>0</v>
      </c>
      <c r="Q29" s="34">
        <f t="shared" si="5"/>
        <v>0</v>
      </c>
      <c r="R29" s="34">
        <f t="shared" si="17"/>
        <v>0</v>
      </c>
      <c r="S29">
        <v>5</v>
      </c>
      <c r="T29" s="60">
        <f t="shared" si="18"/>
        <v>1.25</v>
      </c>
      <c r="U29" s="36">
        <f t="shared" si="6"/>
        <v>48.3</v>
      </c>
      <c r="V29" s="9">
        <f t="shared" si="19"/>
        <v>556.41999999999996</v>
      </c>
      <c r="W29" s="60">
        <v>479367345.67000002</v>
      </c>
      <c r="X29" s="61">
        <v>4255</v>
      </c>
      <c r="Y29" s="17">
        <f t="shared" si="7"/>
        <v>112659.78</v>
      </c>
      <c r="Z29" s="37">
        <f t="shared" si="8"/>
        <v>0.56830899999999995</v>
      </c>
      <c r="AA29" s="61">
        <v>70952</v>
      </c>
      <c r="AB29" s="37">
        <f t="shared" si="9"/>
        <v>0.57823000000000002</v>
      </c>
      <c r="AC29" s="37">
        <f t="shared" ref="AC29:AC92" si="28">ROUND(1-((Z29*$I$4)+(AB29*$I$5)),6)</f>
        <v>0.42871500000000001</v>
      </c>
      <c r="AD29" s="55">
        <f t="shared" si="20"/>
        <v>0.42871500000000001</v>
      </c>
      <c r="AE29" s="38">
        <f t="shared" si="10"/>
        <v>0</v>
      </c>
      <c r="AF29" s="58">
        <f t="shared" si="21"/>
        <v>0.42871500000000001</v>
      </c>
      <c r="AG29">
        <v>145</v>
      </c>
      <c r="AH29" s="61">
        <v>4</v>
      </c>
      <c r="AI29" s="11">
        <f t="shared" si="22"/>
        <v>58000</v>
      </c>
      <c r="AJ29">
        <v>0</v>
      </c>
      <c r="AK29" s="67"/>
      <c r="AL29" s="11">
        <f t="shared" si="23"/>
        <v>0</v>
      </c>
      <c r="AM29" s="11">
        <f t="shared" si="11"/>
        <v>2749238</v>
      </c>
      <c r="AN29" s="11">
        <f t="shared" si="24"/>
        <v>2807238</v>
      </c>
      <c r="AO29" s="61">
        <v>3459062</v>
      </c>
      <c r="AP29" s="11">
        <f t="shared" si="25"/>
        <v>0</v>
      </c>
      <c r="AQ29" s="56" t="str">
        <f t="shared" si="26"/>
        <v>No</v>
      </c>
      <c r="AR29" s="35">
        <f>IF(AQ29="Yes",+AP29*$I$9,0)</f>
        <v>0</v>
      </c>
      <c r="AS29" s="35">
        <f t="shared" si="27"/>
        <v>3459062</v>
      </c>
      <c r="AT29"/>
      <c r="AU29" s="35"/>
      <c r="AV29" s="53"/>
      <c r="AW29" s="35"/>
      <c r="AX29" s="21"/>
      <c r="AZ29" s="21"/>
      <c r="BA29" s="21"/>
      <c r="BE29" s="21"/>
      <c r="BF29" s="21"/>
      <c r="BG29" s="21"/>
      <c r="BH29" s="21"/>
      <c r="BI29" s="21"/>
    </row>
    <row r="30" spans="1:61" ht="14.35" x14ac:dyDescent="0.5">
      <c r="A30" s="8"/>
      <c r="B30" s="25"/>
      <c r="C30" s="25"/>
      <c r="D30">
        <v>153</v>
      </c>
      <c r="E30" s="8">
        <v>4</v>
      </c>
      <c r="F30" s="3" t="s">
        <v>91</v>
      </c>
      <c r="G30" s="54"/>
      <c r="H30">
        <v>3128.84</v>
      </c>
      <c r="I30" s="62"/>
      <c r="J30">
        <v>237</v>
      </c>
      <c r="K30" s="60">
        <f t="shared" si="12"/>
        <v>71.099999999999994</v>
      </c>
      <c r="L30" s="60">
        <f t="shared" si="13"/>
        <v>1877.3</v>
      </c>
      <c r="M30" s="60">
        <f t="shared" si="14"/>
        <v>0</v>
      </c>
      <c r="N30" s="60">
        <f t="shared" si="15"/>
        <v>0</v>
      </c>
      <c r="O30" s="51">
        <f t="shared" si="16"/>
        <v>0.08</v>
      </c>
      <c r="P30" s="51">
        <f t="shared" si="4"/>
        <v>0</v>
      </c>
      <c r="Q30" s="34">
        <f t="shared" si="5"/>
        <v>0</v>
      </c>
      <c r="R30" s="34">
        <f t="shared" si="17"/>
        <v>0</v>
      </c>
      <c r="S30">
        <v>73</v>
      </c>
      <c r="T30" s="60">
        <f t="shared" si="18"/>
        <v>18.25</v>
      </c>
      <c r="U30" s="36">
        <f t="shared" si="6"/>
        <v>71.099999999999994</v>
      </c>
      <c r="V30" s="9">
        <f t="shared" si="19"/>
        <v>3218.19</v>
      </c>
      <c r="W30" s="60">
        <v>3695674047</v>
      </c>
      <c r="X30" s="61">
        <v>18276</v>
      </c>
      <c r="Y30" s="17">
        <f t="shared" si="7"/>
        <v>202214.6</v>
      </c>
      <c r="Z30" s="37">
        <f t="shared" si="8"/>
        <v>1.020065</v>
      </c>
      <c r="AA30" s="61">
        <v>131130</v>
      </c>
      <c r="AB30" s="37">
        <f t="shared" si="9"/>
        <v>1.0686560000000001</v>
      </c>
      <c r="AC30" s="37">
        <f t="shared" si="28"/>
        <v>-3.4641999999999999E-2</v>
      </c>
      <c r="AD30" s="55">
        <f t="shared" si="20"/>
        <v>0.01</v>
      </c>
      <c r="AE30" s="38">
        <f t="shared" si="10"/>
        <v>0</v>
      </c>
      <c r="AF30" s="58">
        <f t="shared" si="21"/>
        <v>0.01</v>
      </c>
      <c r="AG30">
        <v>0</v>
      </c>
      <c r="AH30" s="61">
        <v>0</v>
      </c>
      <c r="AI30" s="11">
        <f t="shared" si="22"/>
        <v>0</v>
      </c>
      <c r="AJ30">
        <v>0</v>
      </c>
      <c r="AK30" s="67"/>
      <c r="AL30" s="11">
        <f t="shared" si="23"/>
        <v>0</v>
      </c>
      <c r="AM30" s="11">
        <f t="shared" si="11"/>
        <v>370896</v>
      </c>
      <c r="AN30" s="11">
        <f t="shared" si="24"/>
        <v>370896</v>
      </c>
      <c r="AO30" s="61">
        <v>584016</v>
      </c>
      <c r="AP30" s="11">
        <f t="shared" si="25"/>
        <v>0</v>
      </c>
      <c r="AQ30" s="56" t="str">
        <f t="shared" si="26"/>
        <v>No</v>
      </c>
      <c r="AR30" s="35">
        <f>IF(AQ30="Yes",+AP30*$I$9,0)</f>
        <v>0</v>
      </c>
      <c r="AS30" s="35">
        <f t="shared" si="27"/>
        <v>584016</v>
      </c>
      <c r="AT30"/>
      <c r="AU30" s="35"/>
      <c r="AV30" s="53"/>
      <c r="AW30" s="35"/>
      <c r="AX30" s="21"/>
      <c r="AZ30" s="21"/>
      <c r="BA30" s="21"/>
      <c r="BE30" s="21"/>
      <c r="BF30" s="21"/>
      <c r="BG30" s="21"/>
      <c r="BH30" s="21"/>
      <c r="BI30" s="21"/>
    </row>
    <row r="31" spans="1:61" ht="14.35" x14ac:dyDescent="0.5">
      <c r="A31" s="8"/>
      <c r="B31" s="25"/>
      <c r="C31" s="25"/>
      <c r="D31">
        <v>110</v>
      </c>
      <c r="E31" s="8">
        <v>5</v>
      </c>
      <c r="F31" s="3" t="s">
        <v>92</v>
      </c>
      <c r="G31" s="54"/>
      <c r="H31">
        <v>450.3</v>
      </c>
      <c r="I31" s="62"/>
      <c r="J31">
        <v>92</v>
      </c>
      <c r="K31" s="60">
        <f t="shared" si="12"/>
        <v>27.6</v>
      </c>
      <c r="L31" s="60">
        <f t="shared" si="13"/>
        <v>270.18</v>
      </c>
      <c r="M31" s="60">
        <f t="shared" si="14"/>
        <v>0</v>
      </c>
      <c r="N31" s="60">
        <f t="shared" si="15"/>
        <v>0</v>
      </c>
      <c r="O31" s="51">
        <f t="shared" si="16"/>
        <v>0.2</v>
      </c>
      <c r="P31" s="51">
        <f t="shared" si="4"/>
        <v>0</v>
      </c>
      <c r="Q31" s="34">
        <f t="shared" si="5"/>
        <v>0</v>
      </c>
      <c r="R31" s="34">
        <f t="shared" si="17"/>
        <v>0</v>
      </c>
      <c r="S31">
        <v>2</v>
      </c>
      <c r="T31" s="60">
        <f t="shared" si="18"/>
        <v>0.5</v>
      </c>
      <c r="U31" s="36">
        <f t="shared" si="6"/>
        <v>27.6</v>
      </c>
      <c r="V31" s="9">
        <f t="shared" si="19"/>
        <v>478.40000000000003</v>
      </c>
      <c r="W31" s="60">
        <v>537795292.66999996</v>
      </c>
      <c r="X31" s="61">
        <v>3606</v>
      </c>
      <c r="Y31" s="17">
        <f t="shared" si="7"/>
        <v>149139.01999999999</v>
      </c>
      <c r="Z31" s="37">
        <f t="shared" si="8"/>
        <v>0.75232699999999997</v>
      </c>
      <c r="AA31" s="61">
        <v>109688</v>
      </c>
      <c r="AB31" s="37">
        <f t="shared" si="9"/>
        <v>0.89391200000000004</v>
      </c>
      <c r="AC31" s="37">
        <f t="shared" si="28"/>
        <v>0.20519799999999999</v>
      </c>
      <c r="AD31" s="55">
        <f t="shared" si="20"/>
        <v>0.20519799999999999</v>
      </c>
      <c r="AE31" s="38">
        <f t="shared" si="10"/>
        <v>0</v>
      </c>
      <c r="AF31" s="58">
        <f t="shared" si="21"/>
        <v>0.20519799999999999</v>
      </c>
      <c r="AG31">
        <v>249</v>
      </c>
      <c r="AH31" s="61">
        <v>6</v>
      </c>
      <c r="AI31" s="11">
        <f t="shared" si="22"/>
        <v>149400</v>
      </c>
      <c r="AJ31">
        <v>0</v>
      </c>
      <c r="AK31" s="67"/>
      <c r="AL31" s="11">
        <f t="shared" si="23"/>
        <v>0</v>
      </c>
      <c r="AM31" s="11">
        <f t="shared" si="11"/>
        <v>1131371</v>
      </c>
      <c r="AN31" s="11">
        <f t="shared" si="24"/>
        <v>1280771</v>
      </c>
      <c r="AO31" s="61">
        <v>1494242</v>
      </c>
      <c r="AP31" s="11">
        <f t="shared" si="25"/>
        <v>0</v>
      </c>
      <c r="AQ31" s="56" t="str">
        <f t="shared" si="26"/>
        <v>No</v>
      </c>
      <c r="AR31" s="35">
        <f>IF(AQ31="Yes",+AP31*$I$9,0)</f>
        <v>0</v>
      </c>
      <c r="AS31" s="35">
        <f t="shared" si="27"/>
        <v>1494242</v>
      </c>
      <c r="AT31"/>
      <c r="AU31" s="35"/>
      <c r="AV31" s="53"/>
      <c r="AW31" s="35"/>
      <c r="AX31" s="21"/>
      <c r="AZ31" s="21"/>
      <c r="BA31" s="21"/>
      <c r="BE31" s="21"/>
      <c r="BF31" s="21"/>
      <c r="BG31" s="21"/>
      <c r="BH31" s="21"/>
      <c r="BI31" s="21"/>
    </row>
    <row r="32" spans="1:61" ht="14.35" x14ac:dyDescent="0.5">
      <c r="A32" s="8"/>
      <c r="B32" s="25"/>
      <c r="C32" s="25"/>
      <c r="D32">
        <v>70</v>
      </c>
      <c r="E32" s="8">
        <v>6</v>
      </c>
      <c r="F32" s="3" t="s">
        <v>93</v>
      </c>
      <c r="G32" s="54"/>
      <c r="H32">
        <v>727.7</v>
      </c>
      <c r="I32" s="64"/>
      <c r="J32">
        <v>175</v>
      </c>
      <c r="K32" s="60">
        <f t="shared" si="12"/>
        <v>52.5</v>
      </c>
      <c r="L32" s="60">
        <f t="shared" si="13"/>
        <v>436.62</v>
      </c>
      <c r="M32" s="60">
        <f t="shared" si="14"/>
        <v>0</v>
      </c>
      <c r="N32" s="60">
        <f t="shared" si="15"/>
        <v>0</v>
      </c>
      <c r="O32" s="51">
        <f t="shared" si="16"/>
        <v>0.24</v>
      </c>
      <c r="P32" s="51">
        <f t="shared" si="4"/>
        <v>0</v>
      </c>
      <c r="Q32" s="34">
        <f t="shared" si="5"/>
        <v>0</v>
      </c>
      <c r="R32" s="34">
        <f t="shared" si="17"/>
        <v>0</v>
      </c>
      <c r="S32">
        <v>12</v>
      </c>
      <c r="T32" s="60">
        <f t="shared" si="18"/>
        <v>3</v>
      </c>
      <c r="U32" s="36">
        <f t="shared" si="6"/>
        <v>52.5</v>
      </c>
      <c r="V32" s="9">
        <f t="shared" si="19"/>
        <v>783.2</v>
      </c>
      <c r="W32" s="60">
        <v>744618716.33000004</v>
      </c>
      <c r="X32" s="61">
        <v>6222</v>
      </c>
      <c r="Y32" s="17">
        <f t="shared" si="7"/>
        <v>119675.14</v>
      </c>
      <c r="Z32" s="37">
        <f t="shared" si="8"/>
        <v>0.60369700000000004</v>
      </c>
      <c r="AA32" s="61">
        <v>85024</v>
      </c>
      <c r="AB32" s="37">
        <f t="shared" si="9"/>
        <v>0.69291100000000005</v>
      </c>
      <c r="AC32" s="37">
        <f t="shared" si="28"/>
        <v>0.36953900000000001</v>
      </c>
      <c r="AD32" s="55">
        <f t="shared" si="20"/>
        <v>0.36953900000000001</v>
      </c>
      <c r="AE32" s="38">
        <f t="shared" si="10"/>
        <v>0</v>
      </c>
      <c r="AF32" s="58">
        <f t="shared" si="21"/>
        <v>0.36953900000000001</v>
      </c>
      <c r="AG32">
        <v>726</v>
      </c>
      <c r="AH32" s="61">
        <v>13</v>
      </c>
      <c r="AI32" s="11">
        <f t="shared" si="22"/>
        <v>943800</v>
      </c>
      <c r="AJ32">
        <v>0</v>
      </c>
      <c r="AK32" s="67"/>
      <c r="AL32" s="11">
        <f t="shared" si="23"/>
        <v>0</v>
      </c>
      <c r="AM32" s="11">
        <f t="shared" si="11"/>
        <v>3335599</v>
      </c>
      <c r="AN32" s="11">
        <f t="shared" si="24"/>
        <v>4279399</v>
      </c>
      <c r="AO32" s="61">
        <v>3959463</v>
      </c>
      <c r="AP32" s="11">
        <f t="shared" si="25"/>
        <v>319936</v>
      </c>
      <c r="AQ32" s="56" t="str">
        <f t="shared" si="26"/>
        <v>Yes</v>
      </c>
      <c r="AR32" s="35">
        <f>IF(AQ32="Yes",+AP32*$I$9,0)</f>
        <v>53333.331199999993</v>
      </c>
      <c r="AS32" s="35">
        <f t="shared" si="27"/>
        <v>4012796.3311999999</v>
      </c>
      <c r="AT32"/>
      <c r="AU32" s="35"/>
      <c r="AV32" s="53"/>
      <c r="AW32" s="35"/>
      <c r="AX32" s="21"/>
      <c r="AZ32" s="21"/>
      <c r="BA32" s="21"/>
      <c r="BE32" s="21"/>
      <c r="BF32" s="21"/>
      <c r="BG32" s="21"/>
      <c r="BH32" s="21"/>
      <c r="BI32" s="21"/>
    </row>
    <row r="33" spans="1:61" ht="14.35" x14ac:dyDescent="0.5">
      <c r="A33" s="8"/>
      <c r="B33" s="25"/>
      <c r="C33" s="25"/>
      <c r="D33">
        <v>95</v>
      </c>
      <c r="E33" s="8">
        <v>7</v>
      </c>
      <c r="F33" s="3" t="s">
        <v>94</v>
      </c>
      <c r="G33" s="54"/>
      <c r="H33">
        <v>2682.06</v>
      </c>
      <c r="I33" s="62"/>
      <c r="J33">
        <v>530</v>
      </c>
      <c r="K33" s="60">
        <f t="shared" si="12"/>
        <v>159</v>
      </c>
      <c r="L33" s="60">
        <f t="shared" si="13"/>
        <v>1609.24</v>
      </c>
      <c r="M33" s="60">
        <f t="shared" si="14"/>
        <v>0</v>
      </c>
      <c r="N33" s="60">
        <f t="shared" si="15"/>
        <v>0</v>
      </c>
      <c r="O33" s="51">
        <f t="shared" si="16"/>
        <v>0.2</v>
      </c>
      <c r="P33" s="51">
        <f t="shared" si="4"/>
        <v>0</v>
      </c>
      <c r="Q33" s="34">
        <f t="shared" si="5"/>
        <v>0</v>
      </c>
      <c r="R33" s="34">
        <f t="shared" si="17"/>
        <v>0</v>
      </c>
      <c r="S33">
        <v>91</v>
      </c>
      <c r="T33" s="60">
        <f t="shared" si="18"/>
        <v>22.75</v>
      </c>
      <c r="U33" s="36">
        <f t="shared" si="6"/>
        <v>159</v>
      </c>
      <c r="V33" s="9">
        <f t="shared" si="19"/>
        <v>2863.81</v>
      </c>
      <c r="W33" s="60">
        <v>3413037416.6700001</v>
      </c>
      <c r="X33" s="61">
        <v>20436</v>
      </c>
      <c r="Y33" s="17">
        <f t="shared" si="7"/>
        <v>167011.03</v>
      </c>
      <c r="Z33" s="37">
        <f t="shared" si="8"/>
        <v>0.84248199999999995</v>
      </c>
      <c r="AA33" s="61">
        <v>101127</v>
      </c>
      <c r="AB33" s="37">
        <f t="shared" si="9"/>
        <v>0.82414399999999999</v>
      </c>
      <c r="AC33" s="37">
        <f t="shared" si="28"/>
        <v>0.163019</v>
      </c>
      <c r="AD33" s="55">
        <f t="shared" si="20"/>
        <v>0.163019</v>
      </c>
      <c r="AE33" s="38">
        <f t="shared" si="10"/>
        <v>0</v>
      </c>
      <c r="AF33" s="58">
        <f t="shared" si="21"/>
        <v>0.163019</v>
      </c>
      <c r="AG33">
        <v>0</v>
      </c>
      <c r="AH33" s="61">
        <v>0</v>
      </c>
      <c r="AI33" s="11">
        <f t="shared" si="22"/>
        <v>0</v>
      </c>
      <c r="AJ33">
        <v>0</v>
      </c>
      <c r="AK33" s="67"/>
      <c r="AL33" s="11">
        <f t="shared" si="23"/>
        <v>0</v>
      </c>
      <c r="AM33" s="11">
        <f t="shared" si="11"/>
        <v>5380509</v>
      </c>
      <c r="AN33" s="11">
        <f t="shared" si="24"/>
        <v>5380509</v>
      </c>
      <c r="AO33" s="61">
        <v>5870600</v>
      </c>
      <c r="AP33" s="11">
        <f t="shared" si="25"/>
        <v>0</v>
      </c>
      <c r="AQ33" s="56" t="str">
        <f t="shared" si="26"/>
        <v>No</v>
      </c>
      <c r="AR33" s="35">
        <f>IF(AQ33="Yes",+AP33*$I$9,0)</f>
        <v>0</v>
      </c>
      <c r="AS33" s="35">
        <f t="shared" si="27"/>
        <v>5870600</v>
      </c>
      <c r="AT33"/>
      <c r="AU33" s="35"/>
      <c r="AV33" s="53"/>
      <c r="AW33" s="35"/>
      <c r="AX33" s="21"/>
      <c r="AZ33" s="21"/>
      <c r="BA33" s="21"/>
      <c r="BE33" s="21"/>
      <c r="BF33" s="21"/>
      <c r="BG33" s="21"/>
      <c r="BH33" s="21"/>
      <c r="BI33" s="21"/>
    </row>
    <row r="34" spans="1:61" ht="14.35" x14ac:dyDescent="0.5">
      <c r="A34" s="8"/>
      <c r="B34" s="25"/>
      <c r="C34" s="25"/>
      <c r="D34">
        <v>125</v>
      </c>
      <c r="E34" s="8">
        <v>8</v>
      </c>
      <c r="F34" s="3" t="s">
        <v>95</v>
      </c>
      <c r="G34" s="54"/>
      <c r="H34">
        <v>755.51</v>
      </c>
      <c r="I34" s="62"/>
      <c r="J34">
        <v>85</v>
      </c>
      <c r="K34" s="60">
        <f t="shared" si="12"/>
        <v>25.5</v>
      </c>
      <c r="L34" s="60">
        <f t="shared" si="13"/>
        <v>453.31</v>
      </c>
      <c r="M34" s="60">
        <f t="shared" si="14"/>
        <v>0</v>
      </c>
      <c r="N34" s="60">
        <f t="shared" si="15"/>
        <v>0</v>
      </c>
      <c r="O34" s="51">
        <f t="shared" si="16"/>
        <v>0.11</v>
      </c>
      <c r="P34" s="51">
        <f t="shared" si="4"/>
        <v>0</v>
      </c>
      <c r="Q34" s="34">
        <f t="shared" si="5"/>
        <v>0</v>
      </c>
      <c r="R34" s="34">
        <f t="shared" si="17"/>
        <v>0</v>
      </c>
      <c r="S34">
        <v>12</v>
      </c>
      <c r="T34" s="60">
        <f t="shared" si="18"/>
        <v>3</v>
      </c>
      <c r="U34" s="36">
        <f t="shared" si="6"/>
        <v>25.5</v>
      </c>
      <c r="V34" s="9">
        <f t="shared" si="19"/>
        <v>784.01</v>
      </c>
      <c r="W34" s="60">
        <v>839077987.33000004</v>
      </c>
      <c r="X34" s="61">
        <v>5548</v>
      </c>
      <c r="Y34" s="17">
        <f t="shared" si="7"/>
        <v>151239.72</v>
      </c>
      <c r="Z34" s="37">
        <f t="shared" si="8"/>
        <v>0.76292400000000005</v>
      </c>
      <c r="AA34" s="61">
        <v>129133</v>
      </c>
      <c r="AB34" s="37">
        <f t="shared" si="9"/>
        <v>1.052381</v>
      </c>
      <c r="AC34" s="37">
        <f t="shared" si="28"/>
        <v>0.15023900000000001</v>
      </c>
      <c r="AD34" s="55">
        <f t="shared" si="20"/>
        <v>0.15023900000000001</v>
      </c>
      <c r="AE34" s="38">
        <f t="shared" si="10"/>
        <v>0</v>
      </c>
      <c r="AF34" s="58">
        <f t="shared" si="21"/>
        <v>0.15023900000000001</v>
      </c>
      <c r="AG34">
        <v>365</v>
      </c>
      <c r="AH34" s="61">
        <v>6</v>
      </c>
      <c r="AI34" s="11">
        <f t="shared" si="22"/>
        <v>219000</v>
      </c>
      <c r="AJ34">
        <v>0</v>
      </c>
      <c r="AK34" s="67"/>
      <c r="AL34" s="11">
        <f t="shared" si="23"/>
        <v>0</v>
      </c>
      <c r="AM34" s="11">
        <f t="shared" si="11"/>
        <v>1357517</v>
      </c>
      <c r="AN34" s="11">
        <f t="shared" si="24"/>
        <v>1576517</v>
      </c>
      <c r="AO34" s="61">
        <v>1764574</v>
      </c>
      <c r="AP34" s="11">
        <f t="shared" si="25"/>
        <v>0</v>
      </c>
      <c r="AQ34" s="56" t="str">
        <f t="shared" si="26"/>
        <v>No</v>
      </c>
      <c r="AR34" s="35">
        <f>IF(AQ34="Yes",+AP34*$I$9,0)</f>
        <v>0</v>
      </c>
      <c r="AS34" s="35">
        <f t="shared" si="27"/>
        <v>1764574</v>
      </c>
      <c r="AT34"/>
      <c r="AU34" s="35"/>
      <c r="AV34" s="53"/>
      <c r="AW34" s="35"/>
      <c r="AX34" s="21"/>
      <c r="AZ34" s="21"/>
      <c r="BA34" s="21"/>
      <c r="BE34" s="21"/>
      <c r="BF34" s="21"/>
      <c r="BG34" s="21"/>
      <c r="BH34" s="21"/>
      <c r="BI34" s="21"/>
    </row>
    <row r="35" spans="1:61" ht="14.35" x14ac:dyDescent="0.5">
      <c r="A35" s="8"/>
      <c r="B35" s="25"/>
      <c r="C35" s="25"/>
      <c r="D35">
        <v>60</v>
      </c>
      <c r="E35" s="8">
        <v>9</v>
      </c>
      <c r="F35" s="3" t="s">
        <v>96</v>
      </c>
      <c r="G35" s="54"/>
      <c r="H35">
        <v>3110.01</v>
      </c>
      <c r="I35" s="62"/>
      <c r="J35">
        <v>940</v>
      </c>
      <c r="K35" s="60">
        <f t="shared" si="12"/>
        <v>282</v>
      </c>
      <c r="L35" s="60">
        <f t="shared" si="13"/>
        <v>1866.01</v>
      </c>
      <c r="M35" s="60">
        <f t="shared" si="14"/>
        <v>0</v>
      </c>
      <c r="N35" s="60">
        <f t="shared" si="15"/>
        <v>0</v>
      </c>
      <c r="O35" s="51">
        <f t="shared" si="16"/>
        <v>0.3</v>
      </c>
      <c r="P35" s="51">
        <f t="shared" si="4"/>
        <v>0</v>
      </c>
      <c r="Q35" s="34">
        <f t="shared" si="5"/>
        <v>0</v>
      </c>
      <c r="R35" s="34">
        <f t="shared" si="17"/>
        <v>0</v>
      </c>
      <c r="S35">
        <v>173</v>
      </c>
      <c r="T35" s="60">
        <f t="shared" si="18"/>
        <v>43.25</v>
      </c>
      <c r="U35" s="36">
        <f t="shared" si="6"/>
        <v>282</v>
      </c>
      <c r="V35" s="9">
        <f t="shared" si="19"/>
        <v>3435.26</v>
      </c>
      <c r="W35" s="60">
        <v>3086828513.6700001</v>
      </c>
      <c r="X35" s="61">
        <v>19800</v>
      </c>
      <c r="Y35" s="17">
        <f t="shared" si="7"/>
        <v>155900.43</v>
      </c>
      <c r="Z35" s="37">
        <f t="shared" si="8"/>
        <v>0.786435</v>
      </c>
      <c r="AA35" s="61">
        <v>101968</v>
      </c>
      <c r="AB35" s="37">
        <f t="shared" si="9"/>
        <v>0.83099699999999999</v>
      </c>
      <c r="AC35" s="37">
        <f t="shared" si="28"/>
        <v>0.20019600000000001</v>
      </c>
      <c r="AD35" s="55">
        <f t="shared" si="20"/>
        <v>0.20019600000000001</v>
      </c>
      <c r="AE35" s="38">
        <f t="shared" si="10"/>
        <v>0</v>
      </c>
      <c r="AF35" s="58">
        <f t="shared" si="21"/>
        <v>0.20019600000000001</v>
      </c>
      <c r="AG35">
        <v>0</v>
      </c>
      <c r="AH35" s="61">
        <v>0</v>
      </c>
      <c r="AI35" s="11">
        <f t="shared" si="22"/>
        <v>0</v>
      </c>
      <c r="AJ35">
        <v>0</v>
      </c>
      <c r="AK35" s="67"/>
      <c r="AL35" s="11">
        <f t="shared" si="23"/>
        <v>0</v>
      </c>
      <c r="AM35" s="11">
        <f t="shared" si="11"/>
        <v>7926034</v>
      </c>
      <c r="AN35" s="11">
        <f t="shared" si="24"/>
        <v>7926034</v>
      </c>
      <c r="AO35" s="61">
        <v>7880729</v>
      </c>
      <c r="AP35" s="11">
        <f t="shared" si="25"/>
        <v>45305</v>
      </c>
      <c r="AQ35" s="56" t="str">
        <f t="shared" si="26"/>
        <v>Yes</v>
      </c>
      <c r="AR35" s="35">
        <f>IF(AQ35="Yes",+AP35*$I$9,0)</f>
        <v>7552.343499999999</v>
      </c>
      <c r="AS35" s="35">
        <f t="shared" si="27"/>
        <v>7888281.3435000004</v>
      </c>
      <c r="AT35"/>
      <c r="AU35" s="35"/>
      <c r="AV35" s="53"/>
      <c r="AW35" s="35"/>
      <c r="AX35" s="21"/>
      <c r="AZ35" s="21"/>
      <c r="BA35" s="21"/>
      <c r="BE35" s="21"/>
      <c r="BF35" s="21"/>
      <c r="BG35" s="21"/>
      <c r="BH35" s="21"/>
      <c r="BI35" s="21"/>
    </row>
    <row r="36" spans="1:61" ht="14.35" x14ac:dyDescent="0.5">
      <c r="A36" s="8"/>
      <c r="B36" s="25"/>
      <c r="C36" s="25"/>
      <c r="D36">
        <v>129</v>
      </c>
      <c r="E36" s="8">
        <v>10</v>
      </c>
      <c r="F36" s="3" t="s">
        <v>97</v>
      </c>
      <c r="G36" s="54"/>
      <c r="H36">
        <v>362.84</v>
      </c>
      <c r="I36" s="62"/>
      <c r="J36">
        <v>103</v>
      </c>
      <c r="K36" s="60">
        <f t="shared" si="12"/>
        <v>30.9</v>
      </c>
      <c r="L36" s="60">
        <f t="shared" si="13"/>
        <v>217.7</v>
      </c>
      <c r="M36" s="60">
        <f t="shared" si="14"/>
        <v>0</v>
      </c>
      <c r="N36" s="60">
        <f t="shared" si="15"/>
        <v>0</v>
      </c>
      <c r="O36" s="51">
        <f t="shared" si="16"/>
        <v>0.28000000000000003</v>
      </c>
      <c r="P36" s="51">
        <f t="shared" si="4"/>
        <v>0</v>
      </c>
      <c r="Q36" s="34">
        <f t="shared" si="5"/>
        <v>0</v>
      </c>
      <c r="R36" s="34">
        <f t="shared" si="17"/>
        <v>0</v>
      </c>
      <c r="S36">
        <v>4</v>
      </c>
      <c r="T36" s="60">
        <f t="shared" si="18"/>
        <v>1</v>
      </c>
      <c r="U36" s="36">
        <f t="shared" si="6"/>
        <v>30.9</v>
      </c>
      <c r="V36" s="9">
        <f t="shared" si="19"/>
        <v>394.73999999999995</v>
      </c>
      <c r="W36" s="60">
        <v>545763911</v>
      </c>
      <c r="X36" s="61">
        <v>3402</v>
      </c>
      <c r="Y36" s="17">
        <f t="shared" si="7"/>
        <v>160424.43</v>
      </c>
      <c r="Z36" s="37">
        <f t="shared" si="8"/>
        <v>0.80925599999999998</v>
      </c>
      <c r="AA36" s="61">
        <v>98409</v>
      </c>
      <c r="AB36" s="37">
        <f t="shared" si="9"/>
        <v>0.80199299999999996</v>
      </c>
      <c r="AC36" s="37">
        <f t="shared" si="28"/>
        <v>0.19292300000000001</v>
      </c>
      <c r="AD36" s="55">
        <f t="shared" si="20"/>
        <v>0.19292300000000001</v>
      </c>
      <c r="AE36" s="38">
        <f t="shared" si="10"/>
        <v>0</v>
      </c>
      <c r="AF36" s="58">
        <f t="shared" si="21"/>
        <v>0.19292300000000001</v>
      </c>
      <c r="AG36">
        <v>362</v>
      </c>
      <c r="AH36" s="61">
        <v>13</v>
      </c>
      <c r="AI36" s="11">
        <f t="shared" si="22"/>
        <v>470600</v>
      </c>
      <c r="AJ36">
        <v>0</v>
      </c>
      <c r="AK36" s="67"/>
      <c r="AL36" s="11">
        <f t="shared" si="23"/>
        <v>0</v>
      </c>
      <c r="AM36" s="11">
        <f t="shared" si="11"/>
        <v>877680</v>
      </c>
      <c r="AN36" s="11">
        <f t="shared" si="24"/>
        <v>1348280</v>
      </c>
      <c r="AO36" s="61">
        <v>1146826</v>
      </c>
      <c r="AP36" s="11">
        <f t="shared" si="25"/>
        <v>201454</v>
      </c>
      <c r="AQ36" s="56" t="str">
        <f t="shared" si="26"/>
        <v>Yes</v>
      </c>
      <c r="AR36" s="35">
        <f>IF(AQ36="Yes",+AP36*$I$9,0)</f>
        <v>33582.381799999996</v>
      </c>
      <c r="AS36" s="35">
        <f t="shared" si="27"/>
        <v>1180408.3818000001</v>
      </c>
      <c r="AT36"/>
      <c r="AU36" s="35"/>
      <c r="AV36" s="53"/>
      <c r="AW36" s="35"/>
      <c r="AX36" s="21"/>
      <c r="AZ36" s="21"/>
      <c r="BA36" s="21"/>
      <c r="BE36" s="21"/>
      <c r="BF36" s="21"/>
      <c r="BG36" s="21"/>
      <c r="BH36" s="21"/>
      <c r="BI36" s="21"/>
    </row>
    <row r="37" spans="1:61" ht="14.35" x14ac:dyDescent="0.5">
      <c r="A37" s="8"/>
      <c r="B37" s="25">
        <v>1</v>
      </c>
      <c r="C37" s="25">
        <f>+A37+B37</f>
        <v>1</v>
      </c>
      <c r="D37">
        <v>26</v>
      </c>
      <c r="E37" s="8">
        <v>11</v>
      </c>
      <c r="F37" s="3" t="s">
        <v>98</v>
      </c>
      <c r="G37" s="54"/>
      <c r="H37">
        <v>2291.91</v>
      </c>
      <c r="I37" s="63"/>
      <c r="J37">
        <v>1259</v>
      </c>
      <c r="K37" s="60">
        <f t="shared" si="12"/>
        <v>377.7</v>
      </c>
      <c r="L37" s="60">
        <f t="shared" si="13"/>
        <v>1375.15</v>
      </c>
      <c r="M37" s="60">
        <f t="shared" si="14"/>
        <v>0</v>
      </c>
      <c r="N37" s="60">
        <f t="shared" si="15"/>
        <v>0</v>
      </c>
      <c r="O37" s="51">
        <f t="shared" si="16"/>
        <v>0.55000000000000004</v>
      </c>
      <c r="P37" s="51">
        <f t="shared" si="4"/>
        <v>0</v>
      </c>
      <c r="Q37" s="34">
        <f t="shared" si="5"/>
        <v>0</v>
      </c>
      <c r="R37" s="34">
        <f t="shared" si="17"/>
        <v>0</v>
      </c>
      <c r="S37">
        <v>86</v>
      </c>
      <c r="T37" s="60">
        <f t="shared" si="18"/>
        <v>21.5</v>
      </c>
      <c r="U37" s="36">
        <f t="shared" si="6"/>
        <v>377.7</v>
      </c>
      <c r="V37" s="9">
        <f t="shared" si="19"/>
        <v>2691.1099999999997</v>
      </c>
      <c r="W37" s="60">
        <v>3380664743.3299999</v>
      </c>
      <c r="X37" s="61">
        <v>21211</v>
      </c>
      <c r="Y37" s="17">
        <f t="shared" si="7"/>
        <v>159382.62</v>
      </c>
      <c r="Z37" s="37">
        <f t="shared" si="8"/>
        <v>0.80400099999999997</v>
      </c>
      <c r="AA37" s="61">
        <v>76717</v>
      </c>
      <c r="AB37" s="37">
        <f t="shared" si="9"/>
        <v>0.62521199999999999</v>
      </c>
      <c r="AC37" s="37">
        <f t="shared" si="28"/>
        <v>0.249636</v>
      </c>
      <c r="AD37" s="55">
        <f t="shared" si="20"/>
        <v>0.249636</v>
      </c>
      <c r="AE37" s="38">
        <f t="shared" si="10"/>
        <v>0</v>
      </c>
      <c r="AF37" s="58">
        <f t="shared" si="21"/>
        <v>0.249636</v>
      </c>
      <c r="AG37">
        <v>0</v>
      </c>
      <c r="AH37" s="61">
        <v>0</v>
      </c>
      <c r="AI37" s="11">
        <f t="shared" si="22"/>
        <v>0</v>
      </c>
      <c r="AJ37">
        <v>0</v>
      </c>
      <c r="AK37" s="67"/>
      <c r="AL37" s="11">
        <f t="shared" si="23"/>
        <v>0</v>
      </c>
      <c r="AM37" s="11">
        <f t="shared" si="11"/>
        <v>7742471</v>
      </c>
      <c r="AN37" s="11">
        <f t="shared" si="24"/>
        <v>7742471</v>
      </c>
      <c r="AO37" s="61">
        <v>6864465</v>
      </c>
      <c r="AP37" s="11">
        <f t="shared" si="25"/>
        <v>878006</v>
      </c>
      <c r="AQ37" s="56" t="str">
        <f t="shared" si="26"/>
        <v>Yes</v>
      </c>
      <c r="AR37" s="35">
        <f>IF(AQ37="Yes",+AP37*$I$9,0)</f>
        <v>146363.60019999999</v>
      </c>
      <c r="AS37" s="35">
        <f t="shared" si="27"/>
        <v>7010828.6002000002</v>
      </c>
      <c r="AT37"/>
      <c r="AU37" s="35"/>
      <c r="AV37" s="53"/>
      <c r="AW37" s="35"/>
      <c r="AX37" s="21"/>
      <c r="AZ37" s="21"/>
      <c r="BA37" s="21"/>
      <c r="BE37" s="21"/>
      <c r="BF37" s="21"/>
      <c r="BG37" s="21"/>
      <c r="BH37" s="21"/>
      <c r="BI37" s="21"/>
    </row>
    <row r="38" spans="1:61" ht="14.35" x14ac:dyDescent="0.5">
      <c r="A38" s="8"/>
      <c r="B38" s="25"/>
      <c r="C38" s="25"/>
      <c r="D38">
        <v>94</v>
      </c>
      <c r="E38" s="8">
        <v>12</v>
      </c>
      <c r="F38" s="3" t="s">
        <v>99</v>
      </c>
      <c r="G38" s="54"/>
      <c r="H38">
        <v>711.21</v>
      </c>
      <c r="I38" s="62"/>
      <c r="J38">
        <v>148</v>
      </c>
      <c r="K38" s="60">
        <f t="shared" si="12"/>
        <v>44.4</v>
      </c>
      <c r="L38" s="60">
        <f t="shared" si="13"/>
        <v>426.73</v>
      </c>
      <c r="M38" s="60">
        <f t="shared" si="14"/>
        <v>0</v>
      </c>
      <c r="N38" s="60">
        <f t="shared" si="15"/>
        <v>0</v>
      </c>
      <c r="O38" s="51">
        <f t="shared" si="16"/>
        <v>0.21</v>
      </c>
      <c r="P38" s="51">
        <f t="shared" si="4"/>
        <v>0</v>
      </c>
      <c r="Q38" s="34">
        <f t="shared" si="5"/>
        <v>0</v>
      </c>
      <c r="R38" s="34">
        <f t="shared" si="17"/>
        <v>0</v>
      </c>
      <c r="S38">
        <v>10</v>
      </c>
      <c r="T38" s="60">
        <f t="shared" si="18"/>
        <v>2.5</v>
      </c>
      <c r="U38" s="36">
        <f t="shared" si="6"/>
        <v>44.4</v>
      </c>
      <c r="V38" s="9">
        <f t="shared" si="19"/>
        <v>758.11</v>
      </c>
      <c r="W38" s="60">
        <v>650685336.33000004</v>
      </c>
      <c r="X38" s="61">
        <v>4884</v>
      </c>
      <c r="Y38" s="17">
        <f t="shared" si="7"/>
        <v>133227.96</v>
      </c>
      <c r="Z38" s="37">
        <f t="shared" si="8"/>
        <v>0.67206399999999999</v>
      </c>
      <c r="AA38" s="61">
        <v>105772</v>
      </c>
      <c r="AB38" s="37">
        <f t="shared" si="9"/>
        <v>0.86199800000000004</v>
      </c>
      <c r="AC38" s="37">
        <f t="shared" si="28"/>
        <v>0.27095599999999997</v>
      </c>
      <c r="AD38" s="55">
        <f t="shared" si="20"/>
        <v>0.27095599999999997</v>
      </c>
      <c r="AE38" s="38">
        <f t="shared" si="10"/>
        <v>0</v>
      </c>
      <c r="AF38" s="58">
        <f t="shared" si="21"/>
        <v>0.27095599999999997</v>
      </c>
      <c r="AG38">
        <v>0</v>
      </c>
      <c r="AH38" s="61">
        <v>0</v>
      </c>
      <c r="AI38" s="11">
        <f t="shared" si="22"/>
        <v>0</v>
      </c>
      <c r="AJ38">
        <v>0</v>
      </c>
      <c r="AK38" s="67"/>
      <c r="AL38" s="11">
        <f t="shared" si="23"/>
        <v>0</v>
      </c>
      <c r="AM38" s="11">
        <f t="shared" si="11"/>
        <v>2367402</v>
      </c>
      <c r="AN38" s="11">
        <f t="shared" si="24"/>
        <v>2367402</v>
      </c>
      <c r="AO38" s="61">
        <v>2683216</v>
      </c>
      <c r="AP38" s="11">
        <f t="shared" si="25"/>
        <v>0</v>
      </c>
      <c r="AQ38" s="56" t="str">
        <f t="shared" si="26"/>
        <v>No</v>
      </c>
      <c r="AR38" s="35">
        <f>IF(AQ38="Yes",+AP38*$I$9,0)</f>
        <v>0</v>
      </c>
      <c r="AS38" s="35">
        <f t="shared" si="27"/>
        <v>2683216</v>
      </c>
      <c r="AT38"/>
      <c r="AU38" s="35"/>
      <c r="AV38" s="53"/>
      <c r="AW38" s="35"/>
      <c r="AX38" s="21"/>
      <c r="AZ38" s="21"/>
      <c r="BA38" s="21"/>
      <c r="BE38" s="21"/>
      <c r="BF38" s="21"/>
      <c r="BG38" s="21"/>
      <c r="BH38" s="21"/>
      <c r="BI38" s="21"/>
    </row>
    <row r="39" spans="1:61" ht="14.35" x14ac:dyDescent="0.5">
      <c r="A39" s="8"/>
      <c r="B39" s="25"/>
      <c r="C39" s="25"/>
      <c r="D39">
        <v>47</v>
      </c>
      <c r="E39" s="8">
        <v>13</v>
      </c>
      <c r="F39" s="3" t="s">
        <v>100</v>
      </c>
      <c r="G39" s="54"/>
      <c r="H39">
        <v>266.27</v>
      </c>
      <c r="I39" s="62"/>
      <c r="J39">
        <v>98</v>
      </c>
      <c r="K39" s="60">
        <f t="shared" si="12"/>
        <v>29.4</v>
      </c>
      <c r="L39" s="60">
        <f t="shared" si="13"/>
        <v>159.76</v>
      </c>
      <c r="M39" s="60">
        <f t="shared" si="14"/>
        <v>0</v>
      </c>
      <c r="N39" s="60">
        <f t="shared" si="15"/>
        <v>0</v>
      </c>
      <c r="O39" s="51">
        <f t="shared" si="16"/>
        <v>0.37</v>
      </c>
      <c r="P39" s="51">
        <f t="shared" si="4"/>
        <v>0</v>
      </c>
      <c r="Q39" s="34">
        <f t="shared" si="5"/>
        <v>0</v>
      </c>
      <c r="R39" s="34">
        <f t="shared" si="17"/>
        <v>0</v>
      </c>
      <c r="S39">
        <v>7</v>
      </c>
      <c r="T39" s="60">
        <f t="shared" si="18"/>
        <v>1.75</v>
      </c>
      <c r="U39" s="36">
        <f t="shared" si="6"/>
        <v>29.4</v>
      </c>
      <c r="V39" s="9">
        <f t="shared" si="19"/>
        <v>297.41999999999996</v>
      </c>
      <c r="W39" s="60">
        <v>359438337.67000002</v>
      </c>
      <c r="X39" s="61">
        <v>2726</v>
      </c>
      <c r="Y39" s="17">
        <f t="shared" si="7"/>
        <v>131855.59</v>
      </c>
      <c r="Z39" s="37">
        <f t="shared" si="8"/>
        <v>0.66514099999999998</v>
      </c>
      <c r="AA39" s="61">
        <v>90156</v>
      </c>
      <c r="AB39" s="37">
        <f t="shared" si="9"/>
        <v>0.734734</v>
      </c>
      <c r="AC39" s="37">
        <f t="shared" si="28"/>
        <v>0.31398100000000001</v>
      </c>
      <c r="AD39" s="55">
        <f t="shared" si="20"/>
        <v>0.31398100000000001</v>
      </c>
      <c r="AE39" s="38">
        <f t="shared" si="10"/>
        <v>0</v>
      </c>
      <c r="AF39" s="58">
        <f t="shared" si="21"/>
        <v>0.31398100000000001</v>
      </c>
      <c r="AG39">
        <v>0</v>
      </c>
      <c r="AH39" s="65">
        <v>0</v>
      </c>
      <c r="AI39" s="11">
        <f t="shared" si="22"/>
        <v>0</v>
      </c>
      <c r="AJ39">
        <v>77</v>
      </c>
      <c r="AK39" s="67">
        <v>4</v>
      </c>
      <c r="AL39" s="11">
        <f t="shared" si="23"/>
        <v>30800</v>
      </c>
      <c r="AM39" s="11">
        <f t="shared" si="11"/>
        <v>1076253</v>
      </c>
      <c r="AN39" s="11">
        <f t="shared" si="24"/>
        <v>1107053</v>
      </c>
      <c r="AO39" s="61">
        <v>1190095</v>
      </c>
      <c r="AP39" s="11">
        <f t="shared" si="25"/>
        <v>0</v>
      </c>
      <c r="AQ39" s="56" t="str">
        <f t="shared" si="26"/>
        <v>No</v>
      </c>
      <c r="AR39" s="35">
        <f>IF(AQ39="Yes",+AP39*$I$9,0)</f>
        <v>0</v>
      </c>
      <c r="AS39" s="35">
        <f t="shared" si="27"/>
        <v>1190095</v>
      </c>
      <c r="AT39"/>
      <c r="AU39" s="35"/>
      <c r="AV39" s="53"/>
      <c r="AW39" s="35"/>
      <c r="AX39" s="21"/>
      <c r="AZ39" s="21"/>
      <c r="BA39" s="21"/>
      <c r="BE39" s="21"/>
      <c r="BF39" s="21"/>
      <c r="BG39" s="21"/>
      <c r="BH39" s="21"/>
      <c r="BI39" s="21"/>
    </row>
    <row r="40" spans="1:61" ht="14.35" x14ac:dyDescent="0.5">
      <c r="A40" s="8"/>
      <c r="B40" s="25"/>
      <c r="C40" s="25"/>
      <c r="D40">
        <v>100</v>
      </c>
      <c r="E40" s="8">
        <v>14</v>
      </c>
      <c r="F40" s="3" t="s">
        <v>101</v>
      </c>
      <c r="G40" s="54"/>
      <c r="H40">
        <v>2709.4</v>
      </c>
      <c r="I40" s="62"/>
      <c r="J40">
        <v>897</v>
      </c>
      <c r="K40" s="60">
        <f t="shared" si="12"/>
        <v>269.10000000000002</v>
      </c>
      <c r="L40" s="60">
        <f t="shared" si="13"/>
        <v>1625.64</v>
      </c>
      <c r="M40" s="60">
        <f t="shared" si="14"/>
        <v>0</v>
      </c>
      <c r="N40" s="60">
        <f t="shared" si="15"/>
        <v>0</v>
      </c>
      <c r="O40" s="51">
        <f t="shared" si="16"/>
        <v>0.33</v>
      </c>
      <c r="P40" s="51">
        <f t="shared" si="4"/>
        <v>0</v>
      </c>
      <c r="Q40" s="34">
        <f t="shared" si="5"/>
        <v>0</v>
      </c>
      <c r="R40" s="34">
        <f t="shared" si="17"/>
        <v>0</v>
      </c>
      <c r="S40">
        <v>176</v>
      </c>
      <c r="T40" s="60">
        <f t="shared" si="18"/>
        <v>44</v>
      </c>
      <c r="U40" s="36">
        <f t="shared" si="6"/>
        <v>269.10000000000002</v>
      </c>
      <c r="V40" s="9">
        <f t="shared" si="19"/>
        <v>3022.5</v>
      </c>
      <c r="W40" s="60">
        <v>5374724775.3299999</v>
      </c>
      <c r="X40" s="61">
        <v>27900</v>
      </c>
      <c r="Y40" s="17">
        <f t="shared" si="7"/>
        <v>192642.47</v>
      </c>
      <c r="Z40" s="37">
        <f t="shared" si="8"/>
        <v>0.97177899999999995</v>
      </c>
      <c r="AA40" s="61">
        <v>77640</v>
      </c>
      <c r="AB40" s="37">
        <f t="shared" si="9"/>
        <v>0.63273400000000002</v>
      </c>
      <c r="AC40" s="37">
        <f t="shared" si="28"/>
        <v>0.12993499999999999</v>
      </c>
      <c r="AD40" s="55">
        <f t="shared" si="20"/>
        <v>0.12993499999999999</v>
      </c>
      <c r="AE40" s="38">
        <f t="shared" si="10"/>
        <v>0</v>
      </c>
      <c r="AF40" s="58">
        <f t="shared" si="21"/>
        <v>0.12993499999999999</v>
      </c>
      <c r="AG40">
        <v>0</v>
      </c>
      <c r="AH40" s="61">
        <v>0</v>
      </c>
      <c r="AI40" s="11">
        <f t="shared" si="22"/>
        <v>0</v>
      </c>
      <c r="AJ40">
        <v>0</v>
      </c>
      <c r="AK40" s="67"/>
      <c r="AL40" s="11">
        <f t="shared" si="23"/>
        <v>0</v>
      </c>
      <c r="AM40" s="11">
        <f t="shared" si="11"/>
        <v>4526196</v>
      </c>
      <c r="AN40" s="11">
        <f t="shared" si="24"/>
        <v>4526196</v>
      </c>
      <c r="AO40" s="61">
        <v>2757413</v>
      </c>
      <c r="AP40" s="11">
        <f t="shared" si="25"/>
        <v>1768783</v>
      </c>
      <c r="AQ40" s="56" t="str">
        <f t="shared" si="26"/>
        <v>Yes</v>
      </c>
      <c r="AR40" s="35">
        <f>IF(AQ40="Yes",+AP40*$I$9,0)</f>
        <v>294856.12609999999</v>
      </c>
      <c r="AS40" s="35">
        <f t="shared" si="27"/>
        <v>3052269.1261</v>
      </c>
      <c r="AT40"/>
      <c r="AU40" s="35"/>
      <c r="AV40" s="53"/>
      <c r="AW40" s="35"/>
      <c r="AX40" s="21"/>
      <c r="AZ40" s="21"/>
      <c r="BA40" s="21"/>
      <c r="BE40" s="21"/>
      <c r="BF40" s="21"/>
      <c r="BG40" s="21"/>
      <c r="BH40" s="21"/>
      <c r="BI40" s="21"/>
    </row>
    <row r="41" spans="1:61" ht="14.35" x14ac:dyDescent="0.5">
      <c r="A41" s="8">
        <v>1</v>
      </c>
      <c r="B41" s="25">
        <v>1</v>
      </c>
      <c r="C41" s="25">
        <f>+A41+B41</f>
        <v>2</v>
      </c>
      <c r="D41">
        <v>5</v>
      </c>
      <c r="E41" s="8">
        <v>15</v>
      </c>
      <c r="F41" s="3" t="s">
        <v>102</v>
      </c>
      <c r="G41" s="54"/>
      <c r="H41">
        <v>18879.060000000001</v>
      </c>
      <c r="I41" s="63"/>
      <c r="J41">
        <v>12461</v>
      </c>
      <c r="K41" s="60">
        <f t="shared" si="12"/>
        <v>3738.3</v>
      </c>
      <c r="L41" s="60">
        <f t="shared" si="13"/>
        <v>11327.44</v>
      </c>
      <c r="M41" s="60">
        <f t="shared" si="14"/>
        <v>1133.5599999999995</v>
      </c>
      <c r="N41" s="60">
        <f t="shared" si="15"/>
        <v>170.03</v>
      </c>
      <c r="O41" s="51">
        <f t="shared" si="16"/>
        <v>0.66</v>
      </c>
      <c r="P41" s="51">
        <f t="shared" si="4"/>
        <v>6.0000000000000053E-2</v>
      </c>
      <c r="Q41" s="34">
        <f t="shared" si="5"/>
        <v>1132.74</v>
      </c>
      <c r="R41" s="34">
        <f t="shared" si="17"/>
        <v>169.91</v>
      </c>
      <c r="S41">
        <v>4500</v>
      </c>
      <c r="T41" s="60">
        <f t="shared" si="18"/>
        <v>1125</v>
      </c>
      <c r="U41" s="36">
        <f t="shared" si="6"/>
        <v>3738.3</v>
      </c>
      <c r="V41" s="9">
        <f t="shared" si="19"/>
        <v>23912.39</v>
      </c>
      <c r="W41" s="60">
        <v>10631495999.67</v>
      </c>
      <c r="X41" s="61">
        <v>144399</v>
      </c>
      <c r="Y41" s="17">
        <f t="shared" si="7"/>
        <v>73625.83</v>
      </c>
      <c r="Z41" s="37">
        <f t="shared" si="8"/>
        <v>0.37140299999999998</v>
      </c>
      <c r="AA41" s="61">
        <v>46662</v>
      </c>
      <c r="AB41" s="37">
        <f t="shared" si="9"/>
        <v>0.380276</v>
      </c>
      <c r="AC41" s="37">
        <f t="shared" si="28"/>
        <v>0.62593500000000002</v>
      </c>
      <c r="AD41" s="55">
        <f t="shared" si="20"/>
        <v>0.62593500000000002</v>
      </c>
      <c r="AE41" s="38">
        <f t="shared" si="10"/>
        <v>0.06</v>
      </c>
      <c r="AF41" s="58">
        <f t="shared" si="21"/>
        <v>0.68593499999999996</v>
      </c>
      <c r="AG41">
        <v>0</v>
      </c>
      <c r="AH41" s="61">
        <v>0</v>
      </c>
      <c r="AI41" s="11">
        <f t="shared" si="22"/>
        <v>0</v>
      </c>
      <c r="AJ41">
        <v>0</v>
      </c>
      <c r="AK41" s="67"/>
      <c r="AL41" s="11">
        <f t="shared" si="23"/>
        <v>0</v>
      </c>
      <c r="AM41" s="11">
        <f t="shared" si="11"/>
        <v>189037029</v>
      </c>
      <c r="AN41" s="11">
        <f t="shared" si="24"/>
        <v>189037029</v>
      </c>
      <c r="AO41" s="61">
        <v>188944441</v>
      </c>
      <c r="AP41" s="11">
        <f t="shared" si="25"/>
        <v>92588</v>
      </c>
      <c r="AQ41" s="56" t="str">
        <f t="shared" si="26"/>
        <v>Yes</v>
      </c>
      <c r="AR41" s="35">
        <f>IF(AQ41="Yes",+AP41*$I$9,0)</f>
        <v>15434.419599999999</v>
      </c>
      <c r="AS41" s="35">
        <f t="shared" si="27"/>
        <v>188959875.41960001</v>
      </c>
      <c r="AT41"/>
      <c r="AU41" s="35"/>
      <c r="AV41" s="53"/>
      <c r="AW41" s="35"/>
      <c r="AX41" s="21"/>
      <c r="AZ41" s="21"/>
      <c r="BA41" s="21"/>
      <c r="BE41" s="21"/>
      <c r="BF41" s="21"/>
      <c r="BG41" s="21"/>
      <c r="BH41" s="21"/>
      <c r="BI41" s="21"/>
    </row>
    <row r="42" spans="1:61" ht="14.35" x14ac:dyDescent="0.5">
      <c r="A42" s="8"/>
      <c r="B42" s="25"/>
      <c r="C42" s="25"/>
      <c r="D42">
        <v>159</v>
      </c>
      <c r="E42" s="8">
        <v>16</v>
      </c>
      <c r="F42" s="3" t="s">
        <v>103</v>
      </c>
      <c r="G42" s="54"/>
      <c r="H42">
        <v>124.3</v>
      </c>
      <c r="I42" s="62"/>
      <c r="J42">
        <v>16</v>
      </c>
      <c r="K42" s="60">
        <f t="shared" si="12"/>
        <v>4.8</v>
      </c>
      <c r="L42" s="60">
        <f t="shared" si="13"/>
        <v>74.58</v>
      </c>
      <c r="M42" s="60">
        <f t="shared" si="14"/>
        <v>0</v>
      </c>
      <c r="N42" s="60">
        <f t="shared" si="15"/>
        <v>0</v>
      </c>
      <c r="O42" s="51">
        <f t="shared" si="16"/>
        <v>0.13</v>
      </c>
      <c r="P42" s="51">
        <f t="shared" si="4"/>
        <v>0</v>
      </c>
      <c r="Q42" s="34">
        <f t="shared" si="5"/>
        <v>0</v>
      </c>
      <c r="R42" s="34">
        <f t="shared" si="17"/>
        <v>0</v>
      </c>
      <c r="S42">
        <v>0</v>
      </c>
      <c r="T42" s="60">
        <f t="shared" si="18"/>
        <v>0</v>
      </c>
      <c r="U42" s="36">
        <f t="shared" si="6"/>
        <v>4.8</v>
      </c>
      <c r="V42" s="9">
        <f t="shared" si="19"/>
        <v>129.1</v>
      </c>
      <c r="W42" s="60">
        <v>529057473.32999998</v>
      </c>
      <c r="X42" s="61">
        <v>1635</v>
      </c>
      <c r="Y42" s="17">
        <f t="shared" si="7"/>
        <v>323582.55</v>
      </c>
      <c r="Z42" s="37">
        <f t="shared" si="8"/>
        <v>1.6323019999999999</v>
      </c>
      <c r="AA42" s="61">
        <v>111250</v>
      </c>
      <c r="AB42" s="37">
        <f t="shared" si="9"/>
        <v>0.90664199999999995</v>
      </c>
      <c r="AC42" s="37">
        <f t="shared" si="28"/>
        <v>-0.41460399999999997</v>
      </c>
      <c r="AD42" s="55">
        <f t="shared" si="20"/>
        <v>0.01</v>
      </c>
      <c r="AE42" s="38">
        <f t="shared" si="10"/>
        <v>0</v>
      </c>
      <c r="AF42" s="58">
        <f t="shared" si="21"/>
        <v>0.01</v>
      </c>
      <c r="AG42">
        <v>124</v>
      </c>
      <c r="AH42" s="61">
        <v>13</v>
      </c>
      <c r="AI42" s="11">
        <f t="shared" si="22"/>
        <v>161200</v>
      </c>
      <c r="AJ42">
        <v>0</v>
      </c>
      <c r="AK42" s="67"/>
      <c r="AL42" s="11">
        <f t="shared" si="23"/>
        <v>0</v>
      </c>
      <c r="AM42" s="11">
        <f t="shared" si="11"/>
        <v>14879</v>
      </c>
      <c r="AN42" s="11">
        <f t="shared" si="24"/>
        <v>176079</v>
      </c>
      <c r="AO42" s="61">
        <v>38048</v>
      </c>
      <c r="AP42" s="11">
        <f t="shared" si="25"/>
        <v>138031</v>
      </c>
      <c r="AQ42" s="56" t="str">
        <f t="shared" si="26"/>
        <v>Yes</v>
      </c>
      <c r="AR42" s="35">
        <f>IF(AQ42="Yes",+AP42*$I$9,0)</f>
        <v>23009.767699999997</v>
      </c>
      <c r="AS42" s="35">
        <f t="shared" si="27"/>
        <v>61057.767699999997</v>
      </c>
      <c r="AT42"/>
      <c r="AU42" s="35"/>
      <c r="AV42" s="53"/>
      <c r="AW42" s="35"/>
      <c r="AX42" s="21"/>
      <c r="AZ42" s="21"/>
      <c r="BA42" s="21"/>
      <c r="BE42" s="21"/>
      <c r="BF42" s="21"/>
      <c r="BG42" s="21"/>
      <c r="BH42" s="21"/>
      <c r="BI42" s="21"/>
    </row>
    <row r="43" spans="1:61" ht="14.35" x14ac:dyDescent="0.5">
      <c r="A43" s="8"/>
      <c r="B43" s="25">
        <v>1</v>
      </c>
      <c r="C43" s="25">
        <f>+A43+B43</f>
        <v>1</v>
      </c>
      <c r="D43">
        <v>16</v>
      </c>
      <c r="E43" s="8">
        <v>17</v>
      </c>
      <c r="F43" s="3" t="s">
        <v>104</v>
      </c>
      <c r="G43" s="54"/>
      <c r="H43">
        <v>7928.14</v>
      </c>
      <c r="I43" s="63"/>
      <c r="J43">
        <v>4295</v>
      </c>
      <c r="K43" s="60">
        <f t="shared" si="12"/>
        <v>1288.5</v>
      </c>
      <c r="L43" s="60">
        <f t="shared" si="13"/>
        <v>4756.88</v>
      </c>
      <c r="M43" s="60">
        <f t="shared" si="14"/>
        <v>0</v>
      </c>
      <c r="N43" s="60">
        <f t="shared" si="15"/>
        <v>0</v>
      </c>
      <c r="O43" s="51">
        <f t="shared" si="16"/>
        <v>0.54</v>
      </c>
      <c r="P43" s="51">
        <f t="shared" si="4"/>
        <v>0</v>
      </c>
      <c r="Q43" s="34">
        <f t="shared" si="5"/>
        <v>0</v>
      </c>
      <c r="R43" s="34">
        <f t="shared" si="17"/>
        <v>0</v>
      </c>
      <c r="S43">
        <v>429</v>
      </c>
      <c r="T43" s="60">
        <f t="shared" si="18"/>
        <v>107.25</v>
      </c>
      <c r="U43" s="36">
        <f t="shared" si="6"/>
        <v>1288.5</v>
      </c>
      <c r="V43" s="9">
        <f t="shared" si="19"/>
        <v>9323.89</v>
      </c>
      <c r="W43" s="60">
        <v>5901198508.3299999</v>
      </c>
      <c r="X43" s="61">
        <v>59947</v>
      </c>
      <c r="Y43" s="17">
        <f t="shared" si="7"/>
        <v>98440.26</v>
      </c>
      <c r="Z43" s="37">
        <f t="shared" si="8"/>
        <v>0.49657899999999999</v>
      </c>
      <c r="AA43" s="61">
        <v>67507</v>
      </c>
      <c r="AB43" s="37">
        <f t="shared" si="9"/>
        <v>0.55015400000000003</v>
      </c>
      <c r="AC43" s="37">
        <f t="shared" si="28"/>
        <v>0.48734899999999998</v>
      </c>
      <c r="AD43" s="55">
        <f t="shared" si="20"/>
        <v>0.48734899999999998</v>
      </c>
      <c r="AE43" s="38">
        <f t="shared" si="10"/>
        <v>0.03</v>
      </c>
      <c r="AF43" s="58">
        <f t="shared" si="21"/>
        <v>0.51734899999999995</v>
      </c>
      <c r="AG43">
        <v>0</v>
      </c>
      <c r="AH43" s="61">
        <v>0</v>
      </c>
      <c r="AI43" s="11">
        <f t="shared" si="22"/>
        <v>0</v>
      </c>
      <c r="AJ43">
        <v>0</v>
      </c>
      <c r="AK43" s="67"/>
      <c r="AL43" s="11">
        <f t="shared" si="23"/>
        <v>0</v>
      </c>
      <c r="AM43" s="11">
        <f t="shared" si="11"/>
        <v>55593202</v>
      </c>
      <c r="AN43" s="11">
        <f t="shared" si="24"/>
        <v>55593202</v>
      </c>
      <c r="AO43" s="61">
        <v>48142142</v>
      </c>
      <c r="AP43" s="11">
        <f t="shared" si="25"/>
        <v>7451060</v>
      </c>
      <c r="AQ43" s="56" t="str">
        <f t="shared" si="26"/>
        <v>Yes</v>
      </c>
      <c r="AR43" s="35">
        <f>IF(AQ43="Yes",+AP43*$I$9,0)</f>
        <v>1242091.7019999998</v>
      </c>
      <c r="AS43" s="35">
        <f t="shared" si="27"/>
        <v>49384233.702</v>
      </c>
      <c r="AT43"/>
      <c r="AU43" s="35"/>
      <c r="AV43" s="53"/>
      <c r="AW43" s="35"/>
      <c r="AX43" s="21"/>
      <c r="AZ43" s="21"/>
      <c r="BA43" s="21"/>
      <c r="BE43" s="21"/>
      <c r="BF43" s="21"/>
      <c r="BG43" s="21"/>
      <c r="BH43" s="21"/>
      <c r="BI43" s="21"/>
    </row>
    <row r="44" spans="1:61" ht="14.35" x14ac:dyDescent="0.5">
      <c r="A44" s="8"/>
      <c r="B44" s="25"/>
      <c r="C44" s="25"/>
      <c r="D44">
        <v>121</v>
      </c>
      <c r="E44" s="8">
        <v>18</v>
      </c>
      <c r="F44" s="3" t="s">
        <v>105</v>
      </c>
      <c r="G44" s="54"/>
      <c r="H44">
        <v>2637.7</v>
      </c>
      <c r="I44" s="62"/>
      <c r="J44">
        <v>549</v>
      </c>
      <c r="K44" s="60">
        <f t="shared" si="12"/>
        <v>164.7</v>
      </c>
      <c r="L44" s="60">
        <f t="shared" si="13"/>
        <v>1582.62</v>
      </c>
      <c r="M44" s="60">
        <f t="shared" si="14"/>
        <v>0</v>
      </c>
      <c r="N44" s="60">
        <f t="shared" si="15"/>
        <v>0</v>
      </c>
      <c r="O44" s="51">
        <f t="shared" si="16"/>
        <v>0.21</v>
      </c>
      <c r="P44" s="51">
        <f t="shared" si="4"/>
        <v>0</v>
      </c>
      <c r="Q44" s="34">
        <f t="shared" si="5"/>
        <v>0</v>
      </c>
      <c r="R44" s="34">
        <f t="shared" si="17"/>
        <v>0</v>
      </c>
      <c r="S44">
        <v>105</v>
      </c>
      <c r="T44" s="60">
        <f t="shared" si="18"/>
        <v>26.25</v>
      </c>
      <c r="U44" s="36">
        <f t="shared" si="6"/>
        <v>164.7</v>
      </c>
      <c r="V44" s="9">
        <f t="shared" si="19"/>
        <v>2828.6499999999996</v>
      </c>
      <c r="W44" s="60">
        <v>3542247100.6700001</v>
      </c>
      <c r="X44" s="61">
        <v>16973</v>
      </c>
      <c r="Y44" s="17">
        <f t="shared" si="7"/>
        <v>208698.94</v>
      </c>
      <c r="Z44" s="37">
        <f t="shared" si="8"/>
        <v>1.052775</v>
      </c>
      <c r="AA44" s="61">
        <v>114615</v>
      </c>
      <c r="AB44" s="37">
        <f t="shared" si="9"/>
        <v>0.93406500000000003</v>
      </c>
      <c r="AC44" s="37">
        <f t="shared" si="28"/>
        <v>-1.7162E-2</v>
      </c>
      <c r="AD44" s="55">
        <f t="shared" si="20"/>
        <v>0.01</v>
      </c>
      <c r="AE44" s="38">
        <f t="shared" si="10"/>
        <v>0</v>
      </c>
      <c r="AF44" s="58">
        <f t="shared" si="21"/>
        <v>0.01</v>
      </c>
      <c r="AG44">
        <v>0</v>
      </c>
      <c r="AH44" s="61">
        <v>0</v>
      </c>
      <c r="AI44" s="11">
        <f t="shared" si="22"/>
        <v>0</v>
      </c>
      <c r="AJ44">
        <v>0</v>
      </c>
      <c r="AK44" s="67"/>
      <c r="AL44" s="11">
        <f t="shared" si="23"/>
        <v>0</v>
      </c>
      <c r="AM44" s="11">
        <f t="shared" si="11"/>
        <v>326002</v>
      </c>
      <c r="AN44" s="11">
        <f t="shared" si="24"/>
        <v>326002</v>
      </c>
      <c r="AO44" s="61">
        <v>962317</v>
      </c>
      <c r="AP44" s="11">
        <f t="shared" si="25"/>
        <v>0</v>
      </c>
      <c r="AQ44" s="56" t="str">
        <f t="shared" si="26"/>
        <v>No</v>
      </c>
      <c r="AR44" s="35">
        <f>IF(AQ44="Yes",+AP44*$I$9,0)</f>
        <v>0</v>
      </c>
      <c r="AS44" s="35">
        <f t="shared" si="27"/>
        <v>962317</v>
      </c>
      <c r="AT44"/>
      <c r="AU44" s="35"/>
      <c r="AV44" s="53"/>
      <c r="AW44" s="35"/>
      <c r="AX44" s="21"/>
      <c r="AZ44" s="21"/>
      <c r="BA44" s="21"/>
      <c r="BE44" s="21"/>
      <c r="BF44" s="21"/>
      <c r="BG44" s="21"/>
      <c r="BH44" s="21"/>
      <c r="BI44" s="21"/>
    </row>
    <row r="45" spans="1:61" ht="14.35" x14ac:dyDescent="0.5">
      <c r="A45" s="8"/>
      <c r="B45" s="25"/>
      <c r="C45" s="25"/>
      <c r="D45">
        <v>54</v>
      </c>
      <c r="E45" s="8">
        <v>19</v>
      </c>
      <c r="F45" s="3" t="s">
        <v>106</v>
      </c>
      <c r="G45" s="54"/>
      <c r="H45">
        <v>1180.74</v>
      </c>
      <c r="I45" s="64"/>
      <c r="J45">
        <v>349</v>
      </c>
      <c r="K45" s="60">
        <f t="shared" si="12"/>
        <v>104.7</v>
      </c>
      <c r="L45" s="60">
        <f t="shared" si="13"/>
        <v>708.44</v>
      </c>
      <c r="M45" s="60">
        <f t="shared" si="14"/>
        <v>0</v>
      </c>
      <c r="N45" s="60">
        <f t="shared" si="15"/>
        <v>0</v>
      </c>
      <c r="O45" s="51">
        <f t="shared" si="16"/>
        <v>0.3</v>
      </c>
      <c r="P45" s="51">
        <f t="shared" si="4"/>
        <v>0</v>
      </c>
      <c r="Q45" s="34">
        <f t="shared" si="5"/>
        <v>0</v>
      </c>
      <c r="R45" s="34">
        <f t="shared" si="17"/>
        <v>0</v>
      </c>
      <c r="S45">
        <v>14</v>
      </c>
      <c r="T45" s="60">
        <f t="shared" si="18"/>
        <v>3.5</v>
      </c>
      <c r="U45" s="36">
        <f t="shared" si="6"/>
        <v>104.7</v>
      </c>
      <c r="V45" s="9">
        <f t="shared" si="19"/>
        <v>1288.94</v>
      </c>
      <c r="W45" s="60">
        <v>934342104</v>
      </c>
      <c r="X45" s="61">
        <v>8272</v>
      </c>
      <c r="Y45" s="17">
        <f t="shared" si="7"/>
        <v>112952.38</v>
      </c>
      <c r="Z45" s="37">
        <f t="shared" si="8"/>
        <v>0.56978499999999999</v>
      </c>
      <c r="AA45" s="61">
        <v>76047</v>
      </c>
      <c r="AB45" s="37">
        <f t="shared" si="9"/>
        <v>0.61975199999999997</v>
      </c>
      <c r="AC45" s="37">
        <f t="shared" si="28"/>
        <v>0.41522500000000001</v>
      </c>
      <c r="AD45" s="55">
        <f t="shared" si="20"/>
        <v>0.41522500000000001</v>
      </c>
      <c r="AE45" s="38">
        <f t="shared" si="10"/>
        <v>0</v>
      </c>
      <c r="AF45" s="58">
        <f t="shared" si="21"/>
        <v>0.41522500000000001</v>
      </c>
      <c r="AG45">
        <v>0</v>
      </c>
      <c r="AH45" s="65">
        <v>0</v>
      </c>
      <c r="AI45" s="11">
        <f t="shared" si="22"/>
        <v>0</v>
      </c>
      <c r="AJ45">
        <v>200</v>
      </c>
      <c r="AK45" s="67">
        <v>4</v>
      </c>
      <c r="AL45" s="11">
        <f t="shared" si="23"/>
        <v>80000</v>
      </c>
      <c r="AM45" s="11">
        <f t="shared" si="11"/>
        <v>6168181</v>
      </c>
      <c r="AN45" s="11">
        <f t="shared" si="24"/>
        <v>6248181</v>
      </c>
      <c r="AO45" s="61">
        <v>6926095</v>
      </c>
      <c r="AP45" s="11">
        <f t="shared" si="25"/>
        <v>0</v>
      </c>
      <c r="AQ45" s="56" t="str">
        <f t="shared" si="26"/>
        <v>No</v>
      </c>
      <c r="AR45" s="35">
        <f>IF(AQ45="Yes",+AP45*$I$9,0)</f>
        <v>0</v>
      </c>
      <c r="AS45" s="35">
        <f t="shared" si="27"/>
        <v>6926095</v>
      </c>
      <c r="AT45"/>
      <c r="AU45" s="35"/>
      <c r="AV45" s="53"/>
      <c r="AW45" s="35"/>
      <c r="AX45" s="21"/>
      <c r="AZ45" s="21"/>
      <c r="BA45" s="21"/>
      <c r="BE45" s="21"/>
      <c r="BF45" s="21"/>
      <c r="BG45" s="21"/>
      <c r="BH45" s="21"/>
      <c r="BI45" s="21"/>
    </row>
    <row r="46" spans="1:61" ht="14.35" x14ac:dyDescent="0.5">
      <c r="A46" s="8"/>
      <c r="B46" s="25"/>
      <c r="C46" s="25"/>
      <c r="D46">
        <v>122</v>
      </c>
      <c r="E46" s="8">
        <v>20</v>
      </c>
      <c r="F46" s="3" t="s">
        <v>107</v>
      </c>
      <c r="G46" s="54"/>
      <c r="H46">
        <v>1471.58</v>
      </c>
      <c r="I46" s="62"/>
      <c r="J46">
        <v>170</v>
      </c>
      <c r="K46" s="60">
        <f t="shared" si="12"/>
        <v>51</v>
      </c>
      <c r="L46" s="60">
        <f t="shared" si="13"/>
        <v>882.95</v>
      </c>
      <c r="M46" s="60">
        <f t="shared" si="14"/>
        <v>0</v>
      </c>
      <c r="N46" s="60">
        <f t="shared" si="15"/>
        <v>0</v>
      </c>
      <c r="O46" s="51">
        <f t="shared" si="16"/>
        <v>0.12</v>
      </c>
      <c r="P46" s="51">
        <f t="shared" si="4"/>
        <v>0</v>
      </c>
      <c r="Q46" s="34">
        <f t="shared" si="5"/>
        <v>0</v>
      </c>
      <c r="R46" s="34">
        <f t="shared" si="17"/>
        <v>0</v>
      </c>
      <c r="S46">
        <v>29</v>
      </c>
      <c r="T46" s="60">
        <f t="shared" si="18"/>
        <v>7.25</v>
      </c>
      <c r="U46" s="36">
        <f t="shared" si="6"/>
        <v>51</v>
      </c>
      <c r="V46" s="9">
        <f t="shared" si="19"/>
        <v>1529.83</v>
      </c>
      <c r="W46" s="60">
        <v>1385158943.3299999</v>
      </c>
      <c r="X46" s="61">
        <v>9704</v>
      </c>
      <c r="Y46" s="17">
        <f t="shared" si="7"/>
        <v>142741.03</v>
      </c>
      <c r="Z46" s="37">
        <f t="shared" si="8"/>
        <v>0.72005300000000005</v>
      </c>
      <c r="AA46" s="61">
        <v>127353</v>
      </c>
      <c r="AB46" s="37">
        <f t="shared" si="9"/>
        <v>1.0378750000000001</v>
      </c>
      <c r="AC46" s="37">
        <f t="shared" si="28"/>
        <v>0.18459999999999999</v>
      </c>
      <c r="AD46" s="55">
        <f t="shared" si="20"/>
        <v>0.18459999999999999</v>
      </c>
      <c r="AE46" s="38">
        <f t="shared" si="10"/>
        <v>0</v>
      </c>
      <c r="AF46" s="58">
        <f t="shared" si="21"/>
        <v>0.18459999999999999</v>
      </c>
      <c r="AG46">
        <v>1472</v>
      </c>
      <c r="AH46" s="61">
        <v>13</v>
      </c>
      <c r="AI46" s="11">
        <f t="shared" si="22"/>
        <v>1913600</v>
      </c>
      <c r="AJ46">
        <v>0</v>
      </c>
      <c r="AK46" s="67"/>
      <c r="AL46" s="11">
        <f t="shared" si="23"/>
        <v>0</v>
      </c>
      <c r="AM46" s="11">
        <f t="shared" si="11"/>
        <v>3254736</v>
      </c>
      <c r="AN46" s="11">
        <f t="shared" si="24"/>
        <v>5168336</v>
      </c>
      <c r="AO46" s="61">
        <v>3995268</v>
      </c>
      <c r="AP46" s="11">
        <f t="shared" si="25"/>
        <v>1173068</v>
      </c>
      <c r="AQ46" s="56" t="str">
        <f t="shared" si="26"/>
        <v>Yes</v>
      </c>
      <c r="AR46" s="35">
        <f>IF(AQ46="Yes",+AP46*$I$9,0)</f>
        <v>195550.4356</v>
      </c>
      <c r="AS46" s="35">
        <f t="shared" si="27"/>
        <v>4190818.4356</v>
      </c>
      <c r="AT46"/>
      <c r="AU46" s="35"/>
      <c r="AV46" s="53"/>
      <c r="AW46" s="35"/>
      <c r="AX46" s="21"/>
      <c r="AZ46" s="21"/>
      <c r="BA46" s="21"/>
      <c r="BE46" s="21"/>
      <c r="BF46" s="21"/>
      <c r="BG46" s="21"/>
      <c r="BH46" s="21"/>
      <c r="BI46" s="21"/>
    </row>
    <row r="47" spans="1:61" ht="14.35" x14ac:dyDescent="0.5">
      <c r="A47" s="8"/>
      <c r="B47" s="25"/>
      <c r="C47" s="25"/>
      <c r="D47">
        <v>134</v>
      </c>
      <c r="E47" s="8">
        <v>21</v>
      </c>
      <c r="F47" s="3" t="s">
        <v>108</v>
      </c>
      <c r="G47" s="54"/>
      <c r="H47">
        <v>103.12</v>
      </c>
      <c r="I47" s="62"/>
      <c r="J47">
        <v>36</v>
      </c>
      <c r="K47" s="60">
        <f t="shared" si="12"/>
        <v>10.8</v>
      </c>
      <c r="L47" s="60">
        <f t="shared" si="13"/>
        <v>61.87</v>
      </c>
      <c r="M47" s="60">
        <f t="shared" si="14"/>
        <v>0</v>
      </c>
      <c r="N47" s="60">
        <f t="shared" si="15"/>
        <v>0</v>
      </c>
      <c r="O47" s="51">
        <f t="shared" si="16"/>
        <v>0.35</v>
      </c>
      <c r="P47" s="51">
        <f t="shared" si="4"/>
        <v>0</v>
      </c>
      <c r="Q47" s="34">
        <f t="shared" si="5"/>
        <v>0</v>
      </c>
      <c r="R47" s="34">
        <f t="shared" si="17"/>
        <v>0</v>
      </c>
      <c r="S47">
        <v>0</v>
      </c>
      <c r="T47" s="60">
        <f t="shared" si="18"/>
        <v>0</v>
      </c>
      <c r="U47" s="36">
        <f t="shared" si="6"/>
        <v>10.8</v>
      </c>
      <c r="V47" s="9">
        <f t="shared" si="19"/>
        <v>113.92</v>
      </c>
      <c r="W47" s="60">
        <v>255871170.66999999</v>
      </c>
      <c r="X47" s="61">
        <v>1053</v>
      </c>
      <c r="Y47" s="17">
        <f t="shared" si="7"/>
        <v>242992.56</v>
      </c>
      <c r="Z47" s="37">
        <f t="shared" si="8"/>
        <v>1.225768</v>
      </c>
      <c r="AA47" s="61">
        <v>80298</v>
      </c>
      <c r="AB47" s="37">
        <f t="shared" si="9"/>
        <v>0.65439599999999998</v>
      </c>
      <c r="AC47" s="37">
        <f t="shared" si="28"/>
        <v>-5.4356000000000002E-2</v>
      </c>
      <c r="AD47" s="55">
        <f t="shared" si="20"/>
        <v>0.01</v>
      </c>
      <c r="AE47" s="38">
        <f t="shared" si="10"/>
        <v>0</v>
      </c>
      <c r="AF47" s="58">
        <f t="shared" si="21"/>
        <v>0.01</v>
      </c>
      <c r="AG47">
        <v>37</v>
      </c>
      <c r="AH47" s="61">
        <v>4</v>
      </c>
      <c r="AI47" s="11">
        <f t="shared" si="22"/>
        <v>14800</v>
      </c>
      <c r="AJ47">
        <v>0</v>
      </c>
      <c r="AK47" s="67"/>
      <c r="AL47" s="11">
        <f t="shared" si="23"/>
        <v>0</v>
      </c>
      <c r="AM47" s="11">
        <f t="shared" si="11"/>
        <v>13129</v>
      </c>
      <c r="AN47" s="11">
        <f t="shared" si="24"/>
        <v>27929</v>
      </c>
      <c r="AO47" s="61">
        <v>125752</v>
      </c>
      <c r="AP47" s="11">
        <f t="shared" si="25"/>
        <v>0</v>
      </c>
      <c r="AQ47" s="56" t="str">
        <f t="shared" si="26"/>
        <v>No</v>
      </c>
      <c r="AR47" s="35">
        <f>IF(AQ47="Yes",+AP47*$I$9,0)</f>
        <v>0</v>
      </c>
      <c r="AS47" s="35">
        <f t="shared" si="27"/>
        <v>125752</v>
      </c>
      <c r="AT47"/>
      <c r="AU47" s="35"/>
      <c r="AV47" s="53"/>
      <c r="AW47" s="35"/>
      <c r="AX47" s="21"/>
      <c r="AZ47" s="21"/>
      <c r="BA47" s="21"/>
      <c r="BE47" s="21"/>
      <c r="BF47" s="21"/>
      <c r="BG47" s="21"/>
      <c r="BH47" s="21"/>
      <c r="BI47" s="21"/>
    </row>
    <row r="48" spans="1:61" ht="14.35" x14ac:dyDescent="0.5">
      <c r="A48" s="8"/>
      <c r="B48" s="25"/>
      <c r="C48" s="25"/>
      <c r="D48">
        <v>59</v>
      </c>
      <c r="E48" s="8">
        <v>22</v>
      </c>
      <c r="F48" s="3" t="s">
        <v>109</v>
      </c>
      <c r="G48" s="54"/>
      <c r="H48">
        <v>603.58000000000004</v>
      </c>
      <c r="I48" s="62"/>
      <c r="J48">
        <v>163</v>
      </c>
      <c r="K48" s="60">
        <f t="shared" si="12"/>
        <v>48.9</v>
      </c>
      <c r="L48" s="60">
        <f t="shared" si="13"/>
        <v>362.15</v>
      </c>
      <c r="M48" s="60">
        <f t="shared" si="14"/>
        <v>0</v>
      </c>
      <c r="N48" s="60">
        <f t="shared" si="15"/>
        <v>0</v>
      </c>
      <c r="O48" s="51">
        <f t="shared" si="16"/>
        <v>0.27</v>
      </c>
      <c r="P48" s="51">
        <f t="shared" si="4"/>
        <v>0</v>
      </c>
      <c r="Q48" s="34">
        <f t="shared" si="5"/>
        <v>0</v>
      </c>
      <c r="R48" s="34">
        <f t="shared" si="17"/>
        <v>0</v>
      </c>
      <c r="S48">
        <v>2</v>
      </c>
      <c r="T48" s="60">
        <f t="shared" si="18"/>
        <v>0.5</v>
      </c>
      <c r="U48" s="36">
        <f t="shared" si="6"/>
        <v>48.9</v>
      </c>
      <c r="V48" s="9">
        <f t="shared" si="19"/>
        <v>652.98</v>
      </c>
      <c r="W48" s="60">
        <v>577948981.66999996</v>
      </c>
      <c r="X48" s="61">
        <v>5079</v>
      </c>
      <c r="Y48" s="17">
        <f t="shared" si="7"/>
        <v>113791.88</v>
      </c>
      <c r="Z48" s="37">
        <f t="shared" si="8"/>
        <v>0.57401999999999997</v>
      </c>
      <c r="AA48" s="61">
        <v>91973</v>
      </c>
      <c r="AB48" s="37">
        <f t="shared" si="9"/>
        <v>0.74954200000000004</v>
      </c>
      <c r="AC48" s="37">
        <f t="shared" si="28"/>
        <v>0.37332300000000002</v>
      </c>
      <c r="AD48" s="55">
        <f t="shared" si="20"/>
        <v>0.37332300000000002</v>
      </c>
      <c r="AE48" s="38">
        <f t="shared" si="10"/>
        <v>0</v>
      </c>
      <c r="AF48" s="58">
        <f t="shared" si="21"/>
        <v>0.37332300000000002</v>
      </c>
      <c r="AG48">
        <v>0</v>
      </c>
      <c r="AH48" s="65">
        <v>0</v>
      </c>
      <c r="AI48" s="11">
        <f t="shared" si="22"/>
        <v>0</v>
      </c>
      <c r="AJ48">
        <v>137</v>
      </c>
      <c r="AK48" s="67">
        <v>4</v>
      </c>
      <c r="AL48" s="11">
        <f t="shared" si="23"/>
        <v>54800</v>
      </c>
      <c r="AM48" s="11">
        <f t="shared" si="11"/>
        <v>2809478</v>
      </c>
      <c r="AN48" s="11">
        <f t="shared" si="24"/>
        <v>2864278</v>
      </c>
      <c r="AO48" s="61">
        <v>4004835</v>
      </c>
      <c r="AP48" s="11">
        <f t="shared" si="25"/>
        <v>0</v>
      </c>
      <c r="AQ48" s="56" t="str">
        <f t="shared" si="26"/>
        <v>No</v>
      </c>
      <c r="AR48" s="35">
        <f>IF(AQ48="Yes",+AP48*$I$9,0)</f>
        <v>0</v>
      </c>
      <c r="AS48" s="35">
        <f t="shared" si="27"/>
        <v>4004835</v>
      </c>
      <c r="AT48"/>
      <c r="AU48" s="35"/>
      <c r="AV48" s="53"/>
      <c r="AW48" s="35"/>
      <c r="AX48" s="21"/>
      <c r="AZ48" s="21"/>
      <c r="BA48" s="21"/>
      <c r="BE48" s="21"/>
      <c r="BF48" s="21"/>
      <c r="BG48" s="21"/>
      <c r="BH48" s="21"/>
      <c r="BI48" s="21"/>
    </row>
    <row r="49" spans="1:61" ht="14.35" x14ac:dyDescent="0.5">
      <c r="A49" s="8"/>
      <c r="B49" s="25"/>
      <c r="C49" s="25"/>
      <c r="D49">
        <v>113</v>
      </c>
      <c r="E49" s="8">
        <v>23</v>
      </c>
      <c r="F49" s="3" t="s">
        <v>110</v>
      </c>
      <c r="G49" s="54"/>
      <c r="H49">
        <v>1490.67</v>
      </c>
      <c r="I49" s="62"/>
      <c r="J49">
        <v>215</v>
      </c>
      <c r="K49" s="60">
        <f t="shared" si="12"/>
        <v>64.5</v>
      </c>
      <c r="L49" s="60">
        <f t="shared" si="13"/>
        <v>894.4</v>
      </c>
      <c r="M49" s="60">
        <f t="shared" si="14"/>
        <v>0</v>
      </c>
      <c r="N49" s="60">
        <f t="shared" si="15"/>
        <v>0</v>
      </c>
      <c r="O49" s="51">
        <f t="shared" si="16"/>
        <v>0.14000000000000001</v>
      </c>
      <c r="P49" s="51">
        <f t="shared" si="4"/>
        <v>0</v>
      </c>
      <c r="Q49" s="34">
        <f t="shared" si="5"/>
        <v>0</v>
      </c>
      <c r="R49" s="34">
        <f t="shared" si="17"/>
        <v>0</v>
      </c>
      <c r="S49">
        <v>8</v>
      </c>
      <c r="T49" s="60">
        <f t="shared" si="18"/>
        <v>2</v>
      </c>
      <c r="U49" s="36">
        <f t="shared" si="6"/>
        <v>64.5</v>
      </c>
      <c r="V49" s="9">
        <f t="shared" si="19"/>
        <v>1557.17</v>
      </c>
      <c r="W49" s="60">
        <v>1585317497</v>
      </c>
      <c r="X49" s="61">
        <v>10254</v>
      </c>
      <c r="Y49" s="17">
        <f t="shared" si="7"/>
        <v>154604.79</v>
      </c>
      <c r="Z49" s="37">
        <f t="shared" si="8"/>
        <v>0.77989900000000001</v>
      </c>
      <c r="AA49" s="61">
        <v>87567</v>
      </c>
      <c r="AB49" s="37">
        <f t="shared" si="9"/>
        <v>0.71363500000000002</v>
      </c>
      <c r="AC49" s="37">
        <f t="shared" si="28"/>
        <v>0.23998</v>
      </c>
      <c r="AD49" s="55">
        <f t="shared" si="20"/>
        <v>0.23998</v>
      </c>
      <c r="AE49" s="38">
        <f t="shared" si="10"/>
        <v>0</v>
      </c>
      <c r="AF49" s="58">
        <f t="shared" si="21"/>
        <v>0.23998</v>
      </c>
      <c r="AG49">
        <v>0</v>
      </c>
      <c r="AH49" s="61">
        <v>0</v>
      </c>
      <c r="AI49" s="11">
        <f t="shared" si="22"/>
        <v>0</v>
      </c>
      <c r="AJ49">
        <v>0</v>
      </c>
      <c r="AK49" s="67"/>
      <c r="AL49" s="11">
        <f t="shared" si="23"/>
        <v>0</v>
      </c>
      <c r="AM49" s="11">
        <f t="shared" si="11"/>
        <v>4306773</v>
      </c>
      <c r="AN49" s="11">
        <f t="shared" si="24"/>
        <v>4306773</v>
      </c>
      <c r="AO49" s="61">
        <v>3499445</v>
      </c>
      <c r="AP49" s="11">
        <f t="shared" si="25"/>
        <v>807328</v>
      </c>
      <c r="AQ49" s="56" t="str">
        <f t="shared" si="26"/>
        <v>Yes</v>
      </c>
      <c r="AR49" s="35">
        <f>IF(AQ49="Yes",+AP49*$I$9,0)</f>
        <v>134581.57759999999</v>
      </c>
      <c r="AS49" s="35">
        <f t="shared" si="27"/>
        <v>3634026.5776</v>
      </c>
      <c r="AT49"/>
      <c r="AU49" s="35"/>
      <c r="AV49" s="53"/>
      <c r="AW49" s="35"/>
      <c r="AX49" s="21"/>
      <c r="AZ49" s="21"/>
      <c r="BA49" s="21"/>
      <c r="BE49" s="21"/>
      <c r="BF49" s="21"/>
      <c r="BG49" s="21"/>
      <c r="BH49" s="21"/>
      <c r="BI49" s="21"/>
    </row>
    <row r="50" spans="1:61" ht="14.35" x14ac:dyDescent="0.5">
      <c r="A50" s="8"/>
      <c r="B50" s="25"/>
      <c r="C50" s="25"/>
      <c r="D50">
        <v>23</v>
      </c>
      <c r="E50" s="8">
        <v>24</v>
      </c>
      <c r="F50" s="3" t="s">
        <v>111</v>
      </c>
      <c r="G50" s="54"/>
      <c r="H50">
        <v>269.76</v>
      </c>
      <c r="I50" s="63"/>
      <c r="J50">
        <v>134</v>
      </c>
      <c r="K50" s="60">
        <f t="shared" si="12"/>
        <v>40.200000000000003</v>
      </c>
      <c r="L50" s="60">
        <f t="shared" si="13"/>
        <v>161.86000000000001</v>
      </c>
      <c r="M50" s="60">
        <f t="shared" si="14"/>
        <v>0</v>
      </c>
      <c r="N50" s="60">
        <f t="shared" si="15"/>
        <v>0</v>
      </c>
      <c r="O50" s="51">
        <f t="shared" si="16"/>
        <v>0.5</v>
      </c>
      <c r="P50" s="51">
        <f t="shared" si="4"/>
        <v>0</v>
      </c>
      <c r="Q50" s="34">
        <f t="shared" si="5"/>
        <v>0</v>
      </c>
      <c r="R50" s="34">
        <f t="shared" si="17"/>
        <v>0</v>
      </c>
      <c r="S50">
        <v>1</v>
      </c>
      <c r="T50" s="60">
        <f t="shared" si="18"/>
        <v>0.25</v>
      </c>
      <c r="U50" s="36">
        <f t="shared" si="6"/>
        <v>40.200000000000003</v>
      </c>
      <c r="V50" s="9">
        <f t="shared" si="19"/>
        <v>310.20999999999998</v>
      </c>
      <c r="W50" s="60">
        <v>306893977</v>
      </c>
      <c r="X50" s="61">
        <v>2239</v>
      </c>
      <c r="Y50" s="17">
        <f t="shared" si="7"/>
        <v>137067.43</v>
      </c>
      <c r="Z50" s="37">
        <f t="shared" si="8"/>
        <v>0.69143200000000005</v>
      </c>
      <c r="AA50" s="61">
        <v>70500</v>
      </c>
      <c r="AB50" s="37">
        <f t="shared" si="9"/>
        <v>0.574546</v>
      </c>
      <c r="AC50" s="37">
        <f t="shared" si="28"/>
        <v>0.343634</v>
      </c>
      <c r="AD50" s="55">
        <f t="shared" si="20"/>
        <v>0.343634</v>
      </c>
      <c r="AE50" s="38">
        <f t="shared" si="10"/>
        <v>0</v>
      </c>
      <c r="AF50" s="58">
        <f t="shared" si="21"/>
        <v>0.343634</v>
      </c>
      <c r="AG50">
        <v>115</v>
      </c>
      <c r="AH50" s="61">
        <v>6</v>
      </c>
      <c r="AI50" s="11">
        <f t="shared" si="22"/>
        <v>69000</v>
      </c>
      <c r="AJ50">
        <v>0</v>
      </c>
      <c r="AK50" s="67"/>
      <c r="AL50" s="11">
        <f t="shared" si="23"/>
        <v>0</v>
      </c>
      <c r="AM50" s="11">
        <f t="shared" si="11"/>
        <v>1228550</v>
      </c>
      <c r="AN50" s="11">
        <f t="shared" si="24"/>
        <v>1297550</v>
      </c>
      <c r="AO50" s="61">
        <v>1652147</v>
      </c>
      <c r="AP50" s="11">
        <f t="shared" si="25"/>
        <v>0</v>
      </c>
      <c r="AQ50" s="56" t="str">
        <f t="shared" si="26"/>
        <v>No</v>
      </c>
      <c r="AR50" s="35">
        <f>IF(AQ50="Yes",+AP50*$I$9,0)</f>
        <v>0</v>
      </c>
      <c r="AS50" s="35">
        <f t="shared" si="27"/>
        <v>1652147</v>
      </c>
      <c r="AT50"/>
      <c r="AU50" s="35"/>
      <c r="AV50" s="53"/>
      <c r="AW50" s="35"/>
      <c r="AX50" s="21"/>
      <c r="AZ50" s="21"/>
      <c r="BA50" s="21"/>
      <c r="BE50" s="21"/>
      <c r="BF50" s="21"/>
      <c r="BG50" s="21"/>
      <c r="BH50" s="21"/>
      <c r="BI50" s="21"/>
    </row>
    <row r="51" spans="1:61" ht="14.35" x14ac:dyDescent="0.5">
      <c r="A51" s="8"/>
      <c r="B51" s="25"/>
      <c r="C51" s="25"/>
      <c r="D51">
        <v>133</v>
      </c>
      <c r="E51" s="8">
        <v>25</v>
      </c>
      <c r="F51" s="3" t="s">
        <v>112</v>
      </c>
      <c r="G51" s="54"/>
      <c r="H51">
        <v>4137.05</v>
      </c>
      <c r="I51" s="62"/>
      <c r="J51">
        <v>609</v>
      </c>
      <c r="K51" s="60">
        <f t="shared" si="12"/>
        <v>182.7</v>
      </c>
      <c r="L51" s="60">
        <f t="shared" si="13"/>
        <v>2482.23</v>
      </c>
      <c r="M51" s="60">
        <f t="shared" si="14"/>
        <v>0</v>
      </c>
      <c r="N51" s="60">
        <f t="shared" si="15"/>
        <v>0</v>
      </c>
      <c r="O51" s="51">
        <f t="shared" si="16"/>
        <v>0.15</v>
      </c>
      <c r="P51" s="51">
        <f t="shared" si="4"/>
        <v>0</v>
      </c>
      <c r="Q51" s="34">
        <f t="shared" si="5"/>
        <v>0</v>
      </c>
      <c r="R51" s="34">
        <f t="shared" si="17"/>
        <v>0</v>
      </c>
      <c r="S51">
        <v>94</v>
      </c>
      <c r="T51" s="60">
        <f t="shared" si="18"/>
        <v>23.5</v>
      </c>
      <c r="U51" s="36">
        <f t="shared" si="6"/>
        <v>182.7</v>
      </c>
      <c r="V51" s="9">
        <f t="shared" si="19"/>
        <v>4343.25</v>
      </c>
      <c r="W51" s="60">
        <v>4248939607</v>
      </c>
      <c r="X51" s="61">
        <v>28937</v>
      </c>
      <c r="Y51" s="17">
        <f t="shared" si="7"/>
        <v>146834.14000000001</v>
      </c>
      <c r="Z51" s="37">
        <f t="shared" si="8"/>
        <v>0.74070000000000003</v>
      </c>
      <c r="AA51" s="61">
        <v>120546</v>
      </c>
      <c r="AB51" s="37">
        <f t="shared" si="9"/>
        <v>0.98240099999999997</v>
      </c>
      <c r="AC51" s="37">
        <f t="shared" si="28"/>
        <v>0.18679000000000001</v>
      </c>
      <c r="AD51" s="55">
        <f t="shared" si="20"/>
        <v>0.18679000000000001</v>
      </c>
      <c r="AE51" s="38">
        <f t="shared" si="10"/>
        <v>0</v>
      </c>
      <c r="AF51" s="58">
        <f t="shared" si="21"/>
        <v>0.18679000000000001</v>
      </c>
      <c r="AG51">
        <v>0</v>
      </c>
      <c r="AH51" s="61">
        <v>0</v>
      </c>
      <c r="AI51" s="11">
        <f t="shared" si="22"/>
        <v>0</v>
      </c>
      <c r="AJ51">
        <v>0</v>
      </c>
      <c r="AK51" s="67"/>
      <c r="AL51" s="11">
        <f t="shared" si="23"/>
        <v>0</v>
      </c>
      <c r="AM51" s="11">
        <f t="shared" si="11"/>
        <v>9349952</v>
      </c>
      <c r="AN51" s="11">
        <f t="shared" si="24"/>
        <v>9349952</v>
      </c>
      <c r="AO51" s="61">
        <v>9420222</v>
      </c>
      <c r="AP51" s="11">
        <f t="shared" si="25"/>
        <v>0</v>
      </c>
      <c r="AQ51" s="56" t="str">
        <f t="shared" si="26"/>
        <v>No</v>
      </c>
      <c r="AR51" s="35">
        <f>IF(AQ51="Yes",+AP51*$I$9,0)</f>
        <v>0</v>
      </c>
      <c r="AS51" s="35">
        <f t="shared" si="27"/>
        <v>9420222</v>
      </c>
      <c r="AT51"/>
      <c r="AU51" s="35"/>
      <c r="AV51" s="53"/>
      <c r="AW51" s="35"/>
      <c r="AX51" s="21"/>
      <c r="AZ51" s="21"/>
      <c r="BA51" s="21"/>
      <c r="BE51" s="21"/>
      <c r="BF51" s="21"/>
      <c r="BG51" s="21"/>
      <c r="BH51" s="21"/>
      <c r="BI51" s="21"/>
    </row>
    <row r="52" spans="1:61" ht="14.35" x14ac:dyDescent="0.5">
      <c r="A52" s="8"/>
      <c r="B52" s="25"/>
      <c r="C52" s="25"/>
      <c r="D52">
        <v>117</v>
      </c>
      <c r="E52" s="8">
        <v>26</v>
      </c>
      <c r="F52" s="3" t="s">
        <v>113</v>
      </c>
      <c r="G52" s="54"/>
      <c r="H52">
        <v>410</v>
      </c>
      <c r="I52" s="62"/>
      <c r="J52">
        <v>94</v>
      </c>
      <c r="K52" s="60">
        <f t="shared" si="12"/>
        <v>28.2</v>
      </c>
      <c r="L52" s="60">
        <f t="shared" si="13"/>
        <v>246</v>
      </c>
      <c r="M52" s="60">
        <f t="shared" si="14"/>
        <v>0</v>
      </c>
      <c r="N52" s="60">
        <f t="shared" si="15"/>
        <v>0</v>
      </c>
      <c r="O52" s="51">
        <f t="shared" si="16"/>
        <v>0.23</v>
      </c>
      <c r="P52" s="51">
        <f t="shared" si="4"/>
        <v>0</v>
      </c>
      <c r="Q52" s="34">
        <f t="shared" si="5"/>
        <v>0</v>
      </c>
      <c r="R52" s="34">
        <f t="shared" si="17"/>
        <v>0</v>
      </c>
      <c r="S52">
        <v>6</v>
      </c>
      <c r="T52" s="60">
        <f t="shared" si="18"/>
        <v>1.5</v>
      </c>
      <c r="U52" s="36">
        <f t="shared" si="6"/>
        <v>28.2</v>
      </c>
      <c r="V52" s="9">
        <f t="shared" si="19"/>
        <v>439.7</v>
      </c>
      <c r="W52" s="60">
        <v>653859852.66999996</v>
      </c>
      <c r="X52" s="61">
        <v>4213</v>
      </c>
      <c r="Y52" s="17">
        <f t="shared" si="7"/>
        <v>155200.53</v>
      </c>
      <c r="Z52" s="37">
        <f t="shared" si="8"/>
        <v>0.78290400000000004</v>
      </c>
      <c r="AA52" s="61">
        <v>88167</v>
      </c>
      <c r="AB52" s="37">
        <f t="shared" si="9"/>
        <v>0.71852499999999997</v>
      </c>
      <c r="AC52" s="37">
        <f t="shared" si="28"/>
        <v>0.23641000000000001</v>
      </c>
      <c r="AD52" s="55">
        <f t="shared" si="20"/>
        <v>0.23641000000000001</v>
      </c>
      <c r="AE52" s="38">
        <f t="shared" si="10"/>
        <v>0</v>
      </c>
      <c r="AF52" s="58">
        <f t="shared" si="21"/>
        <v>0.23641000000000001</v>
      </c>
      <c r="AG52">
        <v>193</v>
      </c>
      <c r="AH52" s="61">
        <v>6</v>
      </c>
      <c r="AI52" s="11">
        <f t="shared" si="22"/>
        <v>115800</v>
      </c>
      <c r="AJ52">
        <v>0</v>
      </c>
      <c r="AK52" s="67"/>
      <c r="AL52" s="11">
        <f t="shared" si="23"/>
        <v>0</v>
      </c>
      <c r="AM52" s="11">
        <f t="shared" si="11"/>
        <v>1198018</v>
      </c>
      <c r="AN52" s="11">
        <f t="shared" si="24"/>
        <v>1313818</v>
      </c>
      <c r="AO52" s="61">
        <v>830164</v>
      </c>
      <c r="AP52" s="11">
        <f t="shared" si="25"/>
        <v>483654</v>
      </c>
      <c r="AQ52" s="56" t="str">
        <f t="shared" si="26"/>
        <v>Yes</v>
      </c>
      <c r="AR52" s="35">
        <f>IF(AQ52="Yes",+AP52*$I$9,0)</f>
        <v>80625.121799999994</v>
      </c>
      <c r="AS52" s="35">
        <f t="shared" si="27"/>
        <v>910789.12179999996</v>
      </c>
      <c r="AT52"/>
      <c r="AU52" s="35"/>
      <c r="AV52" s="53"/>
      <c r="AW52" s="35"/>
      <c r="AX52" s="21"/>
      <c r="AZ52" s="21"/>
      <c r="BA52" s="21"/>
      <c r="BE52" s="21"/>
      <c r="BF52" s="21"/>
      <c r="BG52" s="21"/>
      <c r="BH52" s="21"/>
      <c r="BI52" s="21"/>
    </row>
    <row r="53" spans="1:61" ht="14.35" x14ac:dyDescent="0.5">
      <c r="A53" s="8"/>
      <c r="B53" s="25"/>
      <c r="C53" s="25"/>
      <c r="D53">
        <v>78</v>
      </c>
      <c r="E53" s="8">
        <v>27</v>
      </c>
      <c r="F53" s="3" t="s">
        <v>114</v>
      </c>
      <c r="G53" s="54"/>
      <c r="H53">
        <v>1524.53</v>
      </c>
      <c r="I53" s="62"/>
      <c r="J53">
        <v>540</v>
      </c>
      <c r="K53" s="60">
        <f t="shared" si="12"/>
        <v>162</v>
      </c>
      <c r="L53" s="60">
        <f t="shared" si="13"/>
        <v>914.72</v>
      </c>
      <c r="M53" s="60">
        <f t="shared" si="14"/>
        <v>0</v>
      </c>
      <c r="N53" s="60">
        <f t="shared" si="15"/>
        <v>0</v>
      </c>
      <c r="O53" s="51">
        <f t="shared" si="16"/>
        <v>0.35</v>
      </c>
      <c r="P53" s="51">
        <f t="shared" si="4"/>
        <v>0</v>
      </c>
      <c r="Q53" s="34">
        <f t="shared" si="5"/>
        <v>0</v>
      </c>
      <c r="R53" s="34">
        <f t="shared" si="17"/>
        <v>0</v>
      </c>
      <c r="S53">
        <v>124</v>
      </c>
      <c r="T53" s="60">
        <f t="shared" si="18"/>
        <v>31</v>
      </c>
      <c r="U53" s="36">
        <f t="shared" si="6"/>
        <v>162</v>
      </c>
      <c r="V53" s="9">
        <f t="shared" si="19"/>
        <v>1717.53</v>
      </c>
      <c r="W53" s="60">
        <v>2352515987.6700001</v>
      </c>
      <c r="X53" s="61">
        <v>12925</v>
      </c>
      <c r="Y53" s="17">
        <f t="shared" si="7"/>
        <v>182012.84</v>
      </c>
      <c r="Z53" s="37">
        <f t="shared" si="8"/>
        <v>0.91815800000000003</v>
      </c>
      <c r="AA53" s="61">
        <v>79554</v>
      </c>
      <c r="AB53" s="37">
        <f t="shared" si="9"/>
        <v>0.64833300000000005</v>
      </c>
      <c r="AC53" s="37">
        <f t="shared" si="28"/>
        <v>0.16278999999999999</v>
      </c>
      <c r="AD53" s="55">
        <f t="shared" si="20"/>
        <v>0.16278999999999999</v>
      </c>
      <c r="AE53" s="38">
        <f t="shared" si="10"/>
        <v>0</v>
      </c>
      <c r="AF53" s="58">
        <f t="shared" si="21"/>
        <v>0.16278999999999999</v>
      </c>
      <c r="AG53">
        <v>0</v>
      </c>
      <c r="AH53" s="61">
        <v>0</v>
      </c>
      <c r="AI53" s="11">
        <f t="shared" si="22"/>
        <v>0</v>
      </c>
      <c r="AJ53">
        <v>0</v>
      </c>
      <c r="AK53" s="67"/>
      <c r="AL53" s="11">
        <f t="shared" si="23"/>
        <v>0</v>
      </c>
      <c r="AM53" s="11">
        <f t="shared" si="11"/>
        <v>3222352</v>
      </c>
      <c r="AN53" s="11">
        <f t="shared" si="24"/>
        <v>3222352</v>
      </c>
      <c r="AO53" s="61">
        <v>5192084</v>
      </c>
      <c r="AP53" s="11">
        <f t="shared" si="25"/>
        <v>0</v>
      </c>
      <c r="AQ53" s="56" t="str">
        <f t="shared" si="26"/>
        <v>No</v>
      </c>
      <c r="AR53" s="35">
        <f>IF(AQ53="Yes",+AP53*$I$9,0)</f>
        <v>0</v>
      </c>
      <c r="AS53" s="35">
        <f t="shared" si="27"/>
        <v>5192084</v>
      </c>
      <c r="AT53"/>
      <c r="AU53" s="35"/>
      <c r="AV53" s="53"/>
      <c r="AW53" s="35"/>
      <c r="AX53" s="21"/>
      <c r="AZ53" s="21"/>
      <c r="BA53" s="21"/>
      <c r="BE53" s="21"/>
      <c r="BF53" s="21"/>
      <c r="BG53" s="21"/>
      <c r="BH53" s="21"/>
      <c r="BI53" s="21"/>
    </row>
    <row r="54" spans="1:61" ht="14.35" x14ac:dyDescent="0.5">
      <c r="A54" s="8"/>
      <c r="B54" s="25"/>
      <c r="C54" s="25"/>
      <c r="D54">
        <v>81</v>
      </c>
      <c r="E54" s="8">
        <v>28</v>
      </c>
      <c r="F54" s="3" t="s">
        <v>115</v>
      </c>
      <c r="G54" s="54"/>
      <c r="H54">
        <v>2227.89</v>
      </c>
      <c r="I54" s="62"/>
      <c r="J54">
        <v>509</v>
      </c>
      <c r="K54" s="60">
        <f t="shared" si="12"/>
        <v>152.69999999999999</v>
      </c>
      <c r="L54" s="60">
        <f t="shared" si="13"/>
        <v>1336.73</v>
      </c>
      <c r="M54" s="60">
        <f t="shared" si="14"/>
        <v>0</v>
      </c>
      <c r="N54" s="60">
        <f t="shared" si="15"/>
        <v>0</v>
      </c>
      <c r="O54" s="51">
        <f t="shared" si="16"/>
        <v>0.23</v>
      </c>
      <c r="P54" s="51">
        <f t="shared" si="4"/>
        <v>0</v>
      </c>
      <c r="Q54" s="34">
        <f t="shared" si="5"/>
        <v>0</v>
      </c>
      <c r="R54" s="34">
        <f t="shared" si="17"/>
        <v>0</v>
      </c>
      <c r="S54">
        <v>35</v>
      </c>
      <c r="T54" s="60">
        <f t="shared" si="18"/>
        <v>8.75</v>
      </c>
      <c r="U54" s="36">
        <f t="shared" si="6"/>
        <v>152.69999999999999</v>
      </c>
      <c r="V54" s="9">
        <f t="shared" si="19"/>
        <v>2389.3399999999997</v>
      </c>
      <c r="W54" s="60">
        <v>1867971943</v>
      </c>
      <c r="X54" s="61">
        <v>15809</v>
      </c>
      <c r="Y54" s="17">
        <f t="shared" si="7"/>
        <v>118158.77</v>
      </c>
      <c r="Z54" s="37">
        <f t="shared" si="8"/>
        <v>0.59604800000000002</v>
      </c>
      <c r="AA54" s="61">
        <v>105281</v>
      </c>
      <c r="AB54" s="37">
        <f t="shared" si="9"/>
        <v>0.85799700000000001</v>
      </c>
      <c r="AC54" s="37">
        <f t="shared" si="28"/>
        <v>0.32536700000000002</v>
      </c>
      <c r="AD54" s="55">
        <f t="shared" si="20"/>
        <v>0.32536700000000002</v>
      </c>
      <c r="AE54" s="38">
        <f t="shared" si="10"/>
        <v>0</v>
      </c>
      <c r="AF54" s="58">
        <f t="shared" si="21"/>
        <v>0.32536700000000002</v>
      </c>
      <c r="AG54">
        <v>0</v>
      </c>
      <c r="AH54" s="61">
        <v>0</v>
      </c>
      <c r="AI54" s="11">
        <f t="shared" si="22"/>
        <v>0</v>
      </c>
      <c r="AJ54">
        <v>0</v>
      </c>
      <c r="AK54" s="67"/>
      <c r="AL54" s="11">
        <f t="shared" si="23"/>
        <v>0</v>
      </c>
      <c r="AM54" s="11">
        <f t="shared" si="11"/>
        <v>8959678</v>
      </c>
      <c r="AN54" s="11">
        <f t="shared" si="24"/>
        <v>8959678</v>
      </c>
      <c r="AO54" s="61">
        <v>12040218</v>
      </c>
      <c r="AP54" s="11">
        <f t="shared" si="25"/>
        <v>0</v>
      </c>
      <c r="AQ54" s="56" t="str">
        <f t="shared" si="26"/>
        <v>No</v>
      </c>
      <c r="AR54" s="35">
        <f>IF(AQ54="Yes",+AP54*$I$9,0)</f>
        <v>0</v>
      </c>
      <c r="AS54" s="35">
        <f t="shared" si="27"/>
        <v>12040218</v>
      </c>
      <c r="AT54"/>
      <c r="AU54" s="35"/>
      <c r="AV54" s="53"/>
      <c r="AW54" s="35"/>
      <c r="AX54" s="21"/>
      <c r="AZ54" s="21"/>
      <c r="BA54" s="21"/>
      <c r="BE54" s="21"/>
      <c r="BF54" s="21"/>
      <c r="BG54" s="21"/>
      <c r="BH54" s="21"/>
      <c r="BI54" s="21"/>
    </row>
    <row r="55" spans="1:61" ht="14.35" x14ac:dyDescent="0.5">
      <c r="A55" s="8"/>
      <c r="B55" s="25"/>
      <c r="C55" s="25"/>
      <c r="D55">
        <v>62</v>
      </c>
      <c r="E55" s="8">
        <v>29</v>
      </c>
      <c r="F55" s="3" t="s">
        <v>116</v>
      </c>
      <c r="G55" s="54"/>
      <c r="H55">
        <v>165.73</v>
      </c>
      <c r="I55" s="64"/>
      <c r="J55">
        <v>46</v>
      </c>
      <c r="K55" s="60">
        <f t="shared" si="12"/>
        <v>13.8</v>
      </c>
      <c r="L55" s="60">
        <f t="shared" si="13"/>
        <v>99.44</v>
      </c>
      <c r="M55" s="60">
        <f t="shared" si="14"/>
        <v>0</v>
      </c>
      <c r="N55" s="60">
        <f t="shared" si="15"/>
        <v>0</v>
      </c>
      <c r="O55" s="51">
        <f t="shared" si="16"/>
        <v>0.28000000000000003</v>
      </c>
      <c r="P55" s="51">
        <f t="shared" si="4"/>
        <v>0</v>
      </c>
      <c r="Q55" s="34">
        <f t="shared" si="5"/>
        <v>0</v>
      </c>
      <c r="R55" s="34">
        <f t="shared" si="17"/>
        <v>0</v>
      </c>
      <c r="S55">
        <v>0</v>
      </c>
      <c r="T55" s="60">
        <f t="shared" si="18"/>
        <v>0</v>
      </c>
      <c r="U55" s="36">
        <f t="shared" si="6"/>
        <v>13.8</v>
      </c>
      <c r="V55" s="9">
        <f t="shared" si="19"/>
        <v>179.53</v>
      </c>
      <c r="W55" s="60">
        <v>274609775</v>
      </c>
      <c r="X55" s="61">
        <v>1400</v>
      </c>
      <c r="Y55" s="17">
        <f t="shared" si="7"/>
        <v>196149.84</v>
      </c>
      <c r="Z55" s="37">
        <f t="shared" si="8"/>
        <v>0.98947200000000002</v>
      </c>
      <c r="AA55" s="61">
        <v>98250</v>
      </c>
      <c r="AB55" s="37">
        <f t="shared" si="9"/>
        <v>0.80069699999999999</v>
      </c>
      <c r="AC55" s="37">
        <f t="shared" si="28"/>
        <v>6.7160999999999998E-2</v>
      </c>
      <c r="AD55" s="55">
        <f t="shared" si="20"/>
        <v>6.7160999999999998E-2</v>
      </c>
      <c r="AE55" s="38">
        <f t="shared" si="10"/>
        <v>0</v>
      </c>
      <c r="AF55" s="58">
        <f t="shared" si="21"/>
        <v>6.7160999999999998E-2</v>
      </c>
      <c r="AG55">
        <v>84</v>
      </c>
      <c r="AH55" s="61">
        <v>6</v>
      </c>
      <c r="AI55" s="11">
        <f t="shared" si="22"/>
        <v>50400</v>
      </c>
      <c r="AJ55">
        <v>0</v>
      </c>
      <c r="AK55" s="67"/>
      <c r="AL55" s="11">
        <f t="shared" si="23"/>
        <v>0</v>
      </c>
      <c r="AM55" s="11">
        <f t="shared" si="11"/>
        <v>138962</v>
      </c>
      <c r="AN55" s="11">
        <f t="shared" si="24"/>
        <v>189362</v>
      </c>
      <c r="AO55" s="61">
        <v>403912</v>
      </c>
      <c r="AP55" s="11">
        <f t="shared" si="25"/>
        <v>0</v>
      </c>
      <c r="AQ55" s="56" t="str">
        <f t="shared" si="26"/>
        <v>No</v>
      </c>
      <c r="AR55" s="35">
        <f>IF(AQ55="Yes",+AP55*$I$9,0)</f>
        <v>0</v>
      </c>
      <c r="AS55" s="35">
        <f t="shared" si="27"/>
        <v>403912</v>
      </c>
      <c r="AT55"/>
      <c r="AU55" s="35"/>
      <c r="AV55" s="53"/>
      <c r="AW55" s="35"/>
      <c r="AX55" s="21"/>
      <c r="AZ55" s="21"/>
      <c r="BA55" s="21"/>
      <c r="BE55" s="21"/>
      <c r="BF55" s="21"/>
      <c r="BG55" s="21"/>
      <c r="BH55" s="21"/>
      <c r="BI55" s="21"/>
    </row>
    <row r="56" spans="1:61" ht="14.35" x14ac:dyDescent="0.5">
      <c r="A56" s="8"/>
      <c r="B56" s="25"/>
      <c r="C56" s="25"/>
      <c r="D56">
        <v>123</v>
      </c>
      <c r="E56" s="8">
        <v>30</v>
      </c>
      <c r="F56" s="3" t="s">
        <v>117</v>
      </c>
      <c r="G56" s="54"/>
      <c r="H56">
        <v>636.29</v>
      </c>
      <c r="I56" s="62"/>
      <c r="J56">
        <v>143</v>
      </c>
      <c r="K56" s="60">
        <f t="shared" si="12"/>
        <v>42.9</v>
      </c>
      <c r="L56" s="60">
        <f t="shared" si="13"/>
        <v>381.77</v>
      </c>
      <c r="M56" s="60">
        <f t="shared" si="14"/>
        <v>0</v>
      </c>
      <c r="N56" s="60">
        <f t="shared" si="15"/>
        <v>0</v>
      </c>
      <c r="O56" s="51">
        <f t="shared" si="16"/>
        <v>0.22</v>
      </c>
      <c r="P56" s="51">
        <f t="shared" si="4"/>
        <v>0</v>
      </c>
      <c r="Q56" s="34">
        <f t="shared" si="5"/>
        <v>0</v>
      </c>
      <c r="R56" s="34">
        <f t="shared" si="17"/>
        <v>0</v>
      </c>
      <c r="S56">
        <v>5</v>
      </c>
      <c r="T56" s="60">
        <f t="shared" si="18"/>
        <v>1.25</v>
      </c>
      <c r="U56" s="36">
        <f t="shared" si="6"/>
        <v>42.9</v>
      </c>
      <c r="V56" s="9">
        <f t="shared" si="19"/>
        <v>680.43999999999994</v>
      </c>
      <c r="W56" s="60">
        <v>782233366.33000004</v>
      </c>
      <c r="X56" s="61">
        <v>5379</v>
      </c>
      <c r="Y56" s="17">
        <f t="shared" si="7"/>
        <v>145423.57</v>
      </c>
      <c r="Z56" s="37">
        <f t="shared" si="8"/>
        <v>0.73358500000000004</v>
      </c>
      <c r="AA56" s="61">
        <v>109962</v>
      </c>
      <c r="AB56" s="37">
        <f t="shared" si="9"/>
        <v>0.89614499999999997</v>
      </c>
      <c r="AC56" s="37">
        <f t="shared" si="28"/>
        <v>0.21764700000000001</v>
      </c>
      <c r="AD56" s="55">
        <f t="shared" si="20"/>
        <v>0.21764700000000001</v>
      </c>
      <c r="AE56" s="38">
        <f t="shared" si="10"/>
        <v>0</v>
      </c>
      <c r="AF56" s="58">
        <f t="shared" si="21"/>
        <v>0.21764700000000001</v>
      </c>
      <c r="AG56">
        <v>0</v>
      </c>
      <c r="AH56" s="61">
        <v>0</v>
      </c>
      <c r="AI56" s="11">
        <f t="shared" si="22"/>
        <v>0</v>
      </c>
      <c r="AJ56">
        <v>1</v>
      </c>
      <c r="AK56" s="67">
        <v>4</v>
      </c>
      <c r="AL56" s="11">
        <f t="shared" si="23"/>
        <v>400</v>
      </c>
      <c r="AM56" s="11">
        <f t="shared" si="11"/>
        <v>1706803</v>
      </c>
      <c r="AN56" s="11">
        <f t="shared" si="24"/>
        <v>1707203</v>
      </c>
      <c r="AO56" s="61">
        <v>2316189</v>
      </c>
      <c r="AP56" s="11">
        <f t="shared" si="25"/>
        <v>0</v>
      </c>
      <c r="AQ56" s="56" t="str">
        <f t="shared" si="26"/>
        <v>No</v>
      </c>
      <c r="AR56" s="35">
        <f>IF(AQ56="Yes",+AP56*$I$9,0)</f>
        <v>0</v>
      </c>
      <c r="AS56" s="35">
        <f t="shared" si="27"/>
        <v>2316189</v>
      </c>
      <c r="AT56"/>
      <c r="AU56" s="35"/>
      <c r="AV56" s="53"/>
      <c r="AW56" s="35"/>
      <c r="AX56" s="21"/>
      <c r="AZ56" s="21"/>
      <c r="BA56" s="21"/>
      <c r="BE56" s="21"/>
      <c r="BF56" s="21"/>
      <c r="BG56" s="21"/>
      <c r="BH56" s="21"/>
      <c r="BI56" s="21"/>
    </row>
    <row r="57" spans="1:61" ht="14.35" x14ac:dyDescent="0.5">
      <c r="A57" s="8"/>
      <c r="B57" s="25"/>
      <c r="C57" s="25"/>
      <c r="D57">
        <v>154</v>
      </c>
      <c r="E57" s="8">
        <v>31</v>
      </c>
      <c r="F57" s="3" t="s">
        <v>118</v>
      </c>
      <c r="G57" s="54"/>
      <c r="H57">
        <v>128.16</v>
      </c>
      <c r="I57" s="62"/>
      <c r="J57">
        <v>43</v>
      </c>
      <c r="K57" s="60">
        <f t="shared" si="12"/>
        <v>12.9</v>
      </c>
      <c r="L57" s="60">
        <f t="shared" si="13"/>
        <v>76.900000000000006</v>
      </c>
      <c r="M57" s="60">
        <f t="shared" si="14"/>
        <v>0</v>
      </c>
      <c r="N57" s="60">
        <f t="shared" si="15"/>
        <v>0</v>
      </c>
      <c r="O57" s="51">
        <f t="shared" si="16"/>
        <v>0.34</v>
      </c>
      <c r="P57" s="51">
        <f t="shared" si="4"/>
        <v>0</v>
      </c>
      <c r="Q57" s="34">
        <f t="shared" si="5"/>
        <v>0</v>
      </c>
      <c r="R57" s="34">
        <f t="shared" si="17"/>
        <v>0</v>
      </c>
      <c r="S57">
        <v>8</v>
      </c>
      <c r="T57" s="60">
        <f t="shared" si="18"/>
        <v>2</v>
      </c>
      <c r="U57" s="36">
        <f t="shared" si="6"/>
        <v>12.9</v>
      </c>
      <c r="V57" s="9">
        <f t="shared" si="19"/>
        <v>143.06</v>
      </c>
      <c r="W57" s="60">
        <v>567970241.33000004</v>
      </c>
      <c r="X57" s="61">
        <v>1362</v>
      </c>
      <c r="Y57" s="17">
        <f t="shared" si="7"/>
        <v>417011.92</v>
      </c>
      <c r="Z57" s="37">
        <f t="shared" si="8"/>
        <v>2.1036030000000001</v>
      </c>
      <c r="AA57" s="61">
        <v>80000</v>
      </c>
      <c r="AB57" s="37">
        <f t="shared" si="9"/>
        <v>0.65196699999999996</v>
      </c>
      <c r="AC57" s="37">
        <f t="shared" si="28"/>
        <v>-0.66811200000000004</v>
      </c>
      <c r="AD57" s="55">
        <f t="shared" si="20"/>
        <v>0.01</v>
      </c>
      <c r="AE57" s="38">
        <f t="shared" si="10"/>
        <v>0</v>
      </c>
      <c r="AF57" s="58">
        <f t="shared" si="21"/>
        <v>0.01</v>
      </c>
      <c r="AG57">
        <v>29</v>
      </c>
      <c r="AH57" s="61">
        <v>4</v>
      </c>
      <c r="AI57" s="11">
        <f t="shared" si="22"/>
        <v>11600</v>
      </c>
      <c r="AJ57">
        <v>0</v>
      </c>
      <c r="AK57" s="67"/>
      <c r="AL57" s="11">
        <f t="shared" si="23"/>
        <v>0</v>
      </c>
      <c r="AM57" s="11">
        <f t="shared" si="11"/>
        <v>16488</v>
      </c>
      <c r="AN57" s="11">
        <f t="shared" si="24"/>
        <v>28088</v>
      </c>
      <c r="AO57" s="61">
        <v>11229</v>
      </c>
      <c r="AP57" s="11">
        <f t="shared" si="25"/>
        <v>16859</v>
      </c>
      <c r="AQ57" s="56" t="str">
        <f t="shared" si="26"/>
        <v>Yes</v>
      </c>
      <c r="AR57" s="35">
        <f>IF(AQ57="Yes",+AP57*$I$9,0)</f>
        <v>2810.3952999999997</v>
      </c>
      <c r="AS57" s="35">
        <f t="shared" si="27"/>
        <v>14039.3953</v>
      </c>
      <c r="AT57"/>
      <c r="AU57" s="35"/>
      <c r="AV57" s="53"/>
      <c r="AW57" s="35"/>
      <c r="AX57" s="21"/>
      <c r="AZ57" s="21"/>
      <c r="BA57" s="21"/>
      <c r="BE57" s="21"/>
      <c r="BF57" s="21"/>
      <c r="BG57" s="21"/>
      <c r="BH57" s="21"/>
      <c r="BI57" s="21"/>
    </row>
    <row r="58" spans="1:61" ht="14.35" x14ac:dyDescent="0.5">
      <c r="A58" s="8"/>
      <c r="B58" s="25"/>
      <c r="C58" s="25"/>
      <c r="D58">
        <v>84</v>
      </c>
      <c r="E58" s="8">
        <v>32</v>
      </c>
      <c r="F58" s="3" t="s">
        <v>119</v>
      </c>
      <c r="G58" s="54"/>
      <c r="H58">
        <v>1626.8</v>
      </c>
      <c r="I58" s="62"/>
      <c r="J58">
        <v>373</v>
      </c>
      <c r="K58" s="60">
        <f t="shared" si="12"/>
        <v>111.9</v>
      </c>
      <c r="L58" s="60">
        <f t="shared" si="13"/>
        <v>976.08</v>
      </c>
      <c r="M58" s="60">
        <f t="shared" si="14"/>
        <v>0</v>
      </c>
      <c r="N58" s="60">
        <f t="shared" si="15"/>
        <v>0</v>
      </c>
      <c r="O58" s="51">
        <f t="shared" si="16"/>
        <v>0.23</v>
      </c>
      <c r="P58" s="51">
        <f t="shared" si="4"/>
        <v>0</v>
      </c>
      <c r="Q58" s="34">
        <f t="shared" si="5"/>
        <v>0</v>
      </c>
      <c r="R58" s="34">
        <f t="shared" si="17"/>
        <v>0</v>
      </c>
      <c r="S58">
        <v>14</v>
      </c>
      <c r="T58" s="60">
        <f t="shared" si="18"/>
        <v>3.5</v>
      </c>
      <c r="U58" s="36">
        <f t="shared" si="6"/>
        <v>111.9</v>
      </c>
      <c r="V58" s="9">
        <f t="shared" si="19"/>
        <v>1742.2</v>
      </c>
      <c r="W58" s="60">
        <v>1495322991.3299999</v>
      </c>
      <c r="X58" s="61">
        <v>12407</v>
      </c>
      <c r="Y58" s="17">
        <f t="shared" si="7"/>
        <v>120522.53</v>
      </c>
      <c r="Z58" s="37">
        <f t="shared" si="8"/>
        <v>0.60797199999999996</v>
      </c>
      <c r="AA58" s="61">
        <v>96143</v>
      </c>
      <c r="AB58" s="37">
        <f t="shared" si="9"/>
        <v>0.78352599999999994</v>
      </c>
      <c r="AC58" s="37">
        <f t="shared" si="28"/>
        <v>0.339362</v>
      </c>
      <c r="AD58" s="55">
        <f t="shared" si="20"/>
        <v>0.339362</v>
      </c>
      <c r="AE58" s="38">
        <f t="shared" si="10"/>
        <v>0</v>
      </c>
      <c r="AF58" s="58">
        <f t="shared" si="21"/>
        <v>0.339362</v>
      </c>
      <c r="AG58">
        <v>0</v>
      </c>
      <c r="AH58" s="61">
        <v>0</v>
      </c>
      <c r="AI58" s="11">
        <f t="shared" si="22"/>
        <v>0</v>
      </c>
      <c r="AJ58">
        <v>0</v>
      </c>
      <c r="AK58" s="67"/>
      <c r="AL58" s="11">
        <f t="shared" si="23"/>
        <v>0</v>
      </c>
      <c r="AM58" s="11">
        <f t="shared" si="11"/>
        <v>6814000</v>
      </c>
      <c r="AN58" s="11">
        <f t="shared" si="24"/>
        <v>6814000</v>
      </c>
      <c r="AO58" s="61">
        <v>7952911</v>
      </c>
      <c r="AP58" s="11">
        <f t="shared" si="25"/>
        <v>0</v>
      </c>
      <c r="AQ58" s="56" t="str">
        <f t="shared" si="26"/>
        <v>No</v>
      </c>
      <c r="AR58" s="35">
        <f>IF(AQ58="Yes",+AP58*$I$9,0)</f>
        <v>0</v>
      </c>
      <c r="AS58" s="35">
        <f t="shared" si="27"/>
        <v>7952911</v>
      </c>
      <c r="AT58"/>
      <c r="AU58" s="35"/>
      <c r="AV58" s="53"/>
      <c r="AW58" s="35"/>
      <c r="AX58" s="21"/>
      <c r="AZ58" s="21"/>
      <c r="BA58" s="21"/>
      <c r="BE58" s="21"/>
      <c r="BF58" s="21"/>
      <c r="BG58" s="21"/>
      <c r="BH58" s="21"/>
      <c r="BI58" s="21"/>
    </row>
    <row r="59" spans="1:61" ht="14.35" x14ac:dyDescent="0.5">
      <c r="A59" s="8"/>
      <c r="B59" s="25"/>
      <c r="C59" s="25"/>
      <c r="D59">
        <v>88</v>
      </c>
      <c r="E59" s="8">
        <v>33</v>
      </c>
      <c r="F59" s="3" t="s">
        <v>120</v>
      </c>
      <c r="G59" s="54"/>
      <c r="H59">
        <v>1968.84</v>
      </c>
      <c r="I59" s="62"/>
      <c r="J59">
        <v>456</v>
      </c>
      <c r="K59" s="60">
        <f t="shared" si="12"/>
        <v>136.80000000000001</v>
      </c>
      <c r="L59" s="60">
        <f t="shared" si="13"/>
        <v>1181.3</v>
      </c>
      <c r="M59" s="60">
        <f t="shared" si="14"/>
        <v>0</v>
      </c>
      <c r="N59" s="60">
        <f t="shared" si="15"/>
        <v>0</v>
      </c>
      <c r="O59" s="51">
        <f t="shared" si="16"/>
        <v>0.23</v>
      </c>
      <c r="P59" s="51">
        <f t="shared" ref="P59:P90" si="29">IF(O59&gt;0.6,+O59-0.6,0)</f>
        <v>0</v>
      </c>
      <c r="Q59" s="34">
        <f t="shared" ref="Q59:Q90" si="30">ROUND(P59*H59,2)</f>
        <v>0</v>
      </c>
      <c r="R59" s="34">
        <f t="shared" si="17"/>
        <v>0</v>
      </c>
      <c r="S59">
        <v>93</v>
      </c>
      <c r="T59" s="60">
        <f t="shared" si="18"/>
        <v>23.25</v>
      </c>
      <c r="U59" s="36">
        <f t="shared" ref="U59:U90" si="31">ROUND(J59*$U$2,2)</f>
        <v>136.80000000000001</v>
      </c>
      <c r="V59" s="9">
        <f t="shared" si="19"/>
        <v>2128.89</v>
      </c>
      <c r="W59" s="60">
        <v>2165883649.3299999</v>
      </c>
      <c r="X59" s="61">
        <v>13839</v>
      </c>
      <c r="Y59" s="17">
        <f t="shared" si="7"/>
        <v>156505.79</v>
      </c>
      <c r="Z59" s="37">
        <f t="shared" si="8"/>
        <v>0.789489</v>
      </c>
      <c r="AA59" s="61">
        <v>89243</v>
      </c>
      <c r="AB59" s="37">
        <f t="shared" si="9"/>
        <v>0.727294</v>
      </c>
      <c r="AC59" s="37">
        <f t="shared" si="28"/>
        <v>0.22917000000000001</v>
      </c>
      <c r="AD59" s="55">
        <f t="shared" si="20"/>
        <v>0.22917000000000001</v>
      </c>
      <c r="AE59" s="38">
        <f t="shared" ref="AE59:AE90" si="32">IF(D59&gt;=1,IF(D59&lt;=5,0.06,IF(D59&lt;=10,0.05,IF(D59&lt;=15,0.04,IF(D59&lt;=19,0.03,0)))),0)</f>
        <v>0</v>
      </c>
      <c r="AF59" s="58">
        <f t="shared" si="21"/>
        <v>0.22917000000000001</v>
      </c>
      <c r="AG59">
        <v>0</v>
      </c>
      <c r="AH59" s="61">
        <v>0</v>
      </c>
      <c r="AI59" s="11">
        <f t="shared" si="22"/>
        <v>0</v>
      </c>
      <c r="AJ59">
        <v>0</v>
      </c>
      <c r="AK59" s="67"/>
      <c r="AL59" s="11">
        <f t="shared" si="23"/>
        <v>0</v>
      </c>
      <c r="AM59" s="11">
        <f t="shared" ref="AM59:AM90" si="33">ROUND(V59*AF59*$AM$21,0)</f>
        <v>5622791</v>
      </c>
      <c r="AN59" s="11">
        <f t="shared" si="24"/>
        <v>5622791</v>
      </c>
      <c r="AO59" s="61">
        <v>5104925</v>
      </c>
      <c r="AP59" s="11">
        <f t="shared" si="25"/>
        <v>517866</v>
      </c>
      <c r="AQ59" s="56" t="str">
        <f t="shared" si="26"/>
        <v>Yes</v>
      </c>
      <c r="AR59" s="35">
        <f>IF(AQ59="Yes",+AP59*$I$9,0)</f>
        <v>86328.262199999997</v>
      </c>
      <c r="AS59" s="35">
        <f t="shared" si="27"/>
        <v>5191253.2621999998</v>
      </c>
      <c r="AT59"/>
      <c r="AU59" s="35"/>
      <c r="AV59" s="53"/>
      <c r="AW59" s="35"/>
      <c r="AX59" s="21"/>
      <c r="AZ59" s="21"/>
      <c r="BA59" s="21"/>
      <c r="BE59" s="21"/>
      <c r="BF59" s="21"/>
      <c r="BG59" s="21"/>
      <c r="BH59" s="21"/>
      <c r="BI59" s="21"/>
    </row>
    <row r="60" spans="1:61" ht="14.35" x14ac:dyDescent="0.5">
      <c r="A60" s="8">
        <v>1</v>
      </c>
      <c r="B60" s="25">
        <v>1</v>
      </c>
      <c r="C60" s="25">
        <f>+A60+B60</f>
        <v>2</v>
      </c>
      <c r="D60">
        <v>51</v>
      </c>
      <c r="E60" s="8">
        <v>34</v>
      </c>
      <c r="F60" s="3" t="s">
        <v>121</v>
      </c>
      <c r="G60" s="54"/>
      <c r="H60">
        <v>11759.11</v>
      </c>
      <c r="I60" s="62"/>
      <c r="J60">
        <v>6193</v>
      </c>
      <c r="K60" s="60">
        <f t="shared" si="12"/>
        <v>1857.9</v>
      </c>
      <c r="L60" s="60">
        <f t="shared" si="13"/>
        <v>7055.47</v>
      </c>
      <c r="M60" s="60">
        <f t="shared" si="14"/>
        <v>0</v>
      </c>
      <c r="N60" s="60">
        <f t="shared" si="15"/>
        <v>0</v>
      </c>
      <c r="O60" s="51">
        <f t="shared" si="16"/>
        <v>0.53</v>
      </c>
      <c r="P60" s="51">
        <f t="shared" si="29"/>
        <v>0</v>
      </c>
      <c r="Q60" s="34">
        <f t="shared" si="30"/>
        <v>0</v>
      </c>
      <c r="R60" s="34">
        <f t="shared" si="17"/>
        <v>0</v>
      </c>
      <c r="S60">
        <v>3740</v>
      </c>
      <c r="T60" s="60">
        <f t="shared" si="18"/>
        <v>935</v>
      </c>
      <c r="U60" s="36">
        <f t="shared" si="31"/>
        <v>1857.9</v>
      </c>
      <c r="V60" s="9">
        <f t="shared" si="19"/>
        <v>14552.01</v>
      </c>
      <c r="W60" s="60">
        <v>11830394892.67</v>
      </c>
      <c r="X60" s="61">
        <v>84694</v>
      </c>
      <c r="Y60" s="17">
        <f t="shared" si="7"/>
        <v>139683.98000000001</v>
      </c>
      <c r="Z60" s="37">
        <f t="shared" si="8"/>
        <v>0.70463100000000001</v>
      </c>
      <c r="AA60" s="61">
        <v>73297</v>
      </c>
      <c r="AB60" s="37">
        <f t="shared" si="9"/>
        <v>0.59734100000000001</v>
      </c>
      <c r="AC60" s="37">
        <f t="shared" si="28"/>
        <v>0.32755600000000001</v>
      </c>
      <c r="AD60" s="55">
        <f t="shared" si="20"/>
        <v>0.32755600000000001</v>
      </c>
      <c r="AE60" s="38">
        <f t="shared" si="32"/>
        <v>0</v>
      </c>
      <c r="AF60" s="58">
        <f t="shared" si="21"/>
        <v>0.32755600000000001</v>
      </c>
      <c r="AG60">
        <v>0</v>
      </c>
      <c r="AH60" s="61">
        <v>0</v>
      </c>
      <c r="AI60" s="11">
        <f t="shared" si="22"/>
        <v>0</v>
      </c>
      <c r="AJ60">
        <v>0</v>
      </c>
      <c r="AK60" s="67"/>
      <c r="AL60" s="11">
        <f t="shared" si="23"/>
        <v>0</v>
      </c>
      <c r="AM60" s="11">
        <f t="shared" si="33"/>
        <v>54935044</v>
      </c>
      <c r="AN60" s="11">
        <f t="shared" si="24"/>
        <v>54935044</v>
      </c>
      <c r="AO60" s="61">
        <v>40276119</v>
      </c>
      <c r="AP60" s="11">
        <f t="shared" si="25"/>
        <v>14658925</v>
      </c>
      <c r="AQ60" s="56" t="str">
        <f t="shared" si="26"/>
        <v>Yes</v>
      </c>
      <c r="AR60" s="35">
        <f>IF(AQ60="Yes",+AP60*$I$9,0)</f>
        <v>2443642.7974999999</v>
      </c>
      <c r="AS60" s="35">
        <f t="shared" si="27"/>
        <v>42719761.797499999</v>
      </c>
      <c r="AT60"/>
      <c r="AU60" s="35"/>
      <c r="AV60" s="53"/>
      <c r="AW60" s="35"/>
      <c r="AX60" s="21"/>
      <c r="AZ60" s="21"/>
      <c r="BA60" s="21"/>
      <c r="BE60" s="21"/>
      <c r="BF60" s="21"/>
      <c r="BG60" s="21"/>
      <c r="BH60" s="21"/>
      <c r="BI60" s="21"/>
    </row>
    <row r="61" spans="1:61" ht="14.35" x14ac:dyDescent="0.5">
      <c r="A61" s="8"/>
      <c r="B61" s="25"/>
      <c r="C61" s="25"/>
      <c r="D61">
        <v>168</v>
      </c>
      <c r="E61" s="8">
        <v>35</v>
      </c>
      <c r="F61" s="3" t="s">
        <v>122</v>
      </c>
      <c r="G61" s="54"/>
      <c r="H61">
        <v>4708.37</v>
      </c>
      <c r="I61" s="62"/>
      <c r="J61">
        <v>88</v>
      </c>
      <c r="K61" s="60">
        <f t="shared" si="12"/>
        <v>26.4</v>
      </c>
      <c r="L61" s="60">
        <f t="shared" si="13"/>
        <v>2825.02</v>
      </c>
      <c r="M61" s="60">
        <f t="shared" si="14"/>
        <v>0</v>
      </c>
      <c r="N61" s="60">
        <f t="shared" si="15"/>
        <v>0</v>
      </c>
      <c r="O61" s="51">
        <f t="shared" si="16"/>
        <v>0.02</v>
      </c>
      <c r="P61" s="51">
        <f t="shared" si="29"/>
        <v>0</v>
      </c>
      <c r="Q61" s="34">
        <f t="shared" si="30"/>
        <v>0</v>
      </c>
      <c r="R61" s="34">
        <f t="shared" si="17"/>
        <v>0</v>
      </c>
      <c r="S61">
        <v>54</v>
      </c>
      <c r="T61" s="60">
        <f t="shared" si="18"/>
        <v>13.5</v>
      </c>
      <c r="U61" s="36">
        <f t="shared" si="31"/>
        <v>26.4</v>
      </c>
      <c r="V61" s="9">
        <f t="shared" si="19"/>
        <v>4748.2699999999995</v>
      </c>
      <c r="W61" s="60">
        <v>12578709415</v>
      </c>
      <c r="X61" s="61">
        <v>21728</v>
      </c>
      <c r="Y61" s="17">
        <f t="shared" si="7"/>
        <v>578917.04</v>
      </c>
      <c r="Z61" s="37">
        <f t="shared" si="8"/>
        <v>2.9203290000000002</v>
      </c>
      <c r="AA61" s="61">
        <v>232523</v>
      </c>
      <c r="AB61" s="37">
        <f t="shared" si="9"/>
        <v>1.8949670000000001</v>
      </c>
      <c r="AC61" s="37">
        <f t="shared" si="28"/>
        <v>-1.6127199999999999</v>
      </c>
      <c r="AD61" s="55">
        <f t="shared" si="20"/>
        <v>0.01</v>
      </c>
      <c r="AE61" s="38">
        <f t="shared" si="32"/>
        <v>0</v>
      </c>
      <c r="AF61" s="58">
        <f t="shared" si="21"/>
        <v>0.01</v>
      </c>
      <c r="AG61">
        <v>0</v>
      </c>
      <c r="AH61" s="61">
        <v>0</v>
      </c>
      <c r="AI61" s="11">
        <f t="shared" si="22"/>
        <v>0</v>
      </c>
      <c r="AJ61">
        <v>0</v>
      </c>
      <c r="AK61" s="67"/>
      <c r="AL61" s="11">
        <f t="shared" si="23"/>
        <v>0</v>
      </c>
      <c r="AM61" s="11">
        <f t="shared" si="33"/>
        <v>547238</v>
      </c>
      <c r="AN61" s="11">
        <f t="shared" si="24"/>
        <v>547238</v>
      </c>
      <c r="AO61" s="61">
        <v>457357</v>
      </c>
      <c r="AP61" s="11">
        <f t="shared" si="25"/>
        <v>89881</v>
      </c>
      <c r="AQ61" s="56" t="str">
        <f t="shared" si="26"/>
        <v>Yes</v>
      </c>
      <c r="AR61" s="35">
        <f>IF(AQ61="Yes",+AP61*$I$9,0)</f>
        <v>14983.162699999999</v>
      </c>
      <c r="AS61" s="35">
        <f t="shared" si="27"/>
        <v>472340.16269999999</v>
      </c>
      <c r="AT61"/>
      <c r="AU61" s="35"/>
      <c r="AV61" s="53"/>
      <c r="AW61" s="35"/>
      <c r="AX61" s="21"/>
      <c r="AZ61" s="21"/>
      <c r="BA61" s="21"/>
      <c r="BE61" s="21"/>
      <c r="BF61" s="21"/>
      <c r="BG61" s="21"/>
      <c r="BH61" s="21"/>
      <c r="BI61" s="21"/>
    </row>
    <row r="62" spans="1:61" ht="14.35" x14ac:dyDescent="0.5">
      <c r="A62" s="8"/>
      <c r="B62" s="25"/>
      <c r="C62" s="25"/>
      <c r="D62">
        <v>112</v>
      </c>
      <c r="E62" s="8">
        <v>36</v>
      </c>
      <c r="F62" s="3" t="s">
        <v>123</v>
      </c>
      <c r="G62" s="54"/>
      <c r="H62">
        <v>502.4</v>
      </c>
      <c r="I62" s="62"/>
      <c r="J62">
        <v>157</v>
      </c>
      <c r="K62" s="60">
        <f t="shared" si="12"/>
        <v>47.1</v>
      </c>
      <c r="L62" s="60">
        <f t="shared" si="13"/>
        <v>301.44</v>
      </c>
      <c r="M62" s="60">
        <f t="shared" si="14"/>
        <v>0</v>
      </c>
      <c r="N62" s="60">
        <f t="shared" si="15"/>
        <v>0</v>
      </c>
      <c r="O62" s="51">
        <f t="shared" si="16"/>
        <v>0.31</v>
      </c>
      <c r="P62" s="51">
        <f t="shared" si="29"/>
        <v>0</v>
      </c>
      <c r="Q62" s="34">
        <f t="shared" si="30"/>
        <v>0</v>
      </c>
      <c r="R62" s="34">
        <f t="shared" si="17"/>
        <v>0</v>
      </c>
      <c r="S62">
        <v>6</v>
      </c>
      <c r="T62" s="60">
        <f t="shared" si="18"/>
        <v>1.5</v>
      </c>
      <c r="U62" s="36">
        <f t="shared" si="31"/>
        <v>47.1</v>
      </c>
      <c r="V62" s="9">
        <f t="shared" si="19"/>
        <v>551</v>
      </c>
      <c r="W62" s="60">
        <v>737069541.66999996</v>
      </c>
      <c r="X62" s="61">
        <v>4443</v>
      </c>
      <c r="Y62" s="17">
        <f t="shared" si="7"/>
        <v>165894.56</v>
      </c>
      <c r="Z62" s="37">
        <f t="shared" si="8"/>
        <v>0.83684999999999998</v>
      </c>
      <c r="AA62" s="61">
        <v>85960</v>
      </c>
      <c r="AB62" s="37">
        <f t="shared" si="9"/>
        <v>0.70053900000000002</v>
      </c>
      <c r="AC62" s="37">
        <f t="shared" si="28"/>
        <v>0.204043</v>
      </c>
      <c r="AD62" s="55">
        <f t="shared" si="20"/>
        <v>0.204043</v>
      </c>
      <c r="AE62" s="38">
        <f t="shared" si="32"/>
        <v>0</v>
      </c>
      <c r="AF62" s="58">
        <f t="shared" si="21"/>
        <v>0.204043</v>
      </c>
      <c r="AG62">
        <v>288</v>
      </c>
      <c r="AH62" s="61">
        <v>6</v>
      </c>
      <c r="AI62" s="11">
        <f t="shared" si="22"/>
        <v>172800</v>
      </c>
      <c r="AJ62">
        <v>0</v>
      </c>
      <c r="AK62" s="67"/>
      <c r="AL62" s="11">
        <f t="shared" si="23"/>
        <v>0</v>
      </c>
      <c r="AM62" s="11">
        <f t="shared" si="33"/>
        <v>1295729</v>
      </c>
      <c r="AN62" s="11">
        <f t="shared" si="24"/>
        <v>1468529</v>
      </c>
      <c r="AO62" s="61">
        <v>1671457</v>
      </c>
      <c r="AP62" s="11">
        <f t="shared" si="25"/>
        <v>0</v>
      </c>
      <c r="AQ62" s="56" t="str">
        <f t="shared" si="26"/>
        <v>No</v>
      </c>
      <c r="AR62" s="35">
        <f>IF(AQ62="Yes",+AP62*$I$9,0)</f>
        <v>0</v>
      </c>
      <c r="AS62" s="35">
        <f t="shared" si="27"/>
        <v>1671457</v>
      </c>
      <c r="AT62"/>
      <c r="AU62" s="35"/>
      <c r="AV62" s="53"/>
      <c r="AW62" s="35"/>
      <c r="AX62" s="21"/>
      <c r="AZ62" s="21"/>
      <c r="BA62" s="21"/>
      <c r="BE62" s="21"/>
      <c r="BF62" s="21"/>
      <c r="BG62" s="21"/>
      <c r="BH62" s="21"/>
      <c r="BI62" s="21"/>
    </row>
    <row r="63" spans="1:61" ht="14.35" x14ac:dyDescent="0.5">
      <c r="A63" s="25">
        <v>1</v>
      </c>
      <c r="B63" s="25">
        <v>1</v>
      </c>
      <c r="C63" s="25">
        <f>+A63+B63</f>
        <v>2</v>
      </c>
      <c r="D63">
        <v>13</v>
      </c>
      <c r="E63" s="8">
        <v>37</v>
      </c>
      <c r="F63" s="3" t="s">
        <v>124</v>
      </c>
      <c r="G63" s="54"/>
      <c r="H63">
        <v>1400.5</v>
      </c>
      <c r="I63" s="63"/>
      <c r="J63">
        <v>634</v>
      </c>
      <c r="K63" s="60">
        <f t="shared" si="12"/>
        <v>190.2</v>
      </c>
      <c r="L63" s="60">
        <f t="shared" si="13"/>
        <v>840.3</v>
      </c>
      <c r="M63" s="60">
        <f t="shared" si="14"/>
        <v>0</v>
      </c>
      <c r="N63" s="60">
        <f t="shared" si="15"/>
        <v>0</v>
      </c>
      <c r="O63" s="51">
        <f t="shared" si="16"/>
        <v>0.45</v>
      </c>
      <c r="P63" s="51">
        <f t="shared" si="29"/>
        <v>0</v>
      </c>
      <c r="Q63" s="34">
        <f t="shared" si="30"/>
        <v>0</v>
      </c>
      <c r="R63" s="34">
        <f t="shared" si="17"/>
        <v>0</v>
      </c>
      <c r="S63">
        <v>47</v>
      </c>
      <c r="T63" s="60">
        <f t="shared" si="18"/>
        <v>11.75</v>
      </c>
      <c r="U63" s="36">
        <f t="shared" si="31"/>
        <v>190.2</v>
      </c>
      <c r="V63" s="9">
        <f t="shared" si="19"/>
        <v>1602.45</v>
      </c>
      <c r="W63" s="60">
        <v>1161307896.6700001</v>
      </c>
      <c r="X63" s="61">
        <v>12339</v>
      </c>
      <c r="Y63" s="17">
        <f t="shared" si="7"/>
        <v>94116.86</v>
      </c>
      <c r="Z63" s="37">
        <f t="shared" si="8"/>
        <v>0.47477000000000003</v>
      </c>
      <c r="AA63" s="61">
        <v>56357</v>
      </c>
      <c r="AB63" s="37">
        <f t="shared" si="9"/>
        <v>0.45928600000000003</v>
      </c>
      <c r="AC63" s="37">
        <f t="shared" si="28"/>
        <v>0.52987499999999998</v>
      </c>
      <c r="AD63" s="55">
        <f t="shared" si="20"/>
        <v>0.52987499999999998</v>
      </c>
      <c r="AE63" s="38">
        <f t="shared" si="32"/>
        <v>0.04</v>
      </c>
      <c r="AF63" s="58">
        <f t="shared" si="21"/>
        <v>0.56987500000000002</v>
      </c>
      <c r="AG63">
        <v>0</v>
      </c>
      <c r="AH63" s="61">
        <v>0</v>
      </c>
      <c r="AI63" s="11">
        <f t="shared" si="22"/>
        <v>0</v>
      </c>
      <c r="AJ63">
        <v>0</v>
      </c>
      <c r="AK63" s="67"/>
      <c r="AL63" s="11">
        <f t="shared" si="23"/>
        <v>0</v>
      </c>
      <c r="AM63" s="11">
        <f t="shared" si="33"/>
        <v>10524586</v>
      </c>
      <c r="AN63" s="11">
        <f t="shared" si="24"/>
        <v>10524586</v>
      </c>
      <c r="AO63" s="61">
        <v>9140280</v>
      </c>
      <c r="AP63" s="11">
        <f t="shared" si="25"/>
        <v>1384306</v>
      </c>
      <c r="AQ63" s="56" t="str">
        <f t="shared" si="26"/>
        <v>Yes</v>
      </c>
      <c r="AR63" s="35">
        <f>IF(AQ63="Yes",+AP63*$I$9,0)</f>
        <v>230763.81019999998</v>
      </c>
      <c r="AS63" s="35">
        <f t="shared" si="27"/>
        <v>9371043.8102000002</v>
      </c>
      <c r="AT63"/>
      <c r="AU63" s="35"/>
      <c r="AV63" s="53"/>
      <c r="AW63" s="35"/>
      <c r="AX63" s="21"/>
      <c r="AZ63" s="21"/>
      <c r="BA63" s="21"/>
      <c r="BE63" s="21"/>
      <c r="BF63" s="21"/>
      <c r="BG63" s="21"/>
      <c r="BH63" s="21"/>
      <c r="BI63" s="21"/>
    </row>
    <row r="64" spans="1:61" ht="14.35" x14ac:dyDescent="0.5">
      <c r="A64" s="8"/>
      <c r="B64" s="25"/>
      <c r="C64" s="25"/>
      <c r="D64">
        <v>136</v>
      </c>
      <c r="E64" s="8">
        <v>38</v>
      </c>
      <c r="F64" s="3" t="s">
        <v>125</v>
      </c>
      <c r="G64" s="54"/>
      <c r="H64">
        <v>892.77</v>
      </c>
      <c r="I64" s="62"/>
      <c r="J64">
        <v>138</v>
      </c>
      <c r="K64" s="60">
        <f t="shared" si="12"/>
        <v>41.4</v>
      </c>
      <c r="L64" s="60">
        <f t="shared" si="13"/>
        <v>535.66</v>
      </c>
      <c r="M64" s="60">
        <f t="shared" si="14"/>
        <v>0</v>
      </c>
      <c r="N64" s="60">
        <f t="shared" si="15"/>
        <v>0</v>
      </c>
      <c r="O64" s="51">
        <f t="shared" si="16"/>
        <v>0.15</v>
      </c>
      <c r="P64" s="51">
        <f t="shared" si="29"/>
        <v>0</v>
      </c>
      <c r="Q64" s="34">
        <f t="shared" si="30"/>
        <v>0</v>
      </c>
      <c r="R64" s="34">
        <f t="shared" si="17"/>
        <v>0</v>
      </c>
      <c r="S64">
        <v>10</v>
      </c>
      <c r="T64" s="60">
        <f t="shared" si="18"/>
        <v>2.5</v>
      </c>
      <c r="U64" s="36">
        <f t="shared" si="31"/>
        <v>41.4</v>
      </c>
      <c r="V64" s="9">
        <f t="shared" si="19"/>
        <v>936.67</v>
      </c>
      <c r="W64" s="60">
        <v>1047772271.33</v>
      </c>
      <c r="X64" s="61">
        <v>7165</v>
      </c>
      <c r="Y64" s="17">
        <f t="shared" si="7"/>
        <v>146234.79</v>
      </c>
      <c r="Z64" s="37">
        <f t="shared" si="8"/>
        <v>0.73767700000000003</v>
      </c>
      <c r="AA64" s="61">
        <v>119905</v>
      </c>
      <c r="AB64" s="37">
        <f t="shared" si="9"/>
        <v>0.97717699999999996</v>
      </c>
      <c r="AC64" s="37">
        <f t="shared" si="28"/>
        <v>0.190473</v>
      </c>
      <c r="AD64" s="55">
        <f t="shared" si="20"/>
        <v>0.190473</v>
      </c>
      <c r="AE64" s="38">
        <f t="shared" si="32"/>
        <v>0</v>
      </c>
      <c r="AF64" s="58">
        <f t="shared" si="21"/>
        <v>0.190473</v>
      </c>
      <c r="AG64">
        <v>895</v>
      </c>
      <c r="AH64" s="61">
        <v>13</v>
      </c>
      <c r="AI64" s="11">
        <f t="shared" si="22"/>
        <v>1163500</v>
      </c>
      <c r="AJ64">
        <v>0</v>
      </c>
      <c r="AK64" s="67"/>
      <c r="AL64" s="11">
        <f t="shared" si="23"/>
        <v>0</v>
      </c>
      <c r="AM64" s="11">
        <f t="shared" si="33"/>
        <v>2056179</v>
      </c>
      <c r="AN64" s="11">
        <f t="shared" si="24"/>
        <v>3219679</v>
      </c>
      <c r="AO64" s="61">
        <v>3165733</v>
      </c>
      <c r="AP64" s="11">
        <f t="shared" si="25"/>
        <v>53946</v>
      </c>
      <c r="AQ64" s="56" t="str">
        <f t="shared" si="26"/>
        <v>Yes</v>
      </c>
      <c r="AR64" s="35">
        <f>IF(AQ64="Yes",+AP64*$I$9,0)</f>
        <v>8992.7981999999993</v>
      </c>
      <c r="AS64" s="35">
        <f t="shared" si="27"/>
        <v>3174725.7982000001</v>
      </c>
      <c r="AT64"/>
      <c r="AU64" s="35"/>
      <c r="AV64" s="53"/>
      <c r="AW64" s="35"/>
      <c r="AX64" s="21"/>
      <c r="AZ64" s="21"/>
      <c r="BA64" s="21"/>
      <c r="BE64" s="21"/>
      <c r="BF64" s="21"/>
      <c r="BG64" s="21"/>
      <c r="BH64" s="21"/>
      <c r="BI64" s="21"/>
    </row>
    <row r="65" spans="1:61" ht="14.35" x14ac:dyDescent="0.5">
      <c r="A65" s="8"/>
      <c r="B65" s="25"/>
      <c r="C65" s="25"/>
      <c r="D65">
        <v>116</v>
      </c>
      <c r="E65" s="8">
        <v>39</v>
      </c>
      <c r="F65" s="3" t="s">
        <v>126</v>
      </c>
      <c r="G65" s="54"/>
      <c r="H65">
        <v>180.05</v>
      </c>
      <c r="I65" s="62"/>
      <c r="J65">
        <v>43</v>
      </c>
      <c r="K65" s="60">
        <f t="shared" si="12"/>
        <v>12.9</v>
      </c>
      <c r="L65" s="60">
        <f t="shared" si="13"/>
        <v>108.03</v>
      </c>
      <c r="M65" s="60">
        <f t="shared" si="14"/>
        <v>0</v>
      </c>
      <c r="N65" s="60">
        <f t="shared" si="15"/>
        <v>0</v>
      </c>
      <c r="O65" s="51">
        <f t="shared" si="16"/>
        <v>0.24</v>
      </c>
      <c r="P65" s="51">
        <f t="shared" si="29"/>
        <v>0</v>
      </c>
      <c r="Q65" s="34">
        <f t="shared" si="30"/>
        <v>0</v>
      </c>
      <c r="R65" s="34">
        <f t="shared" si="17"/>
        <v>0</v>
      </c>
      <c r="S65">
        <v>1</v>
      </c>
      <c r="T65" s="60">
        <f t="shared" si="18"/>
        <v>0.25</v>
      </c>
      <c r="U65" s="36">
        <f t="shared" si="31"/>
        <v>12.9</v>
      </c>
      <c r="V65" s="9">
        <f t="shared" si="19"/>
        <v>193.20000000000002</v>
      </c>
      <c r="W65" s="60">
        <v>239207859.66999999</v>
      </c>
      <c r="X65" s="61">
        <v>1790</v>
      </c>
      <c r="Y65" s="17">
        <f t="shared" si="7"/>
        <v>133635.68</v>
      </c>
      <c r="Z65" s="37">
        <f t="shared" si="8"/>
        <v>0.67412099999999997</v>
      </c>
      <c r="AA65" s="61">
        <v>92813</v>
      </c>
      <c r="AB65" s="37">
        <f t="shared" si="9"/>
        <v>0.75638799999999995</v>
      </c>
      <c r="AC65" s="37">
        <f t="shared" si="28"/>
        <v>0.30119899999999999</v>
      </c>
      <c r="AD65" s="55">
        <f t="shared" si="20"/>
        <v>0.30119899999999999</v>
      </c>
      <c r="AE65" s="38">
        <f t="shared" si="32"/>
        <v>0</v>
      </c>
      <c r="AF65" s="58">
        <f t="shared" si="21"/>
        <v>0.30119899999999999</v>
      </c>
      <c r="AG65">
        <v>0</v>
      </c>
      <c r="AH65" s="65">
        <v>0</v>
      </c>
      <c r="AI65" s="11">
        <f t="shared" si="22"/>
        <v>0</v>
      </c>
      <c r="AJ65">
        <v>42</v>
      </c>
      <c r="AK65" s="67">
        <v>4</v>
      </c>
      <c r="AL65" s="11">
        <f t="shared" si="23"/>
        <v>16800</v>
      </c>
      <c r="AM65" s="11">
        <f t="shared" si="33"/>
        <v>670659</v>
      </c>
      <c r="AN65" s="11">
        <f t="shared" si="24"/>
        <v>687459</v>
      </c>
      <c r="AO65" s="61">
        <v>947176</v>
      </c>
      <c r="AP65" s="11">
        <f t="shared" si="25"/>
        <v>0</v>
      </c>
      <c r="AQ65" s="56" t="str">
        <f t="shared" si="26"/>
        <v>No</v>
      </c>
      <c r="AR65" s="35">
        <f>IF(AQ65="Yes",+AP65*$I$9,0)</f>
        <v>0</v>
      </c>
      <c r="AS65" s="35">
        <f t="shared" si="27"/>
        <v>947176</v>
      </c>
      <c r="AT65"/>
      <c r="AU65" s="35"/>
      <c r="AV65" s="53"/>
      <c r="AW65" s="35"/>
      <c r="AX65" s="21"/>
      <c r="AZ65" s="21"/>
      <c r="BA65" s="21"/>
      <c r="BE65" s="21"/>
      <c r="BF65" s="21"/>
      <c r="BG65" s="21"/>
      <c r="BH65" s="21"/>
      <c r="BI65" s="21"/>
    </row>
    <row r="66" spans="1:61" ht="14.35" x14ac:dyDescent="0.5">
      <c r="A66" s="8"/>
      <c r="B66" s="25"/>
      <c r="C66" s="25"/>
      <c r="D66">
        <v>85</v>
      </c>
      <c r="E66" s="8">
        <v>40</v>
      </c>
      <c r="F66" s="3" t="s">
        <v>127</v>
      </c>
      <c r="G66" s="54"/>
      <c r="H66">
        <v>845.3</v>
      </c>
      <c r="I66" s="62"/>
      <c r="J66">
        <v>134</v>
      </c>
      <c r="K66" s="60">
        <f t="shared" si="12"/>
        <v>40.200000000000003</v>
      </c>
      <c r="L66" s="60">
        <f t="shared" si="13"/>
        <v>507.18</v>
      </c>
      <c r="M66" s="60">
        <f t="shared" si="14"/>
        <v>0</v>
      </c>
      <c r="N66" s="60">
        <f t="shared" si="15"/>
        <v>0</v>
      </c>
      <c r="O66" s="51">
        <f t="shared" si="16"/>
        <v>0.16</v>
      </c>
      <c r="P66" s="51">
        <f t="shared" si="29"/>
        <v>0</v>
      </c>
      <c r="Q66" s="34">
        <f t="shared" si="30"/>
        <v>0</v>
      </c>
      <c r="R66" s="34">
        <f t="shared" si="17"/>
        <v>0</v>
      </c>
      <c r="S66">
        <v>11</v>
      </c>
      <c r="T66" s="60">
        <f t="shared" si="18"/>
        <v>2.75</v>
      </c>
      <c r="U66" s="36">
        <f t="shared" si="31"/>
        <v>40.200000000000003</v>
      </c>
      <c r="V66" s="9">
        <f t="shared" si="19"/>
        <v>888.25</v>
      </c>
      <c r="W66" s="60">
        <v>889115092</v>
      </c>
      <c r="X66" s="61">
        <v>5140</v>
      </c>
      <c r="Y66" s="17">
        <f t="shared" si="7"/>
        <v>172979.59</v>
      </c>
      <c r="Z66" s="37">
        <f t="shared" si="8"/>
        <v>0.87258999999999998</v>
      </c>
      <c r="AA66" s="61">
        <v>104336</v>
      </c>
      <c r="AB66" s="37">
        <f t="shared" si="9"/>
        <v>0.85029600000000005</v>
      </c>
      <c r="AC66" s="37">
        <f t="shared" si="28"/>
        <v>0.13409799999999999</v>
      </c>
      <c r="AD66" s="55">
        <f t="shared" si="20"/>
        <v>0.13409799999999999</v>
      </c>
      <c r="AE66" s="38">
        <f t="shared" si="32"/>
        <v>0</v>
      </c>
      <c r="AF66" s="58">
        <f t="shared" si="21"/>
        <v>0.13409799999999999</v>
      </c>
      <c r="AG66">
        <v>0</v>
      </c>
      <c r="AH66" s="61">
        <v>0</v>
      </c>
      <c r="AI66" s="11">
        <f t="shared" si="22"/>
        <v>0</v>
      </c>
      <c r="AJ66">
        <v>0</v>
      </c>
      <c r="AK66" s="67"/>
      <c r="AL66" s="11">
        <f t="shared" si="23"/>
        <v>0</v>
      </c>
      <c r="AM66" s="11">
        <f t="shared" si="33"/>
        <v>1372772</v>
      </c>
      <c r="AN66" s="11">
        <f t="shared" si="24"/>
        <v>1372772</v>
      </c>
      <c r="AO66" s="61">
        <v>1445791</v>
      </c>
      <c r="AP66" s="11">
        <f t="shared" si="25"/>
        <v>0</v>
      </c>
      <c r="AQ66" s="56" t="str">
        <f t="shared" si="26"/>
        <v>No</v>
      </c>
      <c r="AR66" s="35">
        <f>IF(AQ66="Yes",+AP66*$I$9,0)</f>
        <v>0</v>
      </c>
      <c r="AS66" s="35">
        <f t="shared" si="27"/>
        <v>1445791</v>
      </c>
      <c r="AT66"/>
      <c r="AU66" s="35"/>
      <c r="AV66" s="53"/>
      <c r="AW66" s="35"/>
      <c r="AX66" s="21"/>
      <c r="AZ66" s="21"/>
      <c r="BA66" s="21"/>
      <c r="BE66" s="21"/>
      <c r="BF66" s="21"/>
      <c r="BG66" s="21"/>
      <c r="BH66" s="21"/>
      <c r="BI66" s="21"/>
    </row>
    <row r="67" spans="1:61" ht="14.35" x14ac:dyDescent="0.5">
      <c r="A67" s="8"/>
      <c r="B67" s="25"/>
      <c r="C67" s="25"/>
      <c r="D67">
        <v>90</v>
      </c>
      <c r="E67" s="8">
        <v>41</v>
      </c>
      <c r="F67" s="3" t="s">
        <v>128</v>
      </c>
      <c r="G67" s="54"/>
      <c r="H67">
        <v>974.28</v>
      </c>
      <c r="I67" s="62"/>
      <c r="J67">
        <v>248</v>
      </c>
      <c r="K67" s="60">
        <f t="shared" si="12"/>
        <v>74.400000000000006</v>
      </c>
      <c r="L67" s="60">
        <f t="shared" si="13"/>
        <v>584.57000000000005</v>
      </c>
      <c r="M67" s="60">
        <f t="shared" si="14"/>
        <v>0</v>
      </c>
      <c r="N67" s="60">
        <f t="shared" si="15"/>
        <v>0</v>
      </c>
      <c r="O67" s="51">
        <f t="shared" si="16"/>
        <v>0.25</v>
      </c>
      <c r="P67" s="51">
        <f t="shared" si="29"/>
        <v>0</v>
      </c>
      <c r="Q67" s="34">
        <f t="shared" si="30"/>
        <v>0</v>
      </c>
      <c r="R67" s="34">
        <f t="shared" si="17"/>
        <v>0</v>
      </c>
      <c r="S67">
        <v>6</v>
      </c>
      <c r="T67" s="60">
        <f t="shared" si="18"/>
        <v>1.5</v>
      </c>
      <c r="U67" s="36">
        <f t="shared" si="31"/>
        <v>74.400000000000006</v>
      </c>
      <c r="V67" s="9">
        <f t="shared" si="19"/>
        <v>1050.18</v>
      </c>
      <c r="W67" s="60">
        <v>1315706478.6700001</v>
      </c>
      <c r="X67" s="61">
        <v>8997</v>
      </c>
      <c r="Y67" s="17">
        <f t="shared" si="7"/>
        <v>146238.35</v>
      </c>
      <c r="Z67" s="37">
        <f t="shared" si="8"/>
        <v>0.73769499999999999</v>
      </c>
      <c r="AA67" s="61">
        <v>96928</v>
      </c>
      <c r="AB67" s="37">
        <f t="shared" si="9"/>
        <v>0.78992399999999996</v>
      </c>
      <c r="AC67" s="37">
        <f t="shared" si="28"/>
        <v>0.24663599999999999</v>
      </c>
      <c r="AD67" s="55">
        <f t="shared" si="20"/>
        <v>0.24663599999999999</v>
      </c>
      <c r="AE67" s="38">
        <f t="shared" si="32"/>
        <v>0</v>
      </c>
      <c r="AF67" s="58">
        <f t="shared" si="21"/>
        <v>0.24663599999999999</v>
      </c>
      <c r="AG67">
        <v>0</v>
      </c>
      <c r="AH67" s="61">
        <v>0</v>
      </c>
      <c r="AI67" s="11">
        <f t="shared" si="22"/>
        <v>0</v>
      </c>
      <c r="AJ67">
        <v>0</v>
      </c>
      <c r="AK67" s="67"/>
      <c r="AL67" s="11">
        <f t="shared" si="23"/>
        <v>0</v>
      </c>
      <c r="AM67" s="11">
        <f t="shared" si="33"/>
        <v>2985116</v>
      </c>
      <c r="AN67" s="11">
        <f t="shared" si="24"/>
        <v>2985116</v>
      </c>
      <c r="AO67" s="61">
        <v>3555957</v>
      </c>
      <c r="AP67" s="11">
        <f t="shared" si="25"/>
        <v>0</v>
      </c>
      <c r="AQ67" s="56" t="str">
        <f t="shared" si="26"/>
        <v>No</v>
      </c>
      <c r="AR67" s="35">
        <f>IF(AQ67="Yes",+AP67*$I$9,0)</f>
        <v>0</v>
      </c>
      <c r="AS67" s="35">
        <f t="shared" si="27"/>
        <v>3555957</v>
      </c>
      <c r="AT67"/>
      <c r="AU67" s="35"/>
      <c r="AV67" s="53"/>
      <c r="AW67" s="35"/>
      <c r="AX67" s="21"/>
      <c r="AZ67" s="21"/>
      <c r="BA67" s="21"/>
      <c r="BE67" s="21"/>
      <c r="BF67" s="21"/>
      <c r="BG67" s="21"/>
      <c r="BH67" s="21"/>
      <c r="BI67" s="21"/>
    </row>
    <row r="68" spans="1:61" ht="14.35" x14ac:dyDescent="0.5">
      <c r="A68" s="8"/>
      <c r="B68" s="25"/>
      <c r="C68" s="25"/>
      <c r="D68">
        <v>77</v>
      </c>
      <c r="E68" s="8">
        <v>42</v>
      </c>
      <c r="F68" s="3" t="s">
        <v>129</v>
      </c>
      <c r="G68" s="54"/>
      <c r="H68">
        <v>1814.99</v>
      </c>
      <c r="I68" s="62"/>
      <c r="J68">
        <v>389</v>
      </c>
      <c r="K68" s="60">
        <f t="shared" si="12"/>
        <v>116.7</v>
      </c>
      <c r="L68" s="60">
        <f t="shared" si="13"/>
        <v>1088.99</v>
      </c>
      <c r="M68" s="60">
        <f t="shared" si="14"/>
        <v>0</v>
      </c>
      <c r="N68" s="60">
        <f t="shared" si="15"/>
        <v>0</v>
      </c>
      <c r="O68" s="51">
        <f t="shared" si="16"/>
        <v>0.21</v>
      </c>
      <c r="P68" s="51">
        <f t="shared" si="29"/>
        <v>0</v>
      </c>
      <c r="Q68" s="34">
        <f t="shared" si="30"/>
        <v>0</v>
      </c>
      <c r="R68" s="34">
        <f t="shared" si="17"/>
        <v>0</v>
      </c>
      <c r="S68">
        <v>5</v>
      </c>
      <c r="T68" s="60">
        <f t="shared" si="18"/>
        <v>1.25</v>
      </c>
      <c r="U68" s="36">
        <f t="shared" si="31"/>
        <v>116.7</v>
      </c>
      <c r="V68" s="9">
        <f t="shared" si="19"/>
        <v>1932.94</v>
      </c>
      <c r="W68" s="60">
        <v>1699480349.6700001</v>
      </c>
      <c r="X68" s="61">
        <v>12800</v>
      </c>
      <c r="Y68" s="17">
        <f t="shared" si="7"/>
        <v>132771.9</v>
      </c>
      <c r="Z68" s="37">
        <f t="shared" si="8"/>
        <v>0.66976400000000003</v>
      </c>
      <c r="AA68" s="61">
        <v>95513</v>
      </c>
      <c r="AB68" s="37">
        <f t="shared" si="9"/>
        <v>0.77839199999999997</v>
      </c>
      <c r="AC68" s="37">
        <f t="shared" si="28"/>
        <v>0.29764800000000002</v>
      </c>
      <c r="AD68" s="55">
        <f t="shared" si="20"/>
        <v>0.29764800000000002</v>
      </c>
      <c r="AE68" s="38">
        <f t="shared" si="32"/>
        <v>0</v>
      </c>
      <c r="AF68" s="58">
        <f t="shared" si="21"/>
        <v>0.29764800000000002</v>
      </c>
      <c r="AG68">
        <v>0</v>
      </c>
      <c r="AH68" s="61">
        <v>0</v>
      </c>
      <c r="AI68" s="11">
        <f t="shared" si="22"/>
        <v>0</v>
      </c>
      <c r="AJ68">
        <v>0</v>
      </c>
      <c r="AK68" s="67"/>
      <c r="AL68" s="11">
        <f t="shared" si="23"/>
        <v>0</v>
      </c>
      <c r="AM68" s="11">
        <f t="shared" si="33"/>
        <v>6630744</v>
      </c>
      <c r="AN68" s="11">
        <f t="shared" si="24"/>
        <v>6630744</v>
      </c>
      <c r="AO68" s="61">
        <v>6902775</v>
      </c>
      <c r="AP68" s="11">
        <f t="shared" si="25"/>
        <v>0</v>
      </c>
      <c r="AQ68" s="56" t="str">
        <f t="shared" si="26"/>
        <v>No</v>
      </c>
      <c r="AR68" s="35">
        <f>IF(AQ68="Yes",+AP68*$I$9,0)</f>
        <v>0</v>
      </c>
      <c r="AS68" s="35">
        <f t="shared" si="27"/>
        <v>6902775</v>
      </c>
      <c r="AT68"/>
      <c r="AU68" s="35"/>
      <c r="AV68" s="53"/>
      <c r="AW68" s="35"/>
      <c r="AX68" s="21"/>
      <c r="AZ68" s="21"/>
      <c r="BA68" s="21"/>
      <c r="BE68" s="21"/>
      <c r="BF68" s="21"/>
      <c r="BG68" s="21"/>
      <c r="BH68" s="21"/>
      <c r="BI68" s="21"/>
    </row>
    <row r="69" spans="1:61" ht="14.35" x14ac:dyDescent="0.5">
      <c r="A69" s="8">
        <v>1</v>
      </c>
      <c r="B69" s="25">
        <v>1</v>
      </c>
      <c r="C69" s="25">
        <f>+A69+B69</f>
        <v>2</v>
      </c>
      <c r="D69">
        <v>8</v>
      </c>
      <c r="E69" s="8">
        <v>43</v>
      </c>
      <c r="F69" s="3" t="s">
        <v>130</v>
      </c>
      <c r="G69" s="54"/>
      <c r="H69">
        <v>7853.95</v>
      </c>
      <c r="I69" s="63"/>
      <c r="J69">
        <v>5260</v>
      </c>
      <c r="K69" s="60">
        <f t="shared" si="12"/>
        <v>1578</v>
      </c>
      <c r="L69" s="60">
        <f t="shared" si="13"/>
        <v>4712.37</v>
      </c>
      <c r="M69" s="60">
        <f t="shared" si="14"/>
        <v>547.63000000000011</v>
      </c>
      <c r="N69" s="60">
        <f t="shared" si="15"/>
        <v>82.14</v>
      </c>
      <c r="O69" s="51">
        <f t="shared" si="16"/>
        <v>0.67</v>
      </c>
      <c r="P69" s="51">
        <f t="shared" si="29"/>
        <v>7.0000000000000062E-2</v>
      </c>
      <c r="Q69" s="34">
        <f t="shared" si="30"/>
        <v>549.78</v>
      </c>
      <c r="R69" s="34">
        <f t="shared" si="17"/>
        <v>82.47</v>
      </c>
      <c r="S69">
        <v>1070</v>
      </c>
      <c r="T69" s="60">
        <f t="shared" si="18"/>
        <v>267.5</v>
      </c>
      <c r="U69" s="36">
        <f t="shared" si="31"/>
        <v>1578</v>
      </c>
      <c r="V69" s="9">
        <f t="shared" si="19"/>
        <v>9781.59</v>
      </c>
      <c r="W69" s="60">
        <v>4277729302</v>
      </c>
      <c r="X69" s="61">
        <v>49872</v>
      </c>
      <c r="Y69" s="17">
        <f t="shared" si="7"/>
        <v>85774.17</v>
      </c>
      <c r="Z69" s="37">
        <f t="shared" si="8"/>
        <v>0.43268499999999999</v>
      </c>
      <c r="AA69" s="61">
        <v>55967</v>
      </c>
      <c r="AB69" s="37">
        <f t="shared" si="9"/>
        <v>0.45610800000000001</v>
      </c>
      <c r="AC69" s="37">
        <f t="shared" si="28"/>
        <v>0.56028800000000001</v>
      </c>
      <c r="AD69" s="55">
        <f t="shared" si="20"/>
        <v>0.56028800000000001</v>
      </c>
      <c r="AE69" s="38">
        <f t="shared" si="32"/>
        <v>0.05</v>
      </c>
      <c r="AF69" s="58">
        <f t="shared" si="21"/>
        <v>0.61028800000000005</v>
      </c>
      <c r="AG69">
        <v>0</v>
      </c>
      <c r="AH69" s="61">
        <v>0</v>
      </c>
      <c r="AI69" s="11">
        <f t="shared" si="22"/>
        <v>0</v>
      </c>
      <c r="AJ69">
        <v>0</v>
      </c>
      <c r="AK69" s="67"/>
      <c r="AL69" s="11">
        <f t="shared" si="23"/>
        <v>0</v>
      </c>
      <c r="AM69" s="11">
        <f t="shared" si="33"/>
        <v>68799490</v>
      </c>
      <c r="AN69" s="11">
        <f t="shared" si="24"/>
        <v>68799490</v>
      </c>
      <c r="AO69" s="61">
        <v>56561508</v>
      </c>
      <c r="AP69" s="11">
        <f t="shared" si="25"/>
        <v>12237982</v>
      </c>
      <c r="AQ69" s="56" t="str">
        <f t="shared" si="26"/>
        <v>Yes</v>
      </c>
      <c r="AR69" s="35">
        <f>IF(AQ69="Yes",+AP69*$I$9,0)</f>
        <v>2040071.5993999999</v>
      </c>
      <c r="AS69" s="35">
        <f t="shared" si="27"/>
        <v>58601579.599399999</v>
      </c>
      <c r="AT69"/>
      <c r="AU69" s="35"/>
      <c r="AV69" s="53"/>
      <c r="AW69" s="35"/>
      <c r="AX69" s="21"/>
      <c r="AZ69" s="21"/>
      <c r="BA69" s="21"/>
      <c r="BE69" s="21"/>
      <c r="BF69" s="21"/>
      <c r="BG69" s="21"/>
      <c r="BH69" s="21"/>
      <c r="BI69" s="21"/>
    </row>
    <row r="70" spans="1:61" ht="14.35" x14ac:dyDescent="0.5">
      <c r="A70" s="8"/>
      <c r="B70" s="25">
        <v>1</v>
      </c>
      <c r="C70" s="25">
        <f>+A70+B70</f>
        <v>1</v>
      </c>
      <c r="D70">
        <v>31</v>
      </c>
      <c r="E70" s="8">
        <v>44</v>
      </c>
      <c r="F70" s="3" t="s">
        <v>131</v>
      </c>
      <c r="G70" s="54"/>
      <c r="H70">
        <v>3203.87</v>
      </c>
      <c r="I70" s="63"/>
      <c r="J70">
        <v>1064</v>
      </c>
      <c r="K70" s="60">
        <f t="shared" si="12"/>
        <v>319.2</v>
      </c>
      <c r="L70" s="60">
        <f t="shared" si="13"/>
        <v>1922.32</v>
      </c>
      <c r="M70" s="60">
        <f t="shared" si="14"/>
        <v>0</v>
      </c>
      <c r="N70" s="60">
        <f t="shared" si="15"/>
        <v>0</v>
      </c>
      <c r="O70" s="51">
        <f t="shared" si="16"/>
        <v>0.33</v>
      </c>
      <c r="P70" s="51">
        <f t="shared" si="29"/>
        <v>0</v>
      </c>
      <c r="Q70" s="34">
        <f t="shared" si="30"/>
        <v>0</v>
      </c>
      <c r="R70" s="34">
        <f t="shared" si="17"/>
        <v>0</v>
      </c>
      <c r="S70">
        <v>324</v>
      </c>
      <c r="T70" s="60">
        <f t="shared" si="18"/>
        <v>81</v>
      </c>
      <c r="U70" s="36">
        <f t="shared" si="31"/>
        <v>319.2</v>
      </c>
      <c r="V70" s="9">
        <f t="shared" si="19"/>
        <v>3604.0699999999997</v>
      </c>
      <c r="W70" s="60">
        <v>2974569132.6700001</v>
      </c>
      <c r="X70" s="61">
        <v>28569</v>
      </c>
      <c r="Y70" s="17">
        <f t="shared" si="7"/>
        <v>104118.77</v>
      </c>
      <c r="Z70" s="37">
        <f t="shared" si="8"/>
        <v>0.52522400000000002</v>
      </c>
      <c r="AA70" s="61">
        <v>67390</v>
      </c>
      <c r="AB70" s="37">
        <f t="shared" si="9"/>
        <v>0.54920100000000005</v>
      </c>
      <c r="AC70" s="37">
        <f t="shared" si="28"/>
        <v>0.46758300000000003</v>
      </c>
      <c r="AD70" s="55">
        <f t="shared" si="20"/>
        <v>0.46758300000000003</v>
      </c>
      <c r="AE70" s="38">
        <f t="shared" si="32"/>
        <v>0</v>
      </c>
      <c r="AF70" s="58">
        <f t="shared" si="21"/>
        <v>0.46758300000000003</v>
      </c>
      <c r="AG70">
        <v>0</v>
      </c>
      <c r="AH70" s="61">
        <v>0</v>
      </c>
      <c r="AI70" s="11">
        <f t="shared" si="22"/>
        <v>0</v>
      </c>
      <c r="AJ70">
        <v>0</v>
      </c>
      <c r="AK70" s="67"/>
      <c r="AL70" s="11">
        <f t="shared" si="23"/>
        <v>0</v>
      </c>
      <c r="AM70" s="11">
        <f t="shared" si="33"/>
        <v>19421951</v>
      </c>
      <c r="AN70" s="11">
        <f t="shared" si="24"/>
        <v>19421951</v>
      </c>
      <c r="AO70" s="61">
        <v>19869202</v>
      </c>
      <c r="AP70" s="11">
        <f t="shared" si="25"/>
        <v>0</v>
      </c>
      <c r="AQ70" s="56" t="str">
        <f t="shared" si="26"/>
        <v>No</v>
      </c>
      <c r="AR70" s="35">
        <f>IF(AQ70="Yes",+AP70*$I$9,0)</f>
        <v>0</v>
      </c>
      <c r="AS70" s="35">
        <f t="shared" si="27"/>
        <v>19869202</v>
      </c>
      <c r="AT70"/>
      <c r="AU70" s="35"/>
      <c r="AV70" s="53"/>
      <c r="AW70" s="35"/>
      <c r="AX70" s="21"/>
      <c r="AZ70" s="21"/>
      <c r="BA70" s="21"/>
      <c r="BE70" s="21"/>
      <c r="BF70" s="21"/>
      <c r="BG70" s="21"/>
      <c r="BH70" s="21"/>
      <c r="BI70" s="21"/>
    </row>
    <row r="71" spans="1:61" ht="14.35" x14ac:dyDescent="0.5">
      <c r="A71" s="8"/>
      <c r="B71" s="25"/>
      <c r="C71" s="25"/>
      <c r="D71">
        <v>75</v>
      </c>
      <c r="E71" s="8">
        <v>45</v>
      </c>
      <c r="F71" s="3" t="s">
        <v>132</v>
      </c>
      <c r="G71" s="54"/>
      <c r="H71">
        <v>2501.9899999999998</v>
      </c>
      <c r="I71" s="62"/>
      <c r="J71">
        <v>563</v>
      </c>
      <c r="K71" s="60">
        <f t="shared" si="12"/>
        <v>168.9</v>
      </c>
      <c r="L71" s="60">
        <f t="shared" si="13"/>
        <v>1501.19</v>
      </c>
      <c r="M71" s="60">
        <f t="shared" si="14"/>
        <v>0</v>
      </c>
      <c r="N71" s="60">
        <f t="shared" si="15"/>
        <v>0</v>
      </c>
      <c r="O71" s="51">
        <f t="shared" si="16"/>
        <v>0.23</v>
      </c>
      <c r="P71" s="51">
        <f t="shared" si="29"/>
        <v>0</v>
      </c>
      <c r="Q71" s="34">
        <f t="shared" si="30"/>
        <v>0</v>
      </c>
      <c r="R71" s="34">
        <f t="shared" si="17"/>
        <v>0</v>
      </c>
      <c r="S71">
        <v>79</v>
      </c>
      <c r="T71" s="60">
        <f t="shared" si="18"/>
        <v>19.75</v>
      </c>
      <c r="U71" s="36">
        <f t="shared" si="31"/>
        <v>168.9</v>
      </c>
      <c r="V71" s="9">
        <f t="shared" si="19"/>
        <v>2690.64</v>
      </c>
      <c r="W71" s="60">
        <v>3370006232.6700001</v>
      </c>
      <c r="X71" s="61">
        <v>18462</v>
      </c>
      <c r="Y71" s="17">
        <f t="shared" si="7"/>
        <v>182537.44</v>
      </c>
      <c r="Z71" s="37">
        <f t="shared" si="8"/>
        <v>0.92080399999999996</v>
      </c>
      <c r="AA71" s="61">
        <v>95217</v>
      </c>
      <c r="AB71" s="37">
        <f t="shared" si="9"/>
        <v>0.77598</v>
      </c>
      <c r="AC71" s="37">
        <f t="shared" si="28"/>
        <v>0.122643</v>
      </c>
      <c r="AD71" s="55">
        <f t="shared" si="20"/>
        <v>0.122643</v>
      </c>
      <c r="AE71" s="38">
        <f t="shared" si="32"/>
        <v>0</v>
      </c>
      <c r="AF71" s="58">
        <f t="shared" si="21"/>
        <v>0.122643</v>
      </c>
      <c r="AG71">
        <v>0</v>
      </c>
      <c r="AH71" s="61">
        <v>0</v>
      </c>
      <c r="AI71" s="11">
        <f t="shared" si="22"/>
        <v>0</v>
      </c>
      <c r="AJ71">
        <v>0</v>
      </c>
      <c r="AK71" s="67"/>
      <c r="AL71" s="11">
        <f t="shared" si="23"/>
        <v>0</v>
      </c>
      <c r="AM71" s="11">
        <f t="shared" si="33"/>
        <v>3803114</v>
      </c>
      <c r="AN71" s="11">
        <f t="shared" si="24"/>
        <v>3803114</v>
      </c>
      <c r="AO71" s="61">
        <v>6076507</v>
      </c>
      <c r="AP71" s="11">
        <f t="shared" si="25"/>
        <v>0</v>
      </c>
      <c r="AQ71" s="56" t="str">
        <f t="shared" si="26"/>
        <v>No</v>
      </c>
      <c r="AR71" s="35">
        <f>IF(AQ71="Yes",+AP71*$I$9,0)</f>
        <v>0</v>
      </c>
      <c r="AS71" s="35">
        <f t="shared" si="27"/>
        <v>6076507</v>
      </c>
      <c r="AT71"/>
      <c r="AU71" s="35"/>
      <c r="AV71" s="53"/>
      <c r="AW71" s="35"/>
      <c r="AX71" s="21"/>
      <c r="AZ71" s="21"/>
      <c r="BA71" s="21"/>
      <c r="BE71" s="21"/>
      <c r="BF71" s="21"/>
      <c r="BG71" s="21"/>
      <c r="BH71" s="21"/>
      <c r="BI71" s="21"/>
    </row>
    <row r="72" spans="1:61" ht="14.35" x14ac:dyDescent="0.5">
      <c r="A72" s="8"/>
      <c r="B72" s="25"/>
      <c r="C72" s="25"/>
      <c r="D72">
        <v>146</v>
      </c>
      <c r="E72" s="8">
        <v>46</v>
      </c>
      <c r="F72" s="3" t="s">
        <v>133</v>
      </c>
      <c r="G72" s="54"/>
      <c r="H72">
        <v>1302.98</v>
      </c>
      <c r="I72" s="62"/>
      <c r="J72">
        <v>138</v>
      </c>
      <c r="K72" s="60">
        <f t="shared" si="12"/>
        <v>41.4</v>
      </c>
      <c r="L72" s="60">
        <f t="shared" si="13"/>
        <v>781.79</v>
      </c>
      <c r="M72" s="60">
        <f t="shared" si="14"/>
        <v>0</v>
      </c>
      <c r="N72" s="60">
        <f t="shared" si="15"/>
        <v>0</v>
      </c>
      <c r="O72" s="51">
        <f t="shared" si="16"/>
        <v>0.11</v>
      </c>
      <c r="P72" s="51">
        <f t="shared" si="29"/>
        <v>0</v>
      </c>
      <c r="Q72" s="34">
        <f t="shared" si="30"/>
        <v>0</v>
      </c>
      <c r="R72" s="34">
        <f t="shared" si="17"/>
        <v>0</v>
      </c>
      <c r="S72">
        <v>25</v>
      </c>
      <c r="T72" s="60">
        <f t="shared" si="18"/>
        <v>6.25</v>
      </c>
      <c r="U72" s="36">
        <f t="shared" si="31"/>
        <v>41.4</v>
      </c>
      <c r="V72" s="9">
        <f t="shared" si="19"/>
        <v>1350.63</v>
      </c>
      <c r="W72" s="60">
        <v>1783821446.3299999</v>
      </c>
      <c r="X72" s="61">
        <v>7521</v>
      </c>
      <c r="Y72" s="17">
        <f t="shared" si="7"/>
        <v>237178.76</v>
      </c>
      <c r="Z72" s="37">
        <f t="shared" si="8"/>
        <v>1.1964410000000001</v>
      </c>
      <c r="AA72" s="61">
        <v>157448</v>
      </c>
      <c r="AB72" s="37">
        <f t="shared" si="9"/>
        <v>1.283137</v>
      </c>
      <c r="AC72" s="37">
        <f t="shared" si="28"/>
        <v>-0.22245000000000001</v>
      </c>
      <c r="AD72" s="55">
        <f t="shared" si="20"/>
        <v>0.01</v>
      </c>
      <c r="AE72" s="38">
        <f t="shared" si="32"/>
        <v>0</v>
      </c>
      <c r="AF72" s="58">
        <f t="shared" si="21"/>
        <v>0.01</v>
      </c>
      <c r="AG72">
        <v>434</v>
      </c>
      <c r="AH72" s="61">
        <v>4</v>
      </c>
      <c r="AI72" s="11">
        <f t="shared" si="22"/>
        <v>173600</v>
      </c>
      <c r="AJ72">
        <v>0</v>
      </c>
      <c r="AK72" s="67"/>
      <c r="AL72" s="11">
        <f t="shared" si="23"/>
        <v>0</v>
      </c>
      <c r="AM72" s="11">
        <f t="shared" si="33"/>
        <v>155660</v>
      </c>
      <c r="AN72" s="11">
        <f t="shared" si="24"/>
        <v>329260</v>
      </c>
      <c r="AO72" s="61">
        <v>186645</v>
      </c>
      <c r="AP72" s="11">
        <f t="shared" si="25"/>
        <v>142615</v>
      </c>
      <c r="AQ72" s="56" t="str">
        <f t="shared" si="26"/>
        <v>Yes</v>
      </c>
      <c r="AR72" s="35">
        <f>IF(AQ72="Yes",+AP72*$I$9,0)</f>
        <v>23773.920499999997</v>
      </c>
      <c r="AS72" s="35">
        <f t="shared" si="27"/>
        <v>210418.92050000001</v>
      </c>
      <c r="AT72"/>
      <c r="AU72" s="35"/>
      <c r="AV72" s="53"/>
      <c r="AW72" s="35"/>
      <c r="AX72" s="21"/>
      <c r="AZ72" s="21"/>
      <c r="BA72" s="21"/>
      <c r="BE72" s="21"/>
      <c r="BF72" s="21"/>
      <c r="BG72" s="21"/>
      <c r="BH72" s="21"/>
      <c r="BI72" s="21"/>
    </row>
    <row r="73" spans="1:61" ht="14.35" x14ac:dyDescent="0.5">
      <c r="A73" s="8"/>
      <c r="B73" s="25">
        <v>1</v>
      </c>
      <c r="C73" s="25">
        <f>+A73+B73</f>
        <v>1</v>
      </c>
      <c r="D73">
        <v>37</v>
      </c>
      <c r="E73" s="8">
        <v>47</v>
      </c>
      <c r="F73" s="3" t="s">
        <v>134</v>
      </c>
      <c r="G73" s="54"/>
      <c r="H73">
        <v>1098.42</v>
      </c>
      <c r="I73" s="63"/>
      <c r="J73">
        <v>527</v>
      </c>
      <c r="K73" s="60">
        <f t="shared" si="12"/>
        <v>158.1</v>
      </c>
      <c r="L73" s="60">
        <f t="shared" si="13"/>
        <v>659.05</v>
      </c>
      <c r="M73" s="60">
        <f t="shared" si="14"/>
        <v>0</v>
      </c>
      <c r="N73" s="60">
        <f t="shared" si="15"/>
        <v>0</v>
      </c>
      <c r="O73" s="51">
        <f t="shared" si="16"/>
        <v>0.48</v>
      </c>
      <c r="P73" s="51">
        <f t="shared" si="29"/>
        <v>0</v>
      </c>
      <c r="Q73" s="34">
        <f t="shared" si="30"/>
        <v>0</v>
      </c>
      <c r="R73" s="34">
        <f t="shared" si="17"/>
        <v>0</v>
      </c>
      <c r="S73">
        <v>71</v>
      </c>
      <c r="T73" s="60">
        <f t="shared" si="18"/>
        <v>17.75</v>
      </c>
      <c r="U73" s="36">
        <f t="shared" si="31"/>
        <v>158.1</v>
      </c>
      <c r="V73" s="9">
        <f t="shared" si="19"/>
        <v>1274.27</v>
      </c>
      <c r="W73" s="60">
        <v>1467255727</v>
      </c>
      <c r="X73" s="61">
        <v>11668</v>
      </c>
      <c r="Y73" s="17">
        <f t="shared" si="7"/>
        <v>125750.41</v>
      </c>
      <c r="Z73" s="37">
        <f t="shared" si="8"/>
        <v>0.63434400000000002</v>
      </c>
      <c r="AA73" s="61">
        <v>76824</v>
      </c>
      <c r="AB73" s="37">
        <f t="shared" si="9"/>
        <v>0.62608399999999997</v>
      </c>
      <c r="AC73" s="37">
        <f t="shared" si="28"/>
        <v>0.36813400000000002</v>
      </c>
      <c r="AD73" s="55">
        <f t="shared" si="20"/>
        <v>0.36813400000000002</v>
      </c>
      <c r="AE73" s="38">
        <f t="shared" si="32"/>
        <v>0</v>
      </c>
      <c r="AF73" s="58">
        <f t="shared" si="21"/>
        <v>0.36813400000000002</v>
      </c>
      <c r="AG73">
        <v>0</v>
      </c>
      <c r="AH73" s="61">
        <v>0</v>
      </c>
      <c r="AI73" s="11">
        <f t="shared" si="22"/>
        <v>0</v>
      </c>
      <c r="AJ73">
        <v>0</v>
      </c>
      <c r="AK73" s="67"/>
      <c r="AL73" s="11">
        <f t="shared" si="23"/>
        <v>0</v>
      </c>
      <c r="AM73" s="11">
        <f t="shared" si="33"/>
        <v>5406402</v>
      </c>
      <c r="AN73" s="11">
        <f t="shared" si="24"/>
        <v>5406402</v>
      </c>
      <c r="AO73" s="61">
        <v>5669122</v>
      </c>
      <c r="AP73" s="11">
        <f t="shared" si="25"/>
        <v>0</v>
      </c>
      <c r="AQ73" s="56" t="str">
        <f t="shared" si="26"/>
        <v>No</v>
      </c>
      <c r="AR73" s="35">
        <f>IF(AQ73="Yes",+AP73*$I$9,0)</f>
        <v>0</v>
      </c>
      <c r="AS73" s="35">
        <f t="shared" si="27"/>
        <v>5669122</v>
      </c>
      <c r="AT73"/>
      <c r="AU73" s="35"/>
      <c r="AV73" s="53"/>
      <c r="AW73" s="35"/>
      <c r="AX73" s="21"/>
      <c r="AZ73" s="21"/>
      <c r="BA73" s="21"/>
      <c r="BE73" s="21"/>
      <c r="BF73" s="21"/>
      <c r="BG73" s="21"/>
      <c r="BH73" s="21"/>
      <c r="BI73" s="21"/>
    </row>
    <row r="74" spans="1:61" ht="14.35" x14ac:dyDescent="0.5">
      <c r="A74" s="8"/>
      <c r="B74" s="25"/>
      <c r="C74" s="25"/>
      <c r="D74">
        <v>102</v>
      </c>
      <c r="E74" s="8">
        <v>48</v>
      </c>
      <c r="F74" s="3" t="s">
        <v>135</v>
      </c>
      <c r="G74" s="54"/>
      <c r="H74">
        <v>2607.06</v>
      </c>
      <c r="I74" s="62"/>
      <c r="J74">
        <v>365</v>
      </c>
      <c r="K74" s="60">
        <f t="shared" si="12"/>
        <v>109.5</v>
      </c>
      <c r="L74" s="60">
        <f t="shared" si="13"/>
        <v>1564.24</v>
      </c>
      <c r="M74" s="60">
        <f t="shared" si="14"/>
        <v>0</v>
      </c>
      <c r="N74" s="60">
        <f t="shared" si="15"/>
        <v>0</v>
      </c>
      <c r="O74" s="51">
        <f t="shared" si="16"/>
        <v>0.14000000000000001</v>
      </c>
      <c r="P74" s="51">
        <f t="shared" si="29"/>
        <v>0</v>
      </c>
      <c r="Q74" s="34">
        <f t="shared" si="30"/>
        <v>0</v>
      </c>
      <c r="R74" s="34">
        <f t="shared" si="17"/>
        <v>0</v>
      </c>
      <c r="S74">
        <v>37</v>
      </c>
      <c r="T74" s="60">
        <f t="shared" si="18"/>
        <v>9.25</v>
      </c>
      <c r="U74" s="36">
        <f t="shared" si="31"/>
        <v>109.5</v>
      </c>
      <c r="V74" s="9">
        <f t="shared" si="19"/>
        <v>2725.81</v>
      </c>
      <c r="W74" s="60">
        <v>2070264974.6700001</v>
      </c>
      <c r="X74" s="61">
        <v>16467</v>
      </c>
      <c r="Y74" s="17">
        <f t="shared" si="7"/>
        <v>125722.05</v>
      </c>
      <c r="Z74" s="37">
        <f t="shared" si="8"/>
        <v>0.63420100000000001</v>
      </c>
      <c r="AA74" s="61">
        <v>91510</v>
      </c>
      <c r="AB74" s="37">
        <f t="shared" si="9"/>
        <v>0.74576900000000002</v>
      </c>
      <c r="AC74" s="37">
        <f t="shared" si="28"/>
        <v>0.33232899999999999</v>
      </c>
      <c r="AD74" s="55">
        <f t="shared" si="20"/>
        <v>0.33232899999999999</v>
      </c>
      <c r="AE74" s="38">
        <f t="shared" si="32"/>
        <v>0</v>
      </c>
      <c r="AF74" s="58">
        <f t="shared" si="21"/>
        <v>0.33232899999999999</v>
      </c>
      <c r="AG74">
        <v>0</v>
      </c>
      <c r="AH74" s="61">
        <v>0</v>
      </c>
      <c r="AI74" s="11">
        <f t="shared" si="22"/>
        <v>0</v>
      </c>
      <c r="AJ74">
        <v>0</v>
      </c>
      <c r="AK74" s="67"/>
      <c r="AL74" s="11">
        <f t="shared" si="23"/>
        <v>0</v>
      </c>
      <c r="AM74" s="11">
        <f t="shared" si="33"/>
        <v>10440102</v>
      </c>
      <c r="AN74" s="11">
        <f t="shared" si="24"/>
        <v>10440102</v>
      </c>
      <c r="AO74" s="61">
        <v>10030891</v>
      </c>
      <c r="AP74" s="11">
        <f t="shared" si="25"/>
        <v>409211</v>
      </c>
      <c r="AQ74" s="56" t="str">
        <f t="shared" si="26"/>
        <v>Yes</v>
      </c>
      <c r="AR74" s="35">
        <f>IF(AQ74="Yes",+AP74*$I$9,0)</f>
        <v>68215.473699999988</v>
      </c>
      <c r="AS74" s="35">
        <f t="shared" si="27"/>
        <v>10099106.4737</v>
      </c>
      <c r="AT74"/>
      <c r="AU74" s="35"/>
      <c r="AV74" s="53"/>
      <c r="AW74" s="35"/>
      <c r="AX74" s="21"/>
      <c r="AZ74" s="21"/>
      <c r="BA74" s="21"/>
      <c r="BE74" s="21"/>
      <c r="BF74" s="21"/>
      <c r="BG74" s="21"/>
      <c r="BH74" s="21"/>
      <c r="BI74" s="21"/>
    </row>
    <row r="75" spans="1:61" ht="14.35" x14ac:dyDescent="0.5">
      <c r="A75" s="8"/>
      <c r="B75" s="25">
        <v>1</v>
      </c>
      <c r="C75" s="25">
        <f>+A75+B75</f>
        <v>1</v>
      </c>
      <c r="D75">
        <v>32</v>
      </c>
      <c r="E75" s="8">
        <v>49</v>
      </c>
      <c r="F75" s="3" t="s">
        <v>136</v>
      </c>
      <c r="G75" s="54"/>
      <c r="H75">
        <v>5055.4399999999996</v>
      </c>
      <c r="I75" s="63"/>
      <c r="J75">
        <v>2232</v>
      </c>
      <c r="K75" s="60">
        <f t="shared" si="12"/>
        <v>669.6</v>
      </c>
      <c r="L75" s="60">
        <f t="shared" si="13"/>
        <v>3033.26</v>
      </c>
      <c r="M75" s="60">
        <f t="shared" si="14"/>
        <v>0</v>
      </c>
      <c r="N75" s="60">
        <f t="shared" si="15"/>
        <v>0</v>
      </c>
      <c r="O75" s="51">
        <f t="shared" si="16"/>
        <v>0.44</v>
      </c>
      <c r="P75" s="51">
        <f t="shared" si="29"/>
        <v>0</v>
      </c>
      <c r="Q75" s="34">
        <f t="shared" si="30"/>
        <v>0</v>
      </c>
      <c r="R75" s="34">
        <f t="shared" si="17"/>
        <v>0</v>
      </c>
      <c r="S75">
        <v>167</v>
      </c>
      <c r="T75" s="60">
        <f t="shared" si="18"/>
        <v>41.75</v>
      </c>
      <c r="U75" s="36">
        <f t="shared" si="31"/>
        <v>669.6</v>
      </c>
      <c r="V75" s="9">
        <f t="shared" si="19"/>
        <v>5766.79</v>
      </c>
      <c r="W75" s="60">
        <v>4499931934.6700001</v>
      </c>
      <c r="X75" s="61">
        <v>43659</v>
      </c>
      <c r="Y75" s="17">
        <f t="shared" si="7"/>
        <v>103069.97</v>
      </c>
      <c r="Z75" s="37">
        <f t="shared" si="8"/>
        <v>0.51993299999999998</v>
      </c>
      <c r="AA75" s="61">
        <v>79730</v>
      </c>
      <c r="AB75" s="37">
        <f t="shared" si="9"/>
        <v>0.64976699999999998</v>
      </c>
      <c r="AC75" s="37">
        <f t="shared" si="28"/>
        <v>0.44111699999999998</v>
      </c>
      <c r="AD75" s="55">
        <f t="shared" si="20"/>
        <v>0.44111699999999998</v>
      </c>
      <c r="AE75" s="38">
        <f t="shared" si="32"/>
        <v>0</v>
      </c>
      <c r="AF75" s="58">
        <f t="shared" si="21"/>
        <v>0.44111699999999998</v>
      </c>
      <c r="AG75">
        <v>0</v>
      </c>
      <c r="AH75" s="61">
        <v>0</v>
      </c>
      <c r="AI75" s="11">
        <f t="shared" si="22"/>
        <v>0</v>
      </c>
      <c r="AJ75">
        <v>0</v>
      </c>
      <c r="AK75" s="67"/>
      <c r="AL75" s="11">
        <f t="shared" si="23"/>
        <v>0</v>
      </c>
      <c r="AM75" s="11">
        <f t="shared" si="33"/>
        <v>29317630</v>
      </c>
      <c r="AN75" s="11">
        <f t="shared" si="24"/>
        <v>29317630</v>
      </c>
      <c r="AO75" s="61">
        <v>29823645</v>
      </c>
      <c r="AP75" s="11">
        <f t="shared" si="25"/>
        <v>0</v>
      </c>
      <c r="AQ75" s="56" t="str">
        <f t="shared" si="26"/>
        <v>No</v>
      </c>
      <c r="AR75" s="35">
        <f>IF(AQ75="Yes",+AP75*$I$9,0)</f>
        <v>0</v>
      </c>
      <c r="AS75" s="35">
        <f t="shared" si="27"/>
        <v>29823645</v>
      </c>
      <c r="AT75"/>
      <c r="AU75" s="35"/>
      <c r="AV75" s="53"/>
      <c r="AW75" s="35"/>
      <c r="AX75" s="21"/>
      <c r="AZ75" s="21"/>
      <c r="BA75" s="21"/>
      <c r="BE75" s="21"/>
      <c r="BF75" s="21"/>
      <c r="BG75" s="21"/>
      <c r="BH75" s="21"/>
      <c r="BI75" s="21"/>
    </row>
    <row r="76" spans="1:61" ht="14.35" x14ac:dyDescent="0.5">
      <c r="A76" s="8"/>
      <c r="B76" s="25"/>
      <c r="C76" s="25"/>
      <c r="D76">
        <v>151</v>
      </c>
      <c r="E76" s="8">
        <v>50</v>
      </c>
      <c r="F76" s="3" t="s">
        <v>137</v>
      </c>
      <c r="G76" s="54"/>
      <c r="H76">
        <v>627.79999999999995</v>
      </c>
      <c r="I76" s="62"/>
      <c r="J76">
        <v>130</v>
      </c>
      <c r="K76" s="60">
        <f t="shared" si="12"/>
        <v>39</v>
      </c>
      <c r="L76" s="60">
        <f t="shared" si="13"/>
        <v>376.68</v>
      </c>
      <c r="M76" s="60">
        <f t="shared" si="14"/>
        <v>0</v>
      </c>
      <c r="N76" s="60">
        <f t="shared" si="15"/>
        <v>0</v>
      </c>
      <c r="O76" s="51">
        <f t="shared" si="16"/>
        <v>0.21</v>
      </c>
      <c r="P76" s="51">
        <f t="shared" si="29"/>
        <v>0</v>
      </c>
      <c r="Q76" s="34">
        <f t="shared" si="30"/>
        <v>0</v>
      </c>
      <c r="R76" s="34">
        <f t="shared" si="17"/>
        <v>0</v>
      </c>
      <c r="S76">
        <v>17</v>
      </c>
      <c r="T76" s="60">
        <f t="shared" si="18"/>
        <v>4.25</v>
      </c>
      <c r="U76" s="36">
        <f t="shared" si="31"/>
        <v>39</v>
      </c>
      <c r="V76" s="9">
        <f t="shared" si="19"/>
        <v>671.05</v>
      </c>
      <c r="W76" s="60">
        <v>1584819472.6700001</v>
      </c>
      <c r="X76" s="61">
        <v>6668</v>
      </c>
      <c r="Y76" s="17">
        <f t="shared" si="7"/>
        <v>237675.39</v>
      </c>
      <c r="Z76" s="37">
        <f t="shared" si="8"/>
        <v>1.1989460000000001</v>
      </c>
      <c r="AA76" s="61">
        <v>89261</v>
      </c>
      <c r="AB76" s="37">
        <f t="shared" si="9"/>
        <v>0.727441</v>
      </c>
      <c r="AC76" s="37">
        <f t="shared" si="28"/>
        <v>-5.7494999999999997E-2</v>
      </c>
      <c r="AD76" s="55">
        <f t="shared" si="20"/>
        <v>0.01</v>
      </c>
      <c r="AE76" s="38">
        <f t="shared" si="32"/>
        <v>0</v>
      </c>
      <c r="AF76" s="58">
        <f t="shared" si="21"/>
        <v>0.01</v>
      </c>
      <c r="AG76">
        <v>347</v>
      </c>
      <c r="AH76" s="61">
        <v>6</v>
      </c>
      <c r="AI76" s="11">
        <f t="shared" si="22"/>
        <v>208200</v>
      </c>
      <c r="AJ76">
        <v>0</v>
      </c>
      <c r="AK76" s="67"/>
      <c r="AL76" s="11">
        <f t="shared" si="23"/>
        <v>0</v>
      </c>
      <c r="AM76" s="11">
        <f t="shared" si="33"/>
        <v>77339</v>
      </c>
      <c r="AN76" s="11">
        <f t="shared" si="24"/>
        <v>285539</v>
      </c>
      <c r="AO76" s="61">
        <v>123708</v>
      </c>
      <c r="AP76" s="11">
        <f t="shared" si="25"/>
        <v>161831</v>
      </c>
      <c r="AQ76" s="56" t="str">
        <f t="shared" si="26"/>
        <v>Yes</v>
      </c>
      <c r="AR76" s="35">
        <f>IF(AQ76="Yes",+AP76*$I$9,0)</f>
        <v>26977.227699999999</v>
      </c>
      <c r="AS76" s="35">
        <f t="shared" si="27"/>
        <v>150685.22769999999</v>
      </c>
      <c r="AT76"/>
      <c r="AU76" s="35"/>
      <c r="AV76" s="53"/>
      <c r="AW76" s="35"/>
      <c r="AX76" s="21"/>
      <c r="AZ76" s="21"/>
      <c r="BA76" s="21"/>
      <c r="BE76" s="21"/>
      <c r="BF76" s="21"/>
      <c r="BG76" s="21"/>
      <c r="BH76" s="21"/>
      <c r="BI76" s="21"/>
    </row>
    <row r="77" spans="1:61" ht="14.35" x14ac:dyDescent="0.5">
      <c r="A77" s="8"/>
      <c r="B77" s="25"/>
      <c r="C77" s="25"/>
      <c r="D77">
        <v>149</v>
      </c>
      <c r="E77" s="8">
        <v>51</v>
      </c>
      <c r="F77" s="3" t="s">
        <v>138</v>
      </c>
      <c r="G77" s="54"/>
      <c r="H77">
        <v>9359.23</v>
      </c>
      <c r="I77" s="62"/>
      <c r="J77">
        <v>1404</v>
      </c>
      <c r="K77" s="60">
        <f t="shared" si="12"/>
        <v>421.2</v>
      </c>
      <c r="L77" s="60">
        <f t="shared" si="13"/>
        <v>5615.54</v>
      </c>
      <c r="M77" s="60">
        <f t="shared" si="14"/>
        <v>0</v>
      </c>
      <c r="N77" s="60">
        <f t="shared" si="15"/>
        <v>0</v>
      </c>
      <c r="O77" s="51">
        <f t="shared" si="16"/>
        <v>0.15</v>
      </c>
      <c r="P77" s="51">
        <f t="shared" si="29"/>
        <v>0</v>
      </c>
      <c r="Q77" s="34">
        <f t="shared" si="30"/>
        <v>0</v>
      </c>
      <c r="R77" s="34">
        <f t="shared" si="17"/>
        <v>0</v>
      </c>
      <c r="S77">
        <v>219</v>
      </c>
      <c r="T77" s="60">
        <f t="shared" si="18"/>
        <v>54.75</v>
      </c>
      <c r="U77" s="36">
        <f t="shared" si="31"/>
        <v>421.2</v>
      </c>
      <c r="V77" s="9">
        <f t="shared" si="19"/>
        <v>9835.18</v>
      </c>
      <c r="W77" s="60">
        <v>16561371372</v>
      </c>
      <c r="X77" s="61">
        <v>62045</v>
      </c>
      <c r="Y77" s="17">
        <f t="shared" si="7"/>
        <v>266925.15999999997</v>
      </c>
      <c r="Z77" s="37">
        <f t="shared" si="8"/>
        <v>1.3464959999999999</v>
      </c>
      <c r="AA77" s="61">
        <v>139122</v>
      </c>
      <c r="AB77" s="37">
        <f t="shared" si="9"/>
        <v>1.1337870000000001</v>
      </c>
      <c r="AC77" s="37">
        <f t="shared" si="28"/>
        <v>-0.28268300000000002</v>
      </c>
      <c r="AD77" s="55">
        <f t="shared" si="20"/>
        <v>0.01</v>
      </c>
      <c r="AE77" s="38">
        <f t="shared" si="32"/>
        <v>0</v>
      </c>
      <c r="AF77" s="58">
        <f t="shared" si="21"/>
        <v>0.01</v>
      </c>
      <c r="AG77">
        <v>0</v>
      </c>
      <c r="AH77" s="61">
        <v>0</v>
      </c>
      <c r="AI77" s="11">
        <f t="shared" si="22"/>
        <v>0</v>
      </c>
      <c r="AJ77">
        <v>0</v>
      </c>
      <c r="AK77" s="67"/>
      <c r="AL77" s="11">
        <f t="shared" si="23"/>
        <v>0</v>
      </c>
      <c r="AM77" s="11">
        <f t="shared" si="33"/>
        <v>1133504</v>
      </c>
      <c r="AN77" s="11">
        <f t="shared" si="24"/>
        <v>1133504</v>
      </c>
      <c r="AO77" s="61">
        <v>1117730</v>
      </c>
      <c r="AP77" s="11">
        <f t="shared" si="25"/>
        <v>15774</v>
      </c>
      <c r="AQ77" s="56" t="str">
        <f t="shared" si="26"/>
        <v>Yes</v>
      </c>
      <c r="AR77" s="35">
        <f>IF(AQ77="Yes",+AP77*$I$9,0)</f>
        <v>2629.5257999999999</v>
      </c>
      <c r="AS77" s="35">
        <f t="shared" si="27"/>
        <v>1120359.5257999999</v>
      </c>
      <c r="AT77"/>
      <c r="AU77" s="35"/>
      <c r="AV77" s="53"/>
      <c r="AW77" s="35"/>
      <c r="AX77" s="21"/>
      <c r="AZ77" s="21"/>
      <c r="BA77" s="21"/>
      <c r="BE77" s="21"/>
      <c r="BF77" s="21"/>
      <c r="BG77" s="21"/>
      <c r="BH77" s="21"/>
      <c r="BI77" s="21"/>
    </row>
    <row r="78" spans="1:61" ht="14.35" x14ac:dyDescent="0.5">
      <c r="A78" s="8"/>
      <c r="B78" s="25"/>
      <c r="C78" s="25"/>
      <c r="D78">
        <v>141</v>
      </c>
      <c r="E78" s="8">
        <v>52</v>
      </c>
      <c r="F78" s="3" t="s">
        <v>139</v>
      </c>
      <c r="G78" s="54"/>
      <c r="H78">
        <v>4091.55</v>
      </c>
      <c r="I78" s="62"/>
      <c r="J78">
        <v>644</v>
      </c>
      <c r="K78" s="60">
        <f t="shared" si="12"/>
        <v>193.2</v>
      </c>
      <c r="L78" s="60">
        <f t="shared" si="13"/>
        <v>2454.9299999999998</v>
      </c>
      <c r="M78" s="60">
        <f t="shared" si="14"/>
        <v>0</v>
      </c>
      <c r="N78" s="60">
        <f t="shared" si="15"/>
        <v>0</v>
      </c>
      <c r="O78" s="51">
        <f t="shared" si="16"/>
        <v>0.16</v>
      </c>
      <c r="P78" s="51">
        <f t="shared" si="29"/>
        <v>0</v>
      </c>
      <c r="Q78" s="34">
        <f t="shared" si="30"/>
        <v>0</v>
      </c>
      <c r="R78" s="34">
        <f t="shared" si="17"/>
        <v>0</v>
      </c>
      <c r="S78">
        <v>175</v>
      </c>
      <c r="T78" s="60">
        <f t="shared" si="18"/>
        <v>43.75</v>
      </c>
      <c r="U78" s="36">
        <f t="shared" si="31"/>
        <v>193.2</v>
      </c>
      <c r="V78" s="9">
        <f t="shared" si="19"/>
        <v>4328.5</v>
      </c>
      <c r="W78" s="60">
        <v>5400165426.3299999</v>
      </c>
      <c r="X78" s="61">
        <v>25497</v>
      </c>
      <c r="Y78" s="17">
        <f t="shared" si="7"/>
        <v>211796.11</v>
      </c>
      <c r="Z78" s="37">
        <f t="shared" si="8"/>
        <v>1.0683990000000001</v>
      </c>
      <c r="AA78" s="61">
        <v>93053</v>
      </c>
      <c r="AB78" s="37">
        <f t="shared" si="9"/>
        <v>0.75834400000000002</v>
      </c>
      <c r="AC78" s="37">
        <f t="shared" si="28"/>
        <v>2.4618000000000001E-2</v>
      </c>
      <c r="AD78" s="55">
        <f t="shared" si="20"/>
        <v>2.4618000000000001E-2</v>
      </c>
      <c r="AE78" s="38">
        <f t="shared" si="32"/>
        <v>0</v>
      </c>
      <c r="AF78" s="58">
        <f t="shared" si="21"/>
        <v>2.4618000000000001E-2</v>
      </c>
      <c r="AG78">
        <v>0</v>
      </c>
      <c r="AH78" s="61">
        <v>0</v>
      </c>
      <c r="AI78" s="11">
        <f t="shared" si="22"/>
        <v>0</v>
      </c>
      <c r="AJ78">
        <v>0</v>
      </c>
      <c r="AK78" s="67"/>
      <c r="AL78" s="11">
        <f t="shared" si="23"/>
        <v>0</v>
      </c>
      <c r="AM78" s="11">
        <f t="shared" si="33"/>
        <v>1228093</v>
      </c>
      <c r="AN78" s="11">
        <f t="shared" si="24"/>
        <v>1228093</v>
      </c>
      <c r="AO78" s="61">
        <v>843467</v>
      </c>
      <c r="AP78" s="11">
        <f t="shared" si="25"/>
        <v>384626</v>
      </c>
      <c r="AQ78" s="56" t="str">
        <f t="shared" si="26"/>
        <v>Yes</v>
      </c>
      <c r="AR78" s="35">
        <f>IF(AQ78="Yes",+AP78*$I$9,0)</f>
        <v>64117.154199999997</v>
      </c>
      <c r="AS78" s="35">
        <f t="shared" si="27"/>
        <v>907584.15419999999</v>
      </c>
      <c r="AT78"/>
      <c r="AU78" s="35"/>
      <c r="AV78" s="53"/>
      <c r="AW78" s="35"/>
      <c r="AX78" s="21"/>
      <c r="AZ78" s="21"/>
      <c r="BA78" s="21"/>
      <c r="BE78" s="21"/>
      <c r="BF78" s="21"/>
      <c r="BG78" s="21"/>
      <c r="BH78" s="21"/>
      <c r="BI78" s="21"/>
    </row>
    <row r="79" spans="1:61" ht="14.35" x14ac:dyDescent="0.5">
      <c r="A79" s="8"/>
      <c r="B79" s="25"/>
      <c r="C79" s="25"/>
      <c r="D79">
        <v>96</v>
      </c>
      <c r="E79" s="8">
        <v>53</v>
      </c>
      <c r="F79" s="3" t="s">
        <v>140</v>
      </c>
      <c r="G79" s="54"/>
      <c r="H79">
        <v>233.5</v>
      </c>
      <c r="I79" s="62"/>
      <c r="J79">
        <v>41</v>
      </c>
      <c r="K79" s="60">
        <f t="shared" si="12"/>
        <v>12.3</v>
      </c>
      <c r="L79" s="60">
        <f t="shared" si="13"/>
        <v>140.1</v>
      </c>
      <c r="M79" s="60">
        <f t="shared" si="14"/>
        <v>0</v>
      </c>
      <c r="N79" s="60">
        <f t="shared" si="15"/>
        <v>0</v>
      </c>
      <c r="O79" s="51">
        <f t="shared" si="16"/>
        <v>0.18</v>
      </c>
      <c r="P79" s="51">
        <f t="shared" si="29"/>
        <v>0</v>
      </c>
      <c r="Q79" s="34">
        <f t="shared" si="30"/>
        <v>0</v>
      </c>
      <c r="R79" s="34">
        <f t="shared" si="17"/>
        <v>0</v>
      </c>
      <c r="S79">
        <v>0</v>
      </c>
      <c r="T79" s="60">
        <f t="shared" si="18"/>
        <v>0</v>
      </c>
      <c r="U79" s="36">
        <f t="shared" si="31"/>
        <v>12.3</v>
      </c>
      <c r="V79" s="9">
        <f t="shared" si="19"/>
        <v>245.8</v>
      </c>
      <c r="W79" s="60">
        <v>343156078</v>
      </c>
      <c r="X79" s="61">
        <v>1920</v>
      </c>
      <c r="Y79" s="17">
        <f t="shared" si="7"/>
        <v>178727.12</v>
      </c>
      <c r="Z79" s="37">
        <f t="shared" si="8"/>
        <v>0.90158300000000002</v>
      </c>
      <c r="AA79" s="61">
        <v>96719</v>
      </c>
      <c r="AB79" s="37">
        <f t="shared" si="9"/>
        <v>0.78822000000000003</v>
      </c>
      <c r="AC79" s="37">
        <f t="shared" si="28"/>
        <v>0.13242599999999999</v>
      </c>
      <c r="AD79" s="55">
        <f t="shared" si="20"/>
        <v>0.13242599999999999</v>
      </c>
      <c r="AE79" s="38">
        <f t="shared" si="32"/>
        <v>0</v>
      </c>
      <c r="AF79" s="58">
        <f t="shared" si="21"/>
        <v>0.13242599999999999</v>
      </c>
      <c r="AG79">
        <v>0</v>
      </c>
      <c r="AH79" s="65">
        <v>0</v>
      </c>
      <c r="AI79" s="11">
        <f t="shared" si="22"/>
        <v>0</v>
      </c>
      <c r="AJ79">
        <v>50</v>
      </c>
      <c r="AK79" s="67">
        <v>4</v>
      </c>
      <c r="AL79" s="11">
        <f t="shared" si="23"/>
        <v>20000</v>
      </c>
      <c r="AM79" s="11">
        <f t="shared" si="33"/>
        <v>375142</v>
      </c>
      <c r="AN79" s="11">
        <f t="shared" si="24"/>
        <v>395142</v>
      </c>
      <c r="AO79" s="61">
        <v>736256</v>
      </c>
      <c r="AP79" s="11">
        <f t="shared" si="25"/>
        <v>0</v>
      </c>
      <c r="AQ79" s="56" t="str">
        <f t="shared" si="26"/>
        <v>No</v>
      </c>
      <c r="AR79" s="35">
        <f>IF(AQ79="Yes",+AP79*$I$9,0)</f>
        <v>0</v>
      </c>
      <c r="AS79" s="35">
        <f t="shared" si="27"/>
        <v>736256</v>
      </c>
      <c r="AT79"/>
      <c r="AU79" s="35"/>
      <c r="AV79" s="53"/>
      <c r="AW79" s="35"/>
      <c r="AX79" s="21"/>
      <c r="AZ79" s="21"/>
      <c r="BA79" s="21"/>
      <c r="BE79" s="21"/>
      <c r="BF79" s="21"/>
      <c r="BG79" s="21"/>
      <c r="BH79" s="21"/>
      <c r="BI79" s="21"/>
    </row>
    <row r="80" spans="1:61" ht="14.35" x14ac:dyDescent="0.5">
      <c r="A80" s="8"/>
      <c r="B80" s="25"/>
      <c r="C80" s="25"/>
      <c r="D80">
        <v>126</v>
      </c>
      <c r="E80" s="8">
        <v>54</v>
      </c>
      <c r="F80" s="3" t="s">
        <v>141</v>
      </c>
      <c r="G80" s="54"/>
      <c r="H80">
        <v>5748.61</v>
      </c>
      <c r="I80" s="62"/>
      <c r="J80">
        <v>649</v>
      </c>
      <c r="K80" s="60">
        <f t="shared" si="12"/>
        <v>194.7</v>
      </c>
      <c r="L80" s="60">
        <f t="shared" si="13"/>
        <v>3449.17</v>
      </c>
      <c r="M80" s="60">
        <f t="shared" si="14"/>
        <v>0</v>
      </c>
      <c r="N80" s="60">
        <f t="shared" si="15"/>
        <v>0</v>
      </c>
      <c r="O80" s="51">
        <f t="shared" si="16"/>
        <v>0.11</v>
      </c>
      <c r="P80" s="51">
        <f t="shared" si="29"/>
        <v>0</v>
      </c>
      <c r="Q80" s="34">
        <f t="shared" si="30"/>
        <v>0</v>
      </c>
      <c r="R80" s="34">
        <f t="shared" si="17"/>
        <v>0</v>
      </c>
      <c r="S80">
        <v>154</v>
      </c>
      <c r="T80" s="60">
        <f t="shared" si="18"/>
        <v>38.5</v>
      </c>
      <c r="U80" s="36">
        <f t="shared" si="31"/>
        <v>194.7</v>
      </c>
      <c r="V80" s="9">
        <f t="shared" si="19"/>
        <v>5981.8099999999995</v>
      </c>
      <c r="W80" s="60">
        <v>6213954793</v>
      </c>
      <c r="X80" s="61">
        <v>34482</v>
      </c>
      <c r="Y80" s="17">
        <f t="shared" si="7"/>
        <v>180208.65</v>
      </c>
      <c r="Z80" s="37">
        <f t="shared" si="8"/>
        <v>0.909057</v>
      </c>
      <c r="AA80" s="61">
        <v>120837</v>
      </c>
      <c r="AB80" s="37">
        <f t="shared" si="9"/>
        <v>0.98477199999999998</v>
      </c>
      <c r="AC80" s="37">
        <f t="shared" si="28"/>
        <v>6.8228999999999998E-2</v>
      </c>
      <c r="AD80" s="55">
        <f t="shared" si="20"/>
        <v>6.8228999999999998E-2</v>
      </c>
      <c r="AE80" s="38">
        <f t="shared" si="32"/>
        <v>0</v>
      </c>
      <c r="AF80" s="58">
        <f t="shared" si="21"/>
        <v>6.8228999999999998E-2</v>
      </c>
      <c r="AG80">
        <v>0</v>
      </c>
      <c r="AH80" s="61">
        <v>0</v>
      </c>
      <c r="AI80" s="11">
        <f t="shared" si="22"/>
        <v>0</v>
      </c>
      <c r="AJ80">
        <v>0</v>
      </c>
      <c r="AK80" s="67"/>
      <c r="AL80" s="11">
        <f t="shared" si="23"/>
        <v>0</v>
      </c>
      <c r="AM80" s="11">
        <f t="shared" si="33"/>
        <v>4703732</v>
      </c>
      <c r="AN80" s="11">
        <f t="shared" si="24"/>
        <v>4703732</v>
      </c>
      <c r="AO80" s="61">
        <v>5379255</v>
      </c>
      <c r="AP80" s="11">
        <f t="shared" si="25"/>
        <v>0</v>
      </c>
      <c r="AQ80" s="56" t="str">
        <f t="shared" si="26"/>
        <v>No</v>
      </c>
      <c r="AR80" s="35">
        <f>IF(AQ80="Yes",+AP80*$I$9,0)</f>
        <v>0</v>
      </c>
      <c r="AS80" s="35">
        <f t="shared" si="27"/>
        <v>5379255</v>
      </c>
      <c r="AT80"/>
      <c r="AU80" s="35"/>
      <c r="AV80" s="53"/>
      <c r="AW80" s="35"/>
      <c r="AX80" s="21"/>
      <c r="AZ80" s="21"/>
      <c r="BA80" s="21"/>
      <c r="BE80" s="21"/>
      <c r="BF80" s="21"/>
      <c r="BG80" s="21"/>
      <c r="BH80" s="21"/>
      <c r="BI80" s="21"/>
    </row>
    <row r="81" spans="1:61" ht="14.35" x14ac:dyDescent="0.5">
      <c r="A81" s="8"/>
      <c r="B81" s="25"/>
      <c r="C81" s="25"/>
      <c r="D81">
        <v>150</v>
      </c>
      <c r="E81" s="8">
        <v>55</v>
      </c>
      <c r="F81" s="3" t="s">
        <v>142</v>
      </c>
      <c r="G81" s="54"/>
      <c r="H81">
        <v>330.33</v>
      </c>
      <c r="I81" s="62"/>
      <c r="J81">
        <v>75</v>
      </c>
      <c r="K81" s="60">
        <f t="shared" si="12"/>
        <v>22.5</v>
      </c>
      <c r="L81" s="60">
        <f t="shared" si="13"/>
        <v>198.2</v>
      </c>
      <c r="M81" s="60">
        <f t="shared" si="14"/>
        <v>0</v>
      </c>
      <c r="N81" s="60">
        <f t="shared" si="15"/>
        <v>0</v>
      </c>
      <c r="O81" s="51">
        <f t="shared" si="16"/>
        <v>0.23</v>
      </c>
      <c r="P81" s="51">
        <f t="shared" si="29"/>
        <v>0</v>
      </c>
      <c r="Q81" s="34">
        <f t="shared" si="30"/>
        <v>0</v>
      </c>
      <c r="R81" s="34">
        <f t="shared" si="17"/>
        <v>0</v>
      </c>
      <c r="S81">
        <v>6</v>
      </c>
      <c r="T81" s="60">
        <f t="shared" si="18"/>
        <v>1.5</v>
      </c>
      <c r="U81" s="36">
        <f t="shared" si="31"/>
        <v>22.5</v>
      </c>
      <c r="V81" s="9">
        <f t="shared" si="19"/>
        <v>354.33</v>
      </c>
      <c r="W81" s="60">
        <v>795252791</v>
      </c>
      <c r="X81" s="61">
        <v>2863</v>
      </c>
      <c r="Y81" s="17">
        <f t="shared" si="7"/>
        <v>277769.05</v>
      </c>
      <c r="Z81" s="37">
        <f t="shared" si="8"/>
        <v>1.401197</v>
      </c>
      <c r="AA81" s="61">
        <v>109886</v>
      </c>
      <c r="AB81" s="37">
        <f t="shared" si="9"/>
        <v>0.89552600000000004</v>
      </c>
      <c r="AC81" s="37">
        <f t="shared" si="28"/>
        <v>-0.249496</v>
      </c>
      <c r="AD81" s="55">
        <f t="shared" si="20"/>
        <v>0.01</v>
      </c>
      <c r="AE81" s="38">
        <f t="shared" si="32"/>
        <v>0</v>
      </c>
      <c r="AF81" s="58">
        <f t="shared" si="21"/>
        <v>0.01</v>
      </c>
      <c r="AG81">
        <v>336</v>
      </c>
      <c r="AH81" s="61">
        <v>13</v>
      </c>
      <c r="AI81" s="11">
        <f t="shared" si="22"/>
        <v>436800</v>
      </c>
      <c r="AJ81">
        <v>0</v>
      </c>
      <c r="AK81" s="67"/>
      <c r="AL81" s="11">
        <f t="shared" si="23"/>
        <v>0</v>
      </c>
      <c r="AM81" s="11">
        <f t="shared" si="33"/>
        <v>40837</v>
      </c>
      <c r="AN81" s="11">
        <f t="shared" si="24"/>
        <v>477637</v>
      </c>
      <c r="AO81" s="61">
        <v>123034</v>
      </c>
      <c r="AP81" s="11">
        <f t="shared" si="25"/>
        <v>354603</v>
      </c>
      <c r="AQ81" s="56" t="str">
        <f t="shared" si="26"/>
        <v>Yes</v>
      </c>
      <c r="AR81" s="35">
        <f>IF(AQ81="Yes",+AP81*$I$9,0)</f>
        <v>59112.320099999997</v>
      </c>
      <c r="AS81" s="35">
        <f t="shared" si="27"/>
        <v>182146.32010000001</v>
      </c>
      <c r="AT81"/>
      <c r="AU81" s="35"/>
      <c r="AV81" s="53"/>
      <c r="AW81" s="35"/>
      <c r="AX81" s="21"/>
      <c r="AZ81" s="21"/>
      <c r="BA81" s="21"/>
      <c r="BE81" s="21"/>
      <c r="BF81" s="21"/>
      <c r="BG81" s="21"/>
      <c r="BH81" s="21"/>
      <c r="BI81" s="21"/>
    </row>
    <row r="82" spans="1:61" ht="14.35" x14ac:dyDescent="0.5">
      <c r="A82" s="8"/>
      <c r="B82" s="25"/>
      <c r="C82" s="25"/>
      <c r="D82">
        <v>105</v>
      </c>
      <c r="E82" s="8">
        <v>56</v>
      </c>
      <c r="F82" s="3" t="s">
        <v>143</v>
      </c>
      <c r="G82" s="54"/>
      <c r="H82">
        <v>1724.68</v>
      </c>
      <c r="I82" s="62"/>
      <c r="J82">
        <v>198</v>
      </c>
      <c r="K82" s="60">
        <f t="shared" si="12"/>
        <v>59.4</v>
      </c>
      <c r="L82" s="60">
        <f t="shared" si="13"/>
        <v>1034.81</v>
      </c>
      <c r="M82" s="60">
        <f t="shared" si="14"/>
        <v>0</v>
      </c>
      <c r="N82" s="60">
        <f t="shared" si="15"/>
        <v>0</v>
      </c>
      <c r="O82" s="51">
        <f t="shared" si="16"/>
        <v>0.11</v>
      </c>
      <c r="P82" s="51">
        <f t="shared" si="29"/>
        <v>0</v>
      </c>
      <c r="Q82" s="34">
        <f t="shared" si="30"/>
        <v>0</v>
      </c>
      <c r="R82" s="34">
        <f t="shared" si="17"/>
        <v>0</v>
      </c>
      <c r="S82">
        <v>8</v>
      </c>
      <c r="T82" s="60">
        <f t="shared" si="18"/>
        <v>2</v>
      </c>
      <c r="U82" s="36">
        <f t="shared" si="31"/>
        <v>59.4</v>
      </c>
      <c r="V82" s="9">
        <f t="shared" si="19"/>
        <v>1786.0800000000002</v>
      </c>
      <c r="W82" s="60">
        <v>1508291559.6700001</v>
      </c>
      <c r="X82" s="61">
        <v>11507</v>
      </c>
      <c r="Y82" s="17">
        <f t="shared" si="7"/>
        <v>131076</v>
      </c>
      <c r="Z82" s="37">
        <f t="shared" si="8"/>
        <v>0.66120900000000005</v>
      </c>
      <c r="AA82" s="61">
        <v>121250</v>
      </c>
      <c r="AB82" s="37">
        <f t="shared" si="9"/>
        <v>0.98813799999999996</v>
      </c>
      <c r="AC82" s="37">
        <f t="shared" si="28"/>
        <v>0.24071200000000001</v>
      </c>
      <c r="AD82" s="55">
        <f t="shared" si="20"/>
        <v>0.24071200000000001</v>
      </c>
      <c r="AE82" s="38">
        <f t="shared" si="32"/>
        <v>0</v>
      </c>
      <c r="AF82" s="58">
        <f t="shared" si="21"/>
        <v>0.24071200000000001</v>
      </c>
      <c r="AG82">
        <v>0</v>
      </c>
      <c r="AH82" s="61">
        <v>0</v>
      </c>
      <c r="AI82" s="11">
        <f t="shared" si="22"/>
        <v>0</v>
      </c>
      <c r="AJ82">
        <v>0</v>
      </c>
      <c r="AK82" s="67"/>
      <c r="AL82" s="11">
        <f t="shared" si="23"/>
        <v>0</v>
      </c>
      <c r="AM82" s="11">
        <f t="shared" si="33"/>
        <v>4954953</v>
      </c>
      <c r="AN82" s="11">
        <f t="shared" si="24"/>
        <v>4954953</v>
      </c>
      <c r="AO82" s="61">
        <v>5278314</v>
      </c>
      <c r="AP82" s="11">
        <f t="shared" si="25"/>
        <v>0</v>
      </c>
      <c r="AQ82" s="56" t="str">
        <f t="shared" si="26"/>
        <v>No</v>
      </c>
      <c r="AR82" s="35">
        <f>IF(AQ82="Yes",+AP82*$I$9,0)</f>
        <v>0</v>
      </c>
      <c r="AS82" s="35">
        <f t="shared" si="27"/>
        <v>5278314</v>
      </c>
      <c r="AT82"/>
      <c r="AU82" s="35"/>
      <c r="AV82" s="53"/>
      <c r="AW82" s="35"/>
      <c r="AX82" s="21"/>
      <c r="AZ82" s="21"/>
      <c r="BA82" s="21"/>
      <c r="BE82" s="21"/>
      <c r="BF82" s="21"/>
      <c r="BG82" s="21"/>
      <c r="BH82" s="21"/>
      <c r="BI82" s="21"/>
    </row>
    <row r="83" spans="1:61" ht="14.35" x14ac:dyDescent="0.5">
      <c r="A83" s="8"/>
      <c r="B83" s="25"/>
      <c r="C83" s="25"/>
      <c r="D83">
        <v>169</v>
      </c>
      <c r="E83" s="8">
        <v>57</v>
      </c>
      <c r="F83" s="3" t="s">
        <v>144</v>
      </c>
      <c r="G83" s="54"/>
      <c r="H83">
        <v>8378.15</v>
      </c>
      <c r="I83" s="62"/>
      <c r="J83">
        <v>1500</v>
      </c>
      <c r="K83" s="60">
        <f t="shared" si="12"/>
        <v>450</v>
      </c>
      <c r="L83" s="60">
        <f t="shared" si="13"/>
        <v>5026.8900000000003</v>
      </c>
      <c r="M83" s="60">
        <f t="shared" si="14"/>
        <v>0</v>
      </c>
      <c r="N83" s="60">
        <f t="shared" si="15"/>
        <v>0</v>
      </c>
      <c r="O83" s="51">
        <f t="shared" si="16"/>
        <v>0.18</v>
      </c>
      <c r="P83" s="51">
        <f t="shared" si="29"/>
        <v>0</v>
      </c>
      <c r="Q83" s="34">
        <f t="shared" si="30"/>
        <v>0</v>
      </c>
      <c r="R83" s="34">
        <f t="shared" si="17"/>
        <v>0</v>
      </c>
      <c r="S83">
        <v>376</v>
      </c>
      <c r="T83" s="60">
        <f t="shared" si="18"/>
        <v>94</v>
      </c>
      <c r="U83" s="36">
        <f t="shared" si="31"/>
        <v>450</v>
      </c>
      <c r="V83" s="9">
        <f t="shared" si="19"/>
        <v>8922.15</v>
      </c>
      <c r="W83" s="60">
        <v>49543755220.669998</v>
      </c>
      <c r="X83" s="61">
        <v>62840</v>
      </c>
      <c r="Y83" s="17">
        <f t="shared" si="7"/>
        <v>788411.13</v>
      </c>
      <c r="Z83" s="37">
        <f t="shared" si="8"/>
        <v>3.977115</v>
      </c>
      <c r="AA83" s="61">
        <v>152577</v>
      </c>
      <c r="AB83" s="37">
        <f t="shared" si="9"/>
        <v>1.2434400000000001</v>
      </c>
      <c r="AC83" s="37">
        <f t="shared" si="28"/>
        <v>-2.1570130000000001</v>
      </c>
      <c r="AD83" s="55">
        <f t="shared" si="20"/>
        <v>0.01</v>
      </c>
      <c r="AE83" s="38">
        <f t="shared" si="32"/>
        <v>0</v>
      </c>
      <c r="AF83" s="58">
        <f t="shared" si="21"/>
        <v>0.01</v>
      </c>
      <c r="AG83">
        <v>0</v>
      </c>
      <c r="AH83" s="61">
        <v>0</v>
      </c>
      <c r="AI83" s="11">
        <f t="shared" si="22"/>
        <v>0</v>
      </c>
      <c r="AJ83">
        <v>0</v>
      </c>
      <c r="AK83" s="67"/>
      <c r="AL83" s="11">
        <f t="shared" si="23"/>
        <v>0</v>
      </c>
      <c r="AM83" s="11">
        <f t="shared" si="33"/>
        <v>1028278</v>
      </c>
      <c r="AN83" s="11">
        <f t="shared" si="24"/>
        <v>1028278</v>
      </c>
      <c r="AO83" s="61">
        <v>477624</v>
      </c>
      <c r="AP83" s="11">
        <f t="shared" si="25"/>
        <v>550654</v>
      </c>
      <c r="AQ83" s="56" t="str">
        <f t="shared" si="26"/>
        <v>Yes</v>
      </c>
      <c r="AR83" s="35">
        <f>IF(AQ83="Yes",+AP83*$I$9,0)</f>
        <v>91794.021799999988</v>
      </c>
      <c r="AS83" s="35">
        <f t="shared" si="27"/>
        <v>569418.02179999999</v>
      </c>
      <c r="AT83"/>
      <c r="AU83" s="35"/>
      <c r="AV83" s="53"/>
      <c r="AW83" s="35"/>
      <c r="AX83" s="21"/>
      <c r="AZ83" s="21"/>
      <c r="BA83" s="21"/>
      <c r="BE83" s="21"/>
      <c r="BF83" s="21"/>
      <c r="BG83" s="21"/>
      <c r="BH83" s="21"/>
      <c r="BI83" s="21"/>
    </row>
    <row r="84" spans="1:61" ht="14.35" x14ac:dyDescent="0.5">
      <c r="A84" s="8"/>
      <c r="B84" s="25"/>
      <c r="C84" s="25"/>
      <c r="D84">
        <v>22</v>
      </c>
      <c r="E84" s="8">
        <v>58</v>
      </c>
      <c r="F84" s="3" t="s">
        <v>145</v>
      </c>
      <c r="G84" s="54"/>
      <c r="H84">
        <v>1572.61</v>
      </c>
      <c r="I84" s="63"/>
      <c r="J84">
        <v>760</v>
      </c>
      <c r="K84" s="60">
        <f t="shared" si="12"/>
        <v>228</v>
      </c>
      <c r="L84" s="60">
        <f t="shared" si="13"/>
        <v>943.57</v>
      </c>
      <c r="M84" s="60">
        <f t="shared" si="14"/>
        <v>0</v>
      </c>
      <c r="N84" s="60">
        <f t="shared" si="15"/>
        <v>0</v>
      </c>
      <c r="O84" s="51">
        <f t="shared" si="16"/>
        <v>0.48</v>
      </c>
      <c r="P84" s="51">
        <f t="shared" si="29"/>
        <v>0</v>
      </c>
      <c r="Q84" s="34">
        <f t="shared" si="30"/>
        <v>0</v>
      </c>
      <c r="R84" s="34">
        <f t="shared" si="17"/>
        <v>0</v>
      </c>
      <c r="S84">
        <v>18</v>
      </c>
      <c r="T84" s="60">
        <f t="shared" si="18"/>
        <v>4.5</v>
      </c>
      <c r="U84" s="36">
        <f t="shared" si="31"/>
        <v>228</v>
      </c>
      <c r="V84" s="9">
        <f t="shared" si="19"/>
        <v>1805.11</v>
      </c>
      <c r="W84" s="60">
        <v>1102364711</v>
      </c>
      <c r="X84" s="61">
        <v>11534</v>
      </c>
      <c r="Y84" s="17">
        <f t="shared" si="7"/>
        <v>95575.23</v>
      </c>
      <c r="Z84" s="37">
        <f t="shared" si="8"/>
        <v>0.482126</v>
      </c>
      <c r="AA84" s="61">
        <v>64365</v>
      </c>
      <c r="AB84" s="37">
        <f t="shared" si="9"/>
        <v>0.52454800000000001</v>
      </c>
      <c r="AC84" s="37">
        <f t="shared" si="28"/>
        <v>0.50514700000000001</v>
      </c>
      <c r="AD84" s="55">
        <f t="shared" si="20"/>
        <v>0.50514700000000001</v>
      </c>
      <c r="AE84" s="38">
        <f t="shared" si="32"/>
        <v>0</v>
      </c>
      <c r="AF84" s="58">
        <f t="shared" si="21"/>
        <v>0.50514700000000001</v>
      </c>
      <c r="AG84">
        <v>0</v>
      </c>
      <c r="AH84" s="61">
        <v>0</v>
      </c>
      <c r="AI84" s="11">
        <f t="shared" si="22"/>
        <v>0</v>
      </c>
      <c r="AJ84">
        <v>3</v>
      </c>
      <c r="AK84" s="67">
        <v>4</v>
      </c>
      <c r="AL84" s="11">
        <f t="shared" si="23"/>
        <v>1200</v>
      </c>
      <c r="AM84" s="11">
        <f t="shared" si="33"/>
        <v>10509024</v>
      </c>
      <c r="AN84" s="11">
        <f t="shared" si="24"/>
        <v>10510224</v>
      </c>
      <c r="AO84" s="61">
        <v>10925151</v>
      </c>
      <c r="AP84" s="11">
        <f t="shared" si="25"/>
        <v>0</v>
      </c>
      <c r="AQ84" s="56" t="str">
        <f t="shared" si="26"/>
        <v>No</v>
      </c>
      <c r="AR84" s="35">
        <f>IF(AQ84="Yes",+AP84*$I$9,0)</f>
        <v>0</v>
      </c>
      <c r="AS84" s="35">
        <f t="shared" si="27"/>
        <v>10925151</v>
      </c>
      <c r="AT84"/>
      <c r="AU84" s="35"/>
      <c r="AV84" s="53"/>
      <c r="AW84" s="35"/>
      <c r="AX84" s="21"/>
      <c r="AZ84" s="21"/>
      <c r="BA84" s="21"/>
      <c r="BE84" s="21"/>
      <c r="BF84" s="21"/>
      <c r="BG84" s="21"/>
      <c r="BH84" s="21"/>
      <c r="BI84" s="21"/>
    </row>
    <row r="85" spans="1:61" ht="14.35" x14ac:dyDescent="0.5">
      <c r="A85" s="8"/>
      <c r="B85" s="25">
        <v>1</v>
      </c>
      <c r="C85" s="25">
        <f>+A85+B85</f>
        <v>1</v>
      </c>
      <c r="D85">
        <v>42</v>
      </c>
      <c r="E85" s="8">
        <v>59</v>
      </c>
      <c r="F85" s="3" t="s">
        <v>146</v>
      </c>
      <c r="G85" s="54"/>
      <c r="H85">
        <v>4430.18</v>
      </c>
      <c r="I85" s="62"/>
      <c r="J85">
        <v>2076</v>
      </c>
      <c r="K85" s="60">
        <f t="shared" si="12"/>
        <v>622.79999999999995</v>
      </c>
      <c r="L85" s="60">
        <f t="shared" si="13"/>
        <v>2658.11</v>
      </c>
      <c r="M85" s="60">
        <f t="shared" si="14"/>
        <v>0</v>
      </c>
      <c r="N85" s="60">
        <f t="shared" si="15"/>
        <v>0</v>
      </c>
      <c r="O85" s="51">
        <f t="shared" si="16"/>
        <v>0.47</v>
      </c>
      <c r="P85" s="51">
        <f t="shared" si="29"/>
        <v>0</v>
      </c>
      <c r="Q85" s="34">
        <f t="shared" si="30"/>
        <v>0</v>
      </c>
      <c r="R85" s="34">
        <f t="shared" si="17"/>
        <v>0</v>
      </c>
      <c r="S85">
        <v>188</v>
      </c>
      <c r="T85" s="60">
        <f t="shared" si="18"/>
        <v>47</v>
      </c>
      <c r="U85" s="36">
        <f t="shared" si="31"/>
        <v>622.79999999999995</v>
      </c>
      <c r="V85" s="9">
        <f t="shared" si="19"/>
        <v>5099.9800000000005</v>
      </c>
      <c r="W85" s="60">
        <v>6014436843.6700001</v>
      </c>
      <c r="X85" s="61">
        <v>38436</v>
      </c>
      <c r="Y85" s="17">
        <f t="shared" si="7"/>
        <v>156479.26</v>
      </c>
      <c r="Z85" s="37">
        <f t="shared" si="8"/>
        <v>0.78935500000000003</v>
      </c>
      <c r="AA85" s="61">
        <v>66657</v>
      </c>
      <c r="AB85" s="37">
        <f t="shared" si="9"/>
        <v>0.54322700000000002</v>
      </c>
      <c r="AC85" s="37">
        <f t="shared" si="28"/>
        <v>0.28448299999999999</v>
      </c>
      <c r="AD85" s="55">
        <f t="shared" si="20"/>
        <v>0.28448299999999999</v>
      </c>
      <c r="AE85" s="38">
        <f t="shared" si="32"/>
        <v>0</v>
      </c>
      <c r="AF85" s="58">
        <f t="shared" si="21"/>
        <v>0.28448299999999999</v>
      </c>
      <c r="AG85">
        <v>0</v>
      </c>
      <c r="AH85" s="61">
        <v>0</v>
      </c>
      <c r="AI85" s="11">
        <f t="shared" si="22"/>
        <v>0</v>
      </c>
      <c r="AJ85">
        <v>0</v>
      </c>
      <c r="AK85" s="67"/>
      <c r="AL85" s="11">
        <f t="shared" si="23"/>
        <v>0</v>
      </c>
      <c r="AM85" s="11">
        <f t="shared" si="33"/>
        <v>16721134</v>
      </c>
      <c r="AN85" s="11">
        <f t="shared" si="24"/>
        <v>16721134</v>
      </c>
      <c r="AO85" s="61">
        <v>25040045</v>
      </c>
      <c r="AP85" s="11">
        <f t="shared" si="25"/>
        <v>0</v>
      </c>
      <c r="AQ85" s="56" t="str">
        <f t="shared" si="26"/>
        <v>No</v>
      </c>
      <c r="AR85" s="35">
        <f>IF(AQ85="Yes",+AP85*$I$9,0)</f>
        <v>0</v>
      </c>
      <c r="AS85" s="35">
        <f t="shared" si="27"/>
        <v>25040045</v>
      </c>
      <c r="AT85"/>
      <c r="AU85" s="35"/>
      <c r="AV85" s="53"/>
      <c r="AW85" s="35"/>
      <c r="AX85" s="21"/>
      <c r="AZ85" s="21"/>
      <c r="BA85" s="21"/>
      <c r="BE85" s="21"/>
      <c r="BF85" s="21"/>
      <c r="BG85" s="21"/>
      <c r="BH85" s="21"/>
      <c r="BI85" s="21"/>
    </row>
    <row r="86" spans="1:61" ht="14.35" x14ac:dyDescent="0.5">
      <c r="A86" s="8"/>
      <c r="B86" s="25"/>
      <c r="C86" s="25"/>
      <c r="D86">
        <v>143</v>
      </c>
      <c r="E86" s="8">
        <v>60</v>
      </c>
      <c r="F86" s="3" t="s">
        <v>147</v>
      </c>
      <c r="G86" s="54"/>
      <c r="H86">
        <v>3148.23</v>
      </c>
      <c r="I86" s="62"/>
      <c r="J86">
        <v>388</v>
      </c>
      <c r="K86" s="60">
        <f t="shared" si="12"/>
        <v>116.4</v>
      </c>
      <c r="L86" s="60">
        <f t="shared" si="13"/>
        <v>1888.94</v>
      </c>
      <c r="M86" s="60">
        <f t="shared" si="14"/>
        <v>0</v>
      </c>
      <c r="N86" s="60">
        <f t="shared" si="15"/>
        <v>0</v>
      </c>
      <c r="O86" s="51">
        <f t="shared" si="16"/>
        <v>0.12</v>
      </c>
      <c r="P86" s="51">
        <f t="shared" si="29"/>
        <v>0</v>
      </c>
      <c r="Q86" s="34">
        <f t="shared" si="30"/>
        <v>0</v>
      </c>
      <c r="R86" s="34">
        <f t="shared" si="17"/>
        <v>0</v>
      </c>
      <c r="S86">
        <v>47</v>
      </c>
      <c r="T86" s="60">
        <f t="shared" si="18"/>
        <v>11.75</v>
      </c>
      <c r="U86" s="36">
        <f t="shared" si="31"/>
        <v>116.4</v>
      </c>
      <c r="V86" s="9">
        <f t="shared" si="19"/>
        <v>3276.38</v>
      </c>
      <c r="W86" s="60">
        <v>4614388789</v>
      </c>
      <c r="X86" s="61">
        <v>22133</v>
      </c>
      <c r="Y86" s="17">
        <f t="shared" si="7"/>
        <v>208484.56</v>
      </c>
      <c r="Z86" s="37">
        <f t="shared" si="8"/>
        <v>1.0516939999999999</v>
      </c>
      <c r="AA86" s="61">
        <v>111870</v>
      </c>
      <c r="AB86" s="37">
        <f t="shared" si="9"/>
        <v>0.91169500000000003</v>
      </c>
      <c r="AC86" s="37">
        <f t="shared" si="28"/>
        <v>-9.6939999999999995E-3</v>
      </c>
      <c r="AD86" s="55">
        <f t="shared" si="20"/>
        <v>0.01</v>
      </c>
      <c r="AE86" s="38">
        <f t="shared" si="32"/>
        <v>0</v>
      </c>
      <c r="AF86" s="58">
        <f t="shared" si="21"/>
        <v>0.01</v>
      </c>
      <c r="AG86">
        <v>0</v>
      </c>
      <c r="AH86" s="61">
        <v>0</v>
      </c>
      <c r="AI86" s="11">
        <f t="shared" si="22"/>
        <v>0</v>
      </c>
      <c r="AJ86">
        <v>0</v>
      </c>
      <c r="AK86" s="67"/>
      <c r="AL86" s="11">
        <f t="shared" si="23"/>
        <v>0</v>
      </c>
      <c r="AM86" s="11">
        <f t="shared" si="33"/>
        <v>377603</v>
      </c>
      <c r="AN86" s="11">
        <f t="shared" si="24"/>
        <v>377603</v>
      </c>
      <c r="AO86" s="61">
        <v>1766084</v>
      </c>
      <c r="AP86" s="11">
        <f t="shared" si="25"/>
        <v>0</v>
      </c>
      <c r="AQ86" s="56" t="str">
        <f t="shared" si="26"/>
        <v>No</v>
      </c>
      <c r="AR86" s="35">
        <f>IF(AQ86="Yes",+AP86*$I$9,0)</f>
        <v>0</v>
      </c>
      <c r="AS86" s="35">
        <f t="shared" si="27"/>
        <v>1766084</v>
      </c>
      <c r="AT86"/>
      <c r="AU86" s="35"/>
      <c r="AV86" s="53"/>
      <c r="AW86" s="35"/>
      <c r="AX86" s="21"/>
      <c r="AZ86" s="21"/>
      <c r="BA86" s="21"/>
      <c r="BE86" s="21"/>
      <c r="BF86" s="21"/>
      <c r="BG86" s="21"/>
      <c r="BH86" s="21"/>
      <c r="BI86" s="21"/>
    </row>
    <row r="87" spans="1:61" ht="14.35" x14ac:dyDescent="0.5">
      <c r="A87" s="8"/>
      <c r="B87" s="25"/>
      <c r="C87" s="25"/>
      <c r="D87">
        <v>119</v>
      </c>
      <c r="E87" s="8">
        <v>61</v>
      </c>
      <c r="F87" s="3" t="s">
        <v>148</v>
      </c>
      <c r="G87" s="54"/>
      <c r="H87">
        <v>1100.3399999999999</v>
      </c>
      <c r="I87" s="62"/>
      <c r="J87">
        <v>171</v>
      </c>
      <c r="K87" s="60">
        <f t="shared" si="12"/>
        <v>51.3</v>
      </c>
      <c r="L87" s="60">
        <f t="shared" si="13"/>
        <v>660.2</v>
      </c>
      <c r="M87" s="60">
        <f t="shared" si="14"/>
        <v>0</v>
      </c>
      <c r="N87" s="60">
        <f t="shared" si="15"/>
        <v>0</v>
      </c>
      <c r="O87" s="51">
        <f t="shared" si="16"/>
        <v>0.16</v>
      </c>
      <c r="P87" s="51">
        <f t="shared" si="29"/>
        <v>0</v>
      </c>
      <c r="Q87" s="34">
        <f t="shared" si="30"/>
        <v>0</v>
      </c>
      <c r="R87" s="34">
        <f t="shared" si="17"/>
        <v>0</v>
      </c>
      <c r="S87">
        <v>9</v>
      </c>
      <c r="T87" s="60">
        <f t="shared" si="18"/>
        <v>2.25</v>
      </c>
      <c r="U87" s="36">
        <f t="shared" si="31"/>
        <v>51.3</v>
      </c>
      <c r="V87" s="9">
        <f t="shared" si="19"/>
        <v>1153.8899999999999</v>
      </c>
      <c r="W87" s="60">
        <v>1367446583.6700001</v>
      </c>
      <c r="X87" s="61">
        <v>8193</v>
      </c>
      <c r="Y87" s="17">
        <f t="shared" si="7"/>
        <v>166904.26</v>
      </c>
      <c r="Z87" s="37">
        <f t="shared" si="8"/>
        <v>0.841943</v>
      </c>
      <c r="AA87" s="61">
        <v>110497</v>
      </c>
      <c r="AB87" s="37">
        <f t="shared" si="9"/>
        <v>0.900505</v>
      </c>
      <c r="AC87" s="37">
        <f t="shared" si="28"/>
        <v>0.140488</v>
      </c>
      <c r="AD87" s="55">
        <f t="shared" si="20"/>
        <v>0.140488</v>
      </c>
      <c r="AE87" s="38">
        <f t="shared" si="32"/>
        <v>0</v>
      </c>
      <c r="AF87" s="58">
        <f t="shared" si="21"/>
        <v>0.140488</v>
      </c>
      <c r="AG87">
        <v>1104</v>
      </c>
      <c r="AH87" s="61">
        <v>13</v>
      </c>
      <c r="AI87" s="11">
        <f t="shared" si="22"/>
        <v>1435200</v>
      </c>
      <c r="AJ87">
        <v>0</v>
      </c>
      <c r="AK87" s="67"/>
      <c r="AL87" s="11">
        <f t="shared" si="23"/>
        <v>0</v>
      </c>
      <c r="AM87" s="11">
        <f t="shared" si="33"/>
        <v>1868291</v>
      </c>
      <c r="AN87" s="11">
        <f t="shared" si="24"/>
        <v>3303491</v>
      </c>
      <c r="AO87" s="61">
        <v>2181180</v>
      </c>
      <c r="AP87" s="11">
        <f t="shared" si="25"/>
        <v>1122311</v>
      </c>
      <c r="AQ87" s="56" t="str">
        <f t="shared" si="26"/>
        <v>Yes</v>
      </c>
      <c r="AR87" s="35">
        <f>IF(AQ87="Yes",+AP87*$I$9,0)</f>
        <v>187089.24369999999</v>
      </c>
      <c r="AS87" s="35">
        <f t="shared" si="27"/>
        <v>2368269.2437</v>
      </c>
      <c r="AT87"/>
      <c r="AU87" s="35"/>
      <c r="AV87" s="53"/>
      <c r="AW87" s="35"/>
      <c r="AX87" s="21"/>
      <c r="AZ87" s="21"/>
      <c r="BA87" s="21"/>
      <c r="BE87" s="21"/>
      <c r="BF87" s="21"/>
      <c r="BG87" s="21"/>
      <c r="BH87" s="21"/>
      <c r="BI87" s="21"/>
    </row>
    <row r="88" spans="1:61" ht="14.35" x14ac:dyDescent="0.5">
      <c r="A88" s="8"/>
      <c r="B88" s="25">
        <v>1</v>
      </c>
      <c r="C88" s="25">
        <f>+A88+B88</f>
        <v>1</v>
      </c>
      <c r="D88">
        <v>19</v>
      </c>
      <c r="E88" s="8">
        <v>62</v>
      </c>
      <c r="F88" s="3" t="s">
        <v>149</v>
      </c>
      <c r="G88" s="54"/>
      <c r="H88">
        <v>6335.04</v>
      </c>
      <c r="I88" s="63"/>
      <c r="J88">
        <v>2579</v>
      </c>
      <c r="K88" s="60">
        <f t="shared" si="12"/>
        <v>773.7</v>
      </c>
      <c r="L88" s="60">
        <f t="shared" si="13"/>
        <v>3801.02</v>
      </c>
      <c r="M88" s="60">
        <f t="shared" si="14"/>
        <v>0</v>
      </c>
      <c r="N88" s="60">
        <f t="shared" si="15"/>
        <v>0</v>
      </c>
      <c r="O88" s="51">
        <f t="shared" si="16"/>
        <v>0.41</v>
      </c>
      <c r="P88" s="51">
        <f t="shared" si="29"/>
        <v>0</v>
      </c>
      <c r="Q88" s="34">
        <f t="shared" si="30"/>
        <v>0</v>
      </c>
      <c r="R88" s="34">
        <f t="shared" si="17"/>
        <v>0</v>
      </c>
      <c r="S88">
        <v>395</v>
      </c>
      <c r="T88" s="60">
        <f t="shared" si="18"/>
        <v>98.75</v>
      </c>
      <c r="U88" s="36">
        <f t="shared" si="31"/>
        <v>773.7</v>
      </c>
      <c r="V88" s="9">
        <f t="shared" si="19"/>
        <v>7207.49</v>
      </c>
      <c r="W88" s="60">
        <v>5878083536.3299999</v>
      </c>
      <c r="X88" s="61">
        <v>60556</v>
      </c>
      <c r="Y88" s="17">
        <f t="shared" si="7"/>
        <v>97068.56</v>
      </c>
      <c r="Z88" s="37">
        <f t="shared" si="8"/>
        <v>0.48965900000000001</v>
      </c>
      <c r="AA88" s="61">
        <v>77274</v>
      </c>
      <c r="AB88" s="37">
        <f t="shared" si="9"/>
        <v>0.62975099999999995</v>
      </c>
      <c r="AC88" s="37">
        <f t="shared" si="28"/>
        <v>0.46831299999999998</v>
      </c>
      <c r="AD88" s="55">
        <f t="shared" si="20"/>
        <v>0.46831299999999998</v>
      </c>
      <c r="AE88" s="38">
        <f t="shared" si="32"/>
        <v>0.03</v>
      </c>
      <c r="AF88" s="58">
        <f t="shared" si="21"/>
        <v>0.49831300000000001</v>
      </c>
      <c r="AG88">
        <v>0</v>
      </c>
      <c r="AH88" s="61">
        <v>0</v>
      </c>
      <c r="AI88" s="11">
        <f t="shared" si="22"/>
        <v>0</v>
      </c>
      <c r="AJ88">
        <v>0</v>
      </c>
      <c r="AK88" s="67"/>
      <c r="AL88" s="11">
        <f t="shared" si="23"/>
        <v>0</v>
      </c>
      <c r="AM88" s="11">
        <f t="shared" si="33"/>
        <v>41393028</v>
      </c>
      <c r="AN88" s="11">
        <f t="shared" si="24"/>
        <v>41393028</v>
      </c>
      <c r="AO88" s="61">
        <v>31174709</v>
      </c>
      <c r="AP88" s="11">
        <f t="shared" si="25"/>
        <v>10218319</v>
      </c>
      <c r="AQ88" s="56" t="str">
        <f t="shared" si="26"/>
        <v>Yes</v>
      </c>
      <c r="AR88" s="35">
        <f>IF(AQ88="Yes",+AP88*$I$9,0)</f>
        <v>1703393.7773</v>
      </c>
      <c r="AS88" s="35">
        <f t="shared" si="27"/>
        <v>32878102.7773</v>
      </c>
      <c r="AT88"/>
      <c r="AU88" s="35"/>
      <c r="AV88" s="53"/>
      <c r="AW88" s="35"/>
      <c r="AX88" s="21"/>
      <c r="AZ88" s="21"/>
      <c r="BA88" s="21"/>
      <c r="BE88" s="21"/>
      <c r="BF88" s="21"/>
      <c r="BG88" s="21"/>
      <c r="BH88" s="21"/>
      <c r="BI88" s="21"/>
    </row>
    <row r="89" spans="1:61" ht="14.35" x14ac:dyDescent="0.5">
      <c r="A89" s="8"/>
      <c r="B89" s="25"/>
      <c r="C89" s="25"/>
      <c r="D89">
        <v>82</v>
      </c>
      <c r="E89" s="8">
        <v>63</v>
      </c>
      <c r="F89" s="3" t="s">
        <v>150</v>
      </c>
      <c r="G89" s="54"/>
      <c r="H89">
        <v>129.99</v>
      </c>
      <c r="I89" s="62"/>
      <c r="J89">
        <v>42</v>
      </c>
      <c r="K89" s="60">
        <f t="shared" si="12"/>
        <v>12.6</v>
      </c>
      <c r="L89" s="60">
        <f t="shared" si="13"/>
        <v>77.989999999999995</v>
      </c>
      <c r="M89" s="60">
        <f t="shared" si="14"/>
        <v>0</v>
      </c>
      <c r="N89" s="60">
        <f t="shared" si="15"/>
        <v>0</v>
      </c>
      <c r="O89" s="51">
        <f t="shared" si="16"/>
        <v>0.32</v>
      </c>
      <c r="P89" s="51">
        <f t="shared" si="29"/>
        <v>0</v>
      </c>
      <c r="Q89" s="34">
        <f t="shared" si="30"/>
        <v>0</v>
      </c>
      <c r="R89" s="34">
        <f t="shared" si="17"/>
        <v>0</v>
      </c>
      <c r="S89">
        <v>0</v>
      </c>
      <c r="T89" s="60">
        <f t="shared" si="18"/>
        <v>0</v>
      </c>
      <c r="U89" s="36">
        <f t="shared" si="31"/>
        <v>12.6</v>
      </c>
      <c r="V89" s="9">
        <f t="shared" si="19"/>
        <v>142.59</v>
      </c>
      <c r="W89" s="60">
        <v>227037155.66999999</v>
      </c>
      <c r="X89" s="61">
        <v>1842</v>
      </c>
      <c r="Y89" s="17">
        <f t="shared" si="7"/>
        <v>123255.78</v>
      </c>
      <c r="Z89" s="37">
        <f t="shared" si="8"/>
        <v>0.62175999999999998</v>
      </c>
      <c r="AA89" s="61">
        <v>81016</v>
      </c>
      <c r="AB89" s="37">
        <f t="shared" si="9"/>
        <v>0.66024700000000003</v>
      </c>
      <c r="AC89" s="37">
        <f t="shared" si="28"/>
        <v>0.36669400000000002</v>
      </c>
      <c r="AD89" s="55">
        <f t="shared" si="20"/>
        <v>0.36669400000000002</v>
      </c>
      <c r="AE89" s="38">
        <f t="shared" si="32"/>
        <v>0</v>
      </c>
      <c r="AF89" s="58">
        <f t="shared" si="21"/>
        <v>0.36669400000000002</v>
      </c>
      <c r="AG89">
        <v>58</v>
      </c>
      <c r="AH89" s="61">
        <v>6</v>
      </c>
      <c r="AI89" s="11">
        <f t="shared" si="22"/>
        <v>34800</v>
      </c>
      <c r="AJ89">
        <v>0</v>
      </c>
      <c r="AK89" s="67"/>
      <c r="AL89" s="11">
        <f t="shared" si="23"/>
        <v>0</v>
      </c>
      <c r="AM89" s="11">
        <f t="shared" si="33"/>
        <v>602606</v>
      </c>
      <c r="AN89" s="11">
        <f t="shared" si="24"/>
        <v>637406</v>
      </c>
      <c r="AO89" s="61">
        <v>1058408</v>
      </c>
      <c r="AP89" s="11">
        <f t="shared" si="25"/>
        <v>0</v>
      </c>
      <c r="AQ89" s="56" t="str">
        <f t="shared" si="26"/>
        <v>No</v>
      </c>
      <c r="AR89" s="35">
        <f>IF(AQ89="Yes",+AP89*$I$9,0)</f>
        <v>0</v>
      </c>
      <c r="AS89" s="35">
        <f t="shared" si="27"/>
        <v>1058408</v>
      </c>
      <c r="AT89"/>
      <c r="AU89" s="35"/>
      <c r="AV89" s="53"/>
      <c r="AW89" s="35"/>
      <c r="AX89" s="21"/>
      <c r="AZ89" s="21"/>
      <c r="BA89" s="21"/>
      <c r="BE89" s="21"/>
      <c r="BF89" s="21"/>
      <c r="BG89" s="21"/>
      <c r="BH89" s="21"/>
      <c r="BI89" s="21"/>
    </row>
    <row r="90" spans="1:61" ht="14.35" x14ac:dyDescent="0.5">
      <c r="A90" s="8">
        <v>1</v>
      </c>
      <c r="B90" s="25">
        <v>1</v>
      </c>
      <c r="C90" s="25">
        <f>+A90+B90</f>
        <v>2</v>
      </c>
      <c r="D90">
        <v>1</v>
      </c>
      <c r="E90" s="8">
        <v>64</v>
      </c>
      <c r="F90" s="3" t="s">
        <v>151</v>
      </c>
      <c r="G90" s="54"/>
      <c r="H90">
        <v>18689.509999999998</v>
      </c>
      <c r="I90" s="63"/>
      <c r="J90">
        <v>16214</v>
      </c>
      <c r="K90" s="60">
        <f t="shared" si="12"/>
        <v>4864.2</v>
      </c>
      <c r="L90" s="60">
        <f t="shared" si="13"/>
        <v>11213.71</v>
      </c>
      <c r="M90" s="60">
        <f t="shared" si="14"/>
        <v>5000.2900000000009</v>
      </c>
      <c r="N90" s="60">
        <f t="shared" si="15"/>
        <v>750.04</v>
      </c>
      <c r="O90" s="51">
        <f t="shared" si="16"/>
        <v>0.87</v>
      </c>
      <c r="P90" s="51">
        <f t="shared" si="29"/>
        <v>0.27</v>
      </c>
      <c r="Q90" s="34">
        <f t="shared" si="30"/>
        <v>5046.17</v>
      </c>
      <c r="R90" s="34">
        <f t="shared" si="17"/>
        <v>756.93</v>
      </c>
      <c r="S90">
        <v>4291</v>
      </c>
      <c r="T90" s="60">
        <f t="shared" si="18"/>
        <v>1072.75</v>
      </c>
      <c r="U90" s="36">
        <f t="shared" si="31"/>
        <v>4864.2</v>
      </c>
      <c r="V90" s="9">
        <f t="shared" si="19"/>
        <v>25376.5</v>
      </c>
      <c r="W90" s="60">
        <v>7510487419</v>
      </c>
      <c r="X90" s="61">
        <v>122105</v>
      </c>
      <c r="Y90" s="17">
        <f t="shared" si="7"/>
        <v>61508.43</v>
      </c>
      <c r="Z90" s="37">
        <f t="shared" si="8"/>
        <v>0.31027700000000003</v>
      </c>
      <c r="AA90" s="61">
        <v>36278</v>
      </c>
      <c r="AB90" s="37">
        <f t="shared" si="9"/>
        <v>0.295651</v>
      </c>
      <c r="AC90" s="37">
        <f t="shared" si="28"/>
        <v>0.69411100000000003</v>
      </c>
      <c r="AD90" s="55">
        <f t="shared" si="20"/>
        <v>0.69411100000000003</v>
      </c>
      <c r="AE90" s="38">
        <f t="shared" si="32"/>
        <v>0.06</v>
      </c>
      <c r="AF90" s="58">
        <f t="shared" si="21"/>
        <v>0.75411099999999998</v>
      </c>
      <c r="AG90">
        <v>0</v>
      </c>
      <c r="AH90" s="61">
        <v>0</v>
      </c>
      <c r="AI90" s="11">
        <f t="shared" si="22"/>
        <v>0</v>
      </c>
      <c r="AJ90">
        <v>0</v>
      </c>
      <c r="AK90" s="67"/>
      <c r="AL90" s="11">
        <f t="shared" si="23"/>
        <v>0</v>
      </c>
      <c r="AM90" s="11">
        <f t="shared" si="33"/>
        <v>220550442</v>
      </c>
      <c r="AN90" s="11">
        <f t="shared" si="24"/>
        <v>220550442</v>
      </c>
      <c r="AO90" s="61">
        <v>212544934</v>
      </c>
      <c r="AP90" s="11">
        <f t="shared" si="25"/>
        <v>8005508</v>
      </c>
      <c r="AQ90" s="56" t="str">
        <f t="shared" si="26"/>
        <v>Yes</v>
      </c>
      <c r="AR90" s="35">
        <f>IF(AQ90="Yes",+AP90*$I$9,0)</f>
        <v>1334518.1835999999</v>
      </c>
      <c r="AS90" s="35">
        <f t="shared" si="27"/>
        <v>213879452.18360001</v>
      </c>
      <c r="AT90"/>
      <c r="AU90" s="35"/>
      <c r="AV90" s="53"/>
      <c r="AW90" s="35"/>
      <c r="AX90" s="21"/>
      <c r="AZ90" s="21"/>
      <c r="BA90" s="21"/>
      <c r="BE90" s="21"/>
      <c r="BF90" s="21"/>
      <c r="BG90" s="21"/>
      <c r="BH90" s="21"/>
      <c r="BI90" s="21"/>
    </row>
    <row r="91" spans="1:61" ht="14.35" x14ac:dyDescent="0.5">
      <c r="A91" s="8"/>
      <c r="B91" s="25"/>
      <c r="C91" s="25"/>
      <c r="D91">
        <v>127</v>
      </c>
      <c r="E91" s="8">
        <v>65</v>
      </c>
      <c r="F91" s="3" t="s">
        <v>152</v>
      </c>
      <c r="G91" s="54"/>
      <c r="H91">
        <v>225.02</v>
      </c>
      <c r="I91" s="62"/>
      <c r="J91">
        <v>45</v>
      </c>
      <c r="K91" s="60">
        <f t="shared" si="12"/>
        <v>13.5</v>
      </c>
      <c r="L91" s="60">
        <f t="shared" si="13"/>
        <v>135.01</v>
      </c>
      <c r="M91" s="60">
        <f t="shared" si="14"/>
        <v>0</v>
      </c>
      <c r="N91" s="60">
        <f t="shared" si="15"/>
        <v>0</v>
      </c>
      <c r="O91" s="51">
        <f t="shared" si="16"/>
        <v>0.2</v>
      </c>
      <c r="P91" s="51">
        <f t="shared" ref="P91:P122" si="34">IF(O91&gt;0.6,+O91-0.6,0)</f>
        <v>0</v>
      </c>
      <c r="Q91" s="34">
        <f t="shared" ref="Q91:Q122" si="35">ROUND(P91*H91,2)</f>
        <v>0</v>
      </c>
      <c r="R91" s="34">
        <f t="shared" si="17"/>
        <v>0</v>
      </c>
      <c r="S91">
        <v>2</v>
      </c>
      <c r="T91" s="60">
        <f t="shared" si="18"/>
        <v>0.5</v>
      </c>
      <c r="U91" s="36">
        <f t="shared" ref="U91:U122" si="36">ROUND(J91*$U$2,2)</f>
        <v>13.5</v>
      </c>
      <c r="V91" s="9">
        <f t="shared" si="19"/>
        <v>239.02</v>
      </c>
      <c r="W91" s="60">
        <v>296249689.32999998</v>
      </c>
      <c r="X91" s="61">
        <v>2120</v>
      </c>
      <c r="Y91" s="17">
        <f t="shared" ref="Y91:Y154" si="37">ROUND(W91/X91,2)</f>
        <v>139740.42000000001</v>
      </c>
      <c r="Z91" s="37">
        <f t="shared" ref="Z91:Z154" si="38">(ROUND(Y91/$Z$21,6))</f>
        <v>0.70491599999999999</v>
      </c>
      <c r="AA91" s="61">
        <v>99722</v>
      </c>
      <c r="AB91" s="37">
        <f t="shared" ref="AB91:AB154" si="39">(ROUND(AA91/$AB$21,6))</f>
        <v>0.812693</v>
      </c>
      <c r="AC91" s="37">
        <f t="shared" si="28"/>
        <v>0.26275100000000001</v>
      </c>
      <c r="AD91" s="55">
        <f t="shared" si="20"/>
        <v>0.26275100000000001</v>
      </c>
      <c r="AE91" s="38">
        <f t="shared" ref="AE91:AE122" si="40">IF(D91&gt;=1,IF(D91&lt;=5,0.06,IF(D91&lt;=10,0.05,IF(D91&lt;=15,0.04,IF(D91&lt;=19,0.03,0)))),0)</f>
        <v>0</v>
      </c>
      <c r="AF91" s="58">
        <f t="shared" si="21"/>
        <v>0.26275100000000001</v>
      </c>
      <c r="AG91">
        <v>0</v>
      </c>
      <c r="AH91" s="61">
        <v>0</v>
      </c>
      <c r="AI91" s="11">
        <f t="shared" si="22"/>
        <v>0</v>
      </c>
      <c r="AJ91">
        <v>1</v>
      </c>
      <c r="AK91" s="67">
        <v>6</v>
      </c>
      <c r="AL91" s="11">
        <f t="shared" si="23"/>
        <v>600</v>
      </c>
      <c r="AM91" s="11">
        <f t="shared" ref="AM91:AM122" si="41">ROUND(V91*AF91*$AM$21,0)</f>
        <v>723802</v>
      </c>
      <c r="AN91" s="11">
        <f t="shared" si="24"/>
        <v>724402</v>
      </c>
      <c r="AO91" s="61">
        <v>1071722</v>
      </c>
      <c r="AP91" s="11">
        <f t="shared" si="25"/>
        <v>0</v>
      </c>
      <c r="AQ91" s="56" t="str">
        <f t="shared" si="26"/>
        <v>No</v>
      </c>
      <c r="AR91" s="35">
        <f>IF(AQ91="Yes",+AP91*$I$9,0)</f>
        <v>0</v>
      </c>
      <c r="AS91" s="35">
        <f t="shared" si="27"/>
        <v>1071722</v>
      </c>
      <c r="AT91"/>
      <c r="AU91" s="35"/>
      <c r="AV91" s="53"/>
      <c r="AW91" s="35"/>
      <c r="AX91" s="21"/>
      <c r="AZ91" s="21"/>
      <c r="BA91" s="21"/>
      <c r="BE91" s="21"/>
      <c r="BF91" s="21"/>
      <c r="BG91" s="21"/>
      <c r="BH91" s="21"/>
      <c r="BI91" s="21"/>
    </row>
    <row r="92" spans="1:61" ht="14.35" x14ac:dyDescent="0.5">
      <c r="A92" s="8"/>
      <c r="B92" s="25"/>
      <c r="C92" s="25"/>
      <c r="D92">
        <v>132</v>
      </c>
      <c r="E92" s="8">
        <v>66</v>
      </c>
      <c r="F92" s="3" t="s">
        <v>153</v>
      </c>
      <c r="G92" s="54"/>
      <c r="H92">
        <v>734.43</v>
      </c>
      <c r="I92" s="62"/>
      <c r="J92">
        <v>142</v>
      </c>
      <c r="K92" s="60">
        <f t="shared" ref="K92:K155" si="42">ROUND(J92*0.3,2)</f>
        <v>42.6</v>
      </c>
      <c r="L92" s="60">
        <f t="shared" ref="L92:L155" si="43">ROUND(H92*0.6,2)</f>
        <v>440.66</v>
      </c>
      <c r="M92" s="60">
        <f t="shared" ref="M92:M155" si="44">MAX(J92-L92,0)</f>
        <v>0</v>
      </c>
      <c r="N92" s="60">
        <f t="shared" ref="N92:N155" si="45">ROUND(M92*0.15,2)</f>
        <v>0</v>
      </c>
      <c r="O92" s="51">
        <f t="shared" ref="O92:O155" si="46">ROUND(J92/H92,2)</f>
        <v>0.19</v>
      </c>
      <c r="P92" s="51">
        <f t="shared" si="34"/>
        <v>0</v>
      </c>
      <c r="Q92" s="34">
        <f t="shared" si="35"/>
        <v>0</v>
      </c>
      <c r="R92" s="34">
        <f t="shared" ref="R92:R155" si="47">ROUND(Q92*0.15,2)</f>
        <v>0</v>
      </c>
      <c r="S92">
        <v>4</v>
      </c>
      <c r="T92" s="60">
        <f t="shared" ref="T92:T155" si="48">ROUND(S92*0.25,2)</f>
        <v>1</v>
      </c>
      <c r="U92" s="36">
        <f t="shared" si="36"/>
        <v>42.6</v>
      </c>
      <c r="V92" s="9">
        <f t="shared" ref="V92:V155" si="49">+H92+K92+N92+T92</f>
        <v>778.03</v>
      </c>
      <c r="W92" s="60">
        <v>843045533</v>
      </c>
      <c r="X92" s="61">
        <v>5420</v>
      </c>
      <c r="Y92" s="17">
        <f t="shared" si="37"/>
        <v>155543.46</v>
      </c>
      <c r="Z92" s="37">
        <f t="shared" si="38"/>
        <v>0.78463400000000005</v>
      </c>
      <c r="AA92" s="61">
        <v>111202</v>
      </c>
      <c r="AB92" s="37">
        <f t="shared" si="39"/>
        <v>0.90625100000000003</v>
      </c>
      <c r="AC92" s="37">
        <f t="shared" si="28"/>
        <v>0.17888100000000001</v>
      </c>
      <c r="AD92" s="55">
        <f t="shared" ref="AD92:AD155" si="50">IF(C92&gt;=1,MAX($I$7,AC92),MAX($I$6,AC92))</f>
        <v>0.17888100000000001</v>
      </c>
      <c r="AE92" s="38">
        <f t="shared" si="40"/>
        <v>0</v>
      </c>
      <c r="AF92" s="58">
        <f t="shared" ref="AF92:AF155" si="51">+AE92+AD92</f>
        <v>0.17888100000000001</v>
      </c>
      <c r="AG92">
        <v>734</v>
      </c>
      <c r="AH92" s="61">
        <v>13</v>
      </c>
      <c r="AI92" s="11">
        <f t="shared" ref="AI92:AI155" si="52">ROUND(AG92*AH92*100,0)</f>
        <v>954200</v>
      </c>
      <c r="AJ92">
        <v>0</v>
      </c>
      <c r="AK92" s="67"/>
      <c r="AL92" s="11">
        <f t="shared" ref="AL92:AL155" si="53">ROUND(AJ92*AK92*100,0)</f>
        <v>0</v>
      </c>
      <c r="AM92" s="11">
        <f t="shared" si="41"/>
        <v>1603989</v>
      </c>
      <c r="AN92" s="11">
        <f t="shared" ref="AN92:AN155" si="54">SUM(AI92+AL92+AM92)</f>
        <v>2558189</v>
      </c>
      <c r="AO92" s="61">
        <v>2430050</v>
      </c>
      <c r="AP92" s="11">
        <f t="shared" ref="AP92:AP155" si="55">MAX(0,SUM(AN92,-AO92))</f>
        <v>128139</v>
      </c>
      <c r="AQ92" s="56" t="str">
        <f t="shared" ref="AQ92:AQ155" si="56">IF(AN92&gt;AO92,"Yes","No")</f>
        <v>Yes</v>
      </c>
      <c r="AR92" s="35">
        <f>IF(AQ92="Yes",+AP92*$I$9,0)</f>
        <v>21360.771299999997</v>
      </c>
      <c r="AS92" s="35">
        <f t="shared" ref="AS92:AS155" si="57">SUM(AO92,AR92)</f>
        <v>2451410.7713000001</v>
      </c>
      <c r="AT92"/>
      <c r="AU92" s="35"/>
      <c r="AV92" s="53"/>
      <c r="AW92" s="35"/>
      <c r="AX92" s="21"/>
      <c r="AZ92" s="21"/>
      <c r="BA92" s="21"/>
      <c r="BE92" s="21"/>
      <c r="BF92" s="21"/>
      <c r="BG92" s="21"/>
      <c r="BH92" s="21"/>
      <c r="BI92" s="21"/>
    </row>
    <row r="93" spans="1:61" ht="14.35" x14ac:dyDescent="0.5">
      <c r="A93" s="8"/>
      <c r="B93" s="25"/>
      <c r="C93" s="25"/>
      <c r="D93">
        <v>89</v>
      </c>
      <c r="E93" s="8">
        <v>67</v>
      </c>
      <c r="F93" s="3" t="s">
        <v>154</v>
      </c>
      <c r="G93" s="54"/>
      <c r="H93">
        <v>1244.54</v>
      </c>
      <c r="I93" s="62"/>
      <c r="J93">
        <v>207</v>
      </c>
      <c r="K93" s="60">
        <f t="shared" si="42"/>
        <v>62.1</v>
      </c>
      <c r="L93" s="60">
        <f t="shared" si="43"/>
        <v>746.72</v>
      </c>
      <c r="M93" s="60">
        <f t="shared" si="44"/>
        <v>0</v>
      </c>
      <c r="N93" s="60">
        <f t="shared" si="45"/>
        <v>0</v>
      </c>
      <c r="O93" s="51">
        <f t="shared" si="46"/>
        <v>0.17</v>
      </c>
      <c r="P93" s="51">
        <f t="shared" si="34"/>
        <v>0</v>
      </c>
      <c r="Q93" s="34">
        <f t="shared" si="35"/>
        <v>0</v>
      </c>
      <c r="R93" s="34">
        <f t="shared" si="47"/>
        <v>0</v>
      </c>
      <c r="S93">
        <v>6</v>
      </c>
      <c r="T93" s="60">
        <f t="shared" si="48"/>
        <v>1.5</v>
      </c>
      <c r="U93" s="36">
        <f t="shared" si="36"/>
        <v>62.1</v>
      </c>
      <c r="V93" s="9">
        <f t="shared" si="49"/>
        <v>1308.1399999999999</v>
      </c>
      <c r="W93" s="60">
        <v>1188999685.6700001</v>
      </c>
      <c r="X93" s="61">
        <v>9504</v>
      </c>
      <c r="Y93" s="17">
        <f t="shared" si="37"/>
        <v>125105.19</v>
      </c>
      <c r="Z93" s="37">
        <f t="shared" si="38"/>
        <v>0.63108900000000001</v>
      </c>
      <c r="AA93" s="61">
        <v>121200</v>
      </c>
      <c r="AB93" s="37">
        <f t="shared" si="39"/>
        <v>0.98773</v>
      </c>
      <c r="AC93" s="37">
        <f t="shared" ref="AC93:AC156" si="58">ROUND(1-((Z93*$I$4)+(AB93*$I$5)),6)</f>
        <v>0.26191900000000001</v>
      </c>
      <c r="AD93" s="55">
        <f t="shared" si="50"/>
        <v>0.26191900000000001</v>
      </c>
      <c r="AE93" s="38">
        <f t="shared" si="40"/>
        <v>0</v>
      </c>
      <c r="AF93" s="58">
        <f t="shared" si="51"/>
        <v>0.26191900000000001</v>
      </c>
      <c r="AG93">
        <v>606</v>
      </c>
      <c r="AH93" s="61">
        <v>6</v>
      </c>
      <c r="AI93" s="11">
        <f t="shared" si="52"/>
        <v>363600</v>
      </c>
      <c r="AJ93">
        <v>0</v>
      </c>
      <c r="AK93" s="67">
        <v>4</v>
      </c>
      <c r="AL93" s="11">
        <f t="shared" si="53"/>
        <v>0</v>
      </c>
      <c r="AM93" s="11">
        <f t="shared" si="41"/>
        <v>3948773</v>
      </c>
      <c r="AN93" s="11">
        <f t="shared" si="54"/>
        <v>4312373</v>
      </c>
      <c r="AO93" s="61">
        <v>5997693</v>
      </c>
      <c r="AP93" s="11">
        <f t="shared" si="55"/>
        <v>0</v>
      </c>
      <c r="AQ93" s="56" t="str">
        <f t="shared" si="56"/>
        <v>No</v>
      </c>
      <c r="AR93" s="35">
        <f>IF(AQ93="Yes",+AP93*$I$9,0)</f>
        <v>0</v>
      </c>
      <c r="AS93" s="35">
        <f t="shared" si="57"/>
        <v>5997693</v>
      </c>
      <c r="AT93"/>
      <c r="AU93" s="35"/>
      <c r="AV93" s="53"/>
      <c r="AW93" s="35"/>
      <c r="AX93" s="21"/>
      <c r="AZ93" s="21"/>
      <c r="BA93" s="21"/>
      <c r="BE93" s="21"/>
      <c r="BF93" s="21"/>
      <c r="BG93" s="21"/>
      <c r="BH93" s="21"/>
      <c r="BI93" s="21"/>
    </row>
    <row r="94" spans="1:61" ht="14.35" x14ac:dyDescent="0.5">
      <c r="A94" s="8"/>
      <c r="B94" s="25"/>
      <c r="C94" s="25"/>
      <c r="D94">
        <v>152</v>
      </c>
      <c r="E94" s="8">
        <v>68</v>
      </c>
      <c r="F94" s="3" t="s">
        <v>155</v>
      </c>
      <c r="G94" s="54"/>
      <c r="H94">
        <v>233.7</v>
      </c>
      <c r="I94" s="62"/>
      <c r="J94">
        <v>64</v>
      </c>
      <c r="K94" s="60">
        <f t="shared" si="42"/>
        <v>19.2</v>
      </c>
      <c r="L94" s="60">
        <f t="shared" si="43"/>
        <v>140.22</v>
      </c>
      <c r="M94" s="60">
        <f t="shared" si="44"/>
        <v>0</v>
      </c>
      <c r="N94" s="60">
        <f t="shared" si="45"/>
        <v>0</v>
      </c>
      <c r="O94" s="51">
        <f t="shared" si="46"/>
        <v>0.27</v>
      </c>
      <c r="P94" s="51">
        <f t="shared" si="34"/>
        <v>0</v>
      </c>
      <c r="Q94" s="34">
        <f t="shared" si="35"/>
        <v>0</v>
      </c>
      <c r="R94" s="34">
        <f t="shared" si="47"/>
        <v>0</v>
      </c>
      <c r="S94">
        <v>4</v>
      </c>
      <c r="T94" s="60">
        <f t="shared" si="48"/>
        <v>1</v>
      </c>
      <c r="U94" s="36">
        <f t="shared" si="36"/>
        <v>19.2</v>
      </c>
      <c r="V94" s="9">
        <f t="shared" si="49"/>
        <v>253.89999999999998</v>
      </c>
      <c r="W94" s="60">
        <v>885251768</v>
      </c>
      <c r="X94" s="61">
        <v>2777</v>
      </c>
      <c r="Y94" s="17">
        <f t="shared" si="37"/>
        <v>318779.89</v>
      </c>
      <c r="Z94" s="37">
        <f t="shared" si="38"/>
        <v>1.6080749999999999</v>
      </c>
      <c r="AA94" s="61">
        <v>78125</v>
      </c>
      <c r="AB94" s="37">
        <f t="shared" si="39"/>
        <v>0.636687</v>
      </c>
      <c r="AC94" s="37">
        <f t="shared" si="58"/>
        <v>-0.31665900000000002</v>
      </c>
      <c r="AD94" s="55">
        <f t="shared" si="50"/>
        <v>0.01</v>
      </c>
      <c r="AE94" s="38">
        <f t="shared" si="40"/>
        <v>0</v>
      </c>
      <c r="AF94" s="58">
        <f t="shared" si="51"/>
        <v>0.01</v>
      </c>
      <c r="AG94">
        <v>43</v>
      </c>
      <c r="AH94" s="61">
        <v>4</v>
      </c>
      <c r="AI94" s="11">
        <f t="shared" si="52"/>
        <v>17200</v>
      </c>
      <c r="AJ94">
        <v>0</v>
      </c>
      <c r="AK94" s="67"/>
      <c r="AL94" s="11">
        <f t="shared" si="53"/>
        <v>0</v>
      </c>
      <c r="AM94" s="11">
        <f t="shared" si="41"/>
        <v>29262</v>
      </c>
      <c r="AN94" s="11">
        <f t="shared" si="54"/>
        <v>46462</v>
      </c>
      <c r="AO94" s="61">
        <v>29872</v>
      </c>
      <c r="AP94" s="11">
        <f t="shared" si="55"/>
        <v>16590</v>
      </c>
      <c r="AQ94" s="56" t="str">
        <f t="shared" si="56"/>
        <v>Yes</v>
      </c>
      <c r="AR94" s="35">
        <f>IF(AQ94="Yes",+AP94*$I$9,0)</f>
        <v>2765.5529999999999</v>
      </c>
      <c r="AS94" s="35">
        <f t="shared" si="57"/>
        <v>32637.553</v>
      </c>
      <c r="AT94"/>
      <c r="AU94" s="35"/>
      <c r="AV94" s="53"/>
      <c r="AW94" s="35"/>
      <c r="AX94" s="21"/>
      <c r="AZ94" s="21"/>
      <c r="BA94" s="21"/>
      <c r="BE94" s="21"/>
      <c r="BF94" s="21"/>
      <c r="BG94" s="21"/>
      <c r="BH94" s="21"/>
      <c r="BI94" s="21"/>
    </row>
    <row r="95" spans="1:61" ht="14.35" x14ac:dyDescent="0.5">
      <c r="A95" s="8"/>
      <c r="B95" s="25">
        <v>1</v>
      </c>
      <c r="C95" s="25">
        <f>+A95+B95</f>
        <v>1</v>
      </c>
      <c r="D95">
        <v>34</v>
      </c>
      <c r="E95" s="8">
        <v>69</v>
      </c>
      <c r="F95" s="3" t="s">
        <v>156</v>
      </c>
      <c r="G95" s="54"/>
      <c r="H95">
        <v>2151.9299999999998</v>
      </c>
      <c r="I95" s="63"/>
      <c r="J95">
        <v>1036</v>
      </c>
      <c r="K95" s="60">
        <f t="shared" si="42"/>
        <v>310.8</v>
      </c>
      <c r="L95" s="60">
        <f t="shared" si="43"/>
        <v>1291.1600000000001</v>
      </c>
      <c r="M95" s="60">
        <f t="shared" si="44"/>
        <v>0</v>
      </c>
      <c r="N95" s="60">
        <f t="shared" si="45"/>
        <v>0</v>
      </c>
      <c r="O95" s="51">
        <f t="shared" si="46"/>
        <v>0.48</v>
      </c>
      <c r="P95" s="51">
        <f t="shared" si="34"/>
        <v>0</v>
      </c>
      <c r="Q95" s="34">
        <f t="shared" si="35"/>
        <v>0</v>
      </c>
      <c r="R95" s="34">
        <f t="shared" si="47"/>
        <v>0</v>
      </c>
      <c r="S95">
        <v>66</v>
      </c>
      <c r="T95" s="60">
        <f t="shared" si="48"/>
        <v>16.5</v>
      </c>
      <c r="U95" s="36">
        <f t="shared" si="36"/>
        <v>310.8</v>
      </c>
      <c r="V95" s="9">
        <f t="shared" si="49"/>
        <v>2479.23</v>
      </c>
      <c r="W95" s="60">
        <v>1971254217.6700001</v>
      </c>
      <c r="X95" s="61">
        <v>17336</v>
      </c>
      <c r="Y95" s="17">
        <f t="shared" si="37"/>
        <v>113708.71</v>
      </c>
      <c r="Z95" s="37">
        <f t="shared" si="38"/>
        <v>0.5736</v>
      </c>
      <c r="AA95" s="61">
        <v>62550</v>
      </c>
      <c r="AB95" s="37">
        <f t="shared" si="39"/>
        <v>0.50975700000000002</v>
      </c>
      <c r="AC95" s="37">
        <f t="shared" si="58"/>
        <v>0.44555299999999998</v>
      </c>
      <c r="AD95" s="55">
        <f t="shared" si="50"/>
        <v>0.44555299999999998</v>
      </c>
      <c r="AE95" s="38">
        <f t="shared" si="40"/>
        <v>0</v>
      </c>
      <c r="AF95" s="58">
        <f t="shared" si="51"/>
        <v>0.44555299999999998</v>
      </c>
      <c r="AG95">
        <v>0</v>
      </c>
      <c r="AH95" s="61">
        <v>0</v>
      </c>
      <c r="AI95" s="11">
        <f t="shared" si="52"/>
        <v>0</v>
      </c>
      <c r="AJ95">
        <v>0</v>
      </c>
      <c r="AK95" s="67"/>
      <c r="AL95" s="11">
        <f t="shared" si="53"/>
        <v>0</v>
      </c>
      <c r="AM95" s="11">
        <f t="shared" si="41"/>
        <v>12730842</v>
      </c>
      <c r="AN95" s="11">
        <f t="shared" si="54"/>
        <v>12730842</v>
      </c>
      <c r="AO95" s="61">
        <v>15574402</v>
      </c>
      <c r="AP95" s="11">
        <f t="shared" si="55"/>
        <v>0</v>
      </c>
      <c r="AQ95" s="56" t="str">
        <f t="shared" si="56"/>
        <v>No</v>
      </c>
      <c r="AR95" s="35">
        <f>IF(AQ95="Yes",+AP95*$I$9,0)</f>
        <v>0</v>
      </c>
      <c r="AS95" s="35">
        <f t="shared" si="57"/>
        <v>15574402</v>
      </c>
      <c r="AT95"/>
      <c r="AU95" s="35"/>
      <c r="AV95" s="53"/>
      <c r="AW95" s="35"/>
      <c r="AX95" s="21"/>
      <c r="AZ95" s="21"/>
      <c r="BA95" s="21"/>
      <c r="BE95" s="21"/>
      <c r="BF95" s="21"/>
      <c r="BG95" s="21"/>
      <c r="BH95" s="21"/>
      <c r="BI95" s="21"/>
    </row>
    <row r="96" spans="1:61" ht="14.35" x14ac:dyDescent="0.5">
      <c r="A96" s="8"/>
      <c r="B96" s="25"/>
      <c r="C96" s="25"/>
      <c r="D96">
        <v>138</v>
      </c>
      <c r="E96" s="8">
        <v>70</v>
      </c>
      <c r="F96" s="3" t="s">
        <v>157</v>
      </c>
      <c r="G96" s="54"/>
      <c r="H96">
        <v>696.27</v>
      </c>
      <c r="I96" s="62"/>
      <c r="J96">
        <v>49</v>
      </c>
      <c r="K96" s="60">
        <f t="shared" si="42"/>
        <v>14.7</v>
      </c>
      <c r="L96" s="60">
        <f t="shared" si="43"/>
        <v>417.76</v>
      </c>
      <c r="M96" s="60">
        <f t="shared" si="44"/>
        <v>0</v>
      </c>
      <c r="N96" s="60">
        <f t="shared" si="45"/>
        <v>0</v>
      </c>
      <c r="O96" s="51">
        <f t="shared" si="46"/>
        <v>7.0000000000000007E-2</v>
      </c>
      <c r="P96" s="51">
        <f t="shared" si="34"/>
        <v>0</v>
      </c>
      <c r="Q96" s="34">
        <f t="shared" si="35"/>
        <v>0</v>
      </c>
      <c r="R96" s="34">
        <f t="shared" si="47"/>
        <v>0</v>
      </c>
      <c r="S96">
        <v>2</v>
      </c>
      <c r="T96" s="60">
        <f t="shared" si="48"/>
        <v>0.5</v>
      </c>
      <c r="U96" s="36">
        <f t="shared" si="36"/>
        <v>14.7</v>
      </c>
      <c r="V96" s="9">
        <f t="shared" si="49"/>
        <v>711.47</v>
      </c>
      <c r="W96" s="60">
        <v>1061881674.67</v>
      </c>
      <c r="X96" s="61">
        <v>6364</v>
      </c>
      <c r="Y96" s="17">
        <f t="shared" si="37"/>
        <v>166857.59</v>
      </c>
      <c r="Z96" s="37">
        <f t="shared" si="38"/>
        <v>0.84170800000000001</v>
      </c>
      <c r="AA96" s="61">
        <v>110543</v>
      </c>
      <c r="AB96" s="37">
        <f t="shared" si="39"/>
        <v>0.90088000000000001</v>
      </c>
      <c r="AC96" s="37">
        <f t="shared" si="58"/>
        <v>0.14054</v>
      </c>
      <c r="AD96" s="55">
        <f t="shared" si="50"/>
        <v>0.14054</v>
      </c>
      <c r="AE96" s="38">
        <f t="shared" si="40"/>
        <v>0</v>
      </c>
      <c r="AF96" s="58">
        <f t="shared" si="51"/>
        <v>0.14054</v>
      </c>
      <c r="AG96">
        <v>702</v>
      </c>
      <c r="AH96" s="61">
        <v>13</v>
      </c>
      <c r="AI96" s="11">
        <f t="shared" si="52"/>
        <v>912600</v>
      </c>
      <c r="AJ96">
        <v>0</v>
      </c>
      <c r="AK96" s="67"/>
      <c r="AL96" s="11">
        <f t="shared" si="53"/>
        <v>0</v>
      </c>
      <c r="AM96" s="11">
        <f t="shared" si="41"/>
        <v>1152385</v>
      </c>
      <c r="AN96" s="11">
        <f t="shared" si="54"/>
        <v>2064985</v>
      </c>
      <c r="AO96" s="61">
        <v>1679589</v>
      </c>
      <c r="AP96" s="11">
        <f t="shared" si="55"/>
        <v>385396</v>
      </c>
      <c r="AQ96" s="56" t="str">
        <f t="shared" si="56"/>
        <v>Yes</v>
      </c>
      <c r="AR96" s="35">
        <f>IF(AQ96="Yes",+AP96*$I$9,0)</f>
        <v>64245.513199999994</v>
      </c>
      <c r="AS96" s="35">
        <f t="shared" si="57"/>
        <v>1743834.5131999999</v>
      </c>
      <c r="AT96"/>
      <c r="AU96" s="35"/>
      <c r="AV96" s="53"/>
      <c r="AW96" s="35"/>
      <c r="AX96" s="21"/>
      <c r="AZ96" s="21"/>
      <c r="BA96" s="21"/>
      <c r="BE96" s="21"/>
      <c r="BF96" s="21"/>
      <c r="BG96" s="21"/>
      <c r="BH96" s="21"/>
      <c r="BI96" s="21"/>
    </row>
    <row r="97" spans="1:61" ht="14.35" x14ac:dyDescent="0.5">
      <c r="A97" s="8"/>
      <c r="B97" s="25"/>
      <c r="C97" s="25"/>
      <c r="D97">
        <v>69</v>
      </c>
      <c r="E97" s="8">
        <v>71</v>
      </c>
      <c r="F97" s="3" t="s">
        <v>158</v>
      </c>
      <c r="G97" s="54"/>
      <c r="H97">
        <v>871.33</v>
      </c>
      <c r="I97" s="62"/>
      <c r="J97">
        <v>268</v>
      </c>
      <c r="K97" s="60">
        <f t="shared" si="42"/>
        <v>80.400000000000006</v>
      </c>
      <c r="L97" s="60">
        <f t="shared" si="43"/>
        <v>522.79999999999995</v>
      </c>
      <c r="M97" s="60">
        <f t="shared" si="44"/>
        <v>0</v>
      </c>
      <c r="N97" s="60">
        <f t="shared" si="45"/>
        <v>0</v>
      </c>
      <c r="O97" s="51">
        <f t="shared" si="46"/>
        <v>0.31</v>
      </c>
      <c r="P97" s="51">
        <f t="shared" si="34"/>
        <v>0</v>
      </c>
      <c r="Q97" s="34">
        <f t="shared" si="35"/>
        <v>0</v>
      </c>
      <c r="R97" s="34">
        <f t="shared" si="47"/>
        <v>0</v>
      </c>
      <c r="S97">
        <v>8</v>
      </c>
      <c r="T97" s="60">
        <f t="shared" si="48"/>
        <v>2</v>
      </c>
      <c r="U97" s="36">
        <f t="shared" si="36"/>
        <v>80.400000000000006</v>
      </c>
      <c r="V97" s="9">
        <f t="shared" si="49"/>
        <v>953.73</v>
      </c>
      <c r="W97" s="60">
        <v>999145604.33000004</v>
      </c>
      <c r="X97" s="61">
        <v>7144</v>
      </c>
      <c r="Y97" s="17">
        <f t="shared" si="37"/>
        <v>139858.01</v>
      </c>
      <c r="Z97" s="37">
        <f t="shared" si="38"/>
        <v>0.70550900000000005</v>
      </c>
      <c r="AA97" s="61">
        <v>91684</v>
      </c>
      <c r="AB97" s="37">
        <f t="shared" si="39"/>
        <v>0.74718700000000005</v>
      </c>
      <c r="AC97" s="37">
        <f t="shared" si="58"/>
        <v>0.28198800000000002</v>
      </c>
      <c r="AD97" s="55">
        <f t="shared" si="50"/>
        <v>0.28198800000000002</v>
      </c>
      <c r="AE97" s="38">
        <f t="shared" si="40"/>
        <v>0</v>
      </c>
      <c r="AF97" s="58">
        <f t="shared" si="51"/>
        <v>0.28198800000000002</v>
      </c>
      <c r="AG97">
        <v>0</v>
      </c>
      <c r="AH97" s="61">
        <v>0</v>
      </c>
      <c r="AI97" s="11">
        <f t="shared" si="52"/>
        <v>0</v>
      </c>
      <c r="AJ97">
        <v>0</v>
      </c>
      <c r="AK97" s="67"/>
      <c r="AL97" s="11">
        <f t="shared" si="53"/>
        <v>0</v>
      </c>
      <c r="AM97" s="11">
        <f t="shared" si="41"/>
        <v>3099538</v>
      </c>
      <c r="AN97" s="11">
        <f t="shared" si="54"/>
        <v>3099538</v>
      </c>
      <c r="AO97" s="61">
        <v>4578589</v>
      </c>
      <c r="AP97" s="11">
        <f t="shared" si="55"/>
        <v>0</v>
      </c>
      <c r="AQ97" s="56" t="str">
        <f t="shared" si="56"/>
        <v>No</v>
      </c>
      <c r="AR97" s="35">
        <f>IF(AQ97="Yes",+AP97*$I$9,0)</f>
        <v>0</v>
      </c>
      <c r="AS97" s="35">
        <f t="shared" si="57"/>
        <v>4578589</v>
      </c>
      <c r="AT97"/>
      <c r="AU97" s="35"/>
      <c r="AV97" s="53"/>
      <c r="AW97" s="35"/>
      <c r="AX97" s="21"/>
      <c r="AZ97" s="21"/>
      <c r="BA97" s="21"/>
      <c r="BE97" s="21"/>
      <c r="BF97" s="21"/>
      <c r="BG97" s="21"/>
      <c r="BH97" s="21"/>
      <c r="BI97" s="21"/>
    </row>
    <row r="98" spans="1:61" ht="14.35" x14ac:dyDescent="0.5">
      <c r="A98" s="8"/>
      <c r="B98" s="25"/>
      <c r="C98" s="25"/>
      <c r="D98">
        <v>40</v>
      </c>
      <c r="E98" s="8">
        <v>72</v>
      </c>
      <c r="F98" s="3" t="s">
        <v>159</v>
      </c>
      <c r="G98" s="54"/>
      <c r="H98">
        <v>2411.25</v>
      </c>
      <c r="I98" s="62"/>
      <c r="J98">
        <v>504</v>
      </c>
      <c r="K98" s="60">
        <f t="shared" si="42"/>
        <v>151.19999999999999</v>
      </c>
      <c r="L98" s="60">
        <f t="shared" si="43"/>
        <v>1446.75</v>
      </c>
      <c r="M98" s="60">
        <f t="shared" si="44"/>
        <v>0</v>
      </c>
      <c r="N98" s="60">
        <f t="shared" si="45"/>
        <v>0</v>
      </c>
      <c r="O98" s="51">
        <f t="shared" si="46"/>
        <v>0.21</v>
      </c>
      <c r="P98" s="51">
        <f t="shared" si="34"/>
        <v>0</v>
      </c>
      <c r="Q98" s="34">
        <f t="shared" si="35"/>
        <v>0</v>
      </c>
      <c r="R98" s="34">
        <f t="shared" si="47"/>
        <v>0</v>
      </c>
      <c r="S98">
        <v>33</v>
      </c>
      <c r="T98" s="60">
        <f t="shared" si="48"/>
        <v>8.25</v>
      </c>
      <c r="U98" s="36">
        <f t="shared" si="36"/>
        <v>151.19999999999999</v>
      </c>
      <c r="V98" s="9">
        <f t="shared" si="49"/>
        <v>2570.6999999999998</v>
      </c>
      <c r="W98" s="60">
        <v>1691015605.3299999</v>
      </c>
      <c r="X98" s="61">
        <v>14621</v>
      </c>
      <c r="Y98" s="17">
        <f t="shared" si="37"/>
        <v>115656.63</v>
      </c>
      <c r="Z98" s="37">
        <f t="shared" si="38"/>
        <v>0.583426</v>
      </c>
      <c r="AA98" s="61">
        <v>94099</v>
      </c>
      <c r="AB98" s="37">
        <f t="shared" si="39"/>
        <v>0.76686799999999999</v>
      </c>
      <c r="AC98" s="37">
        <f t="shared" si="58"/>
        <v>0.361541</v>
      </c>
      <c r="AD98" s="55">
        <f t="shared" si="50"/>
        <v>0.361541</v>
      </c>
      <c r="AE98" s="38">
        <f t="shared" si="40"/>
        <v>0</v>
      </c>
      <c r="AF98" s="58">
        <f t="shared" si="51"/>
        <v>0.361541</v>
      </c>
      <c r="AG98">
        <v>0</v>
      </c>
      <c r="AH98" s="61">
        <v>0</v>
      </c>
      <c r="AI98" s="11">
        <f t="shared" si="52"/>
        <v>0</v>
      </c>
      <c r="AJ98">
        <v>0</v>
      </c>
      <c r="AK98" s="67"/>
      <c r="AL98" s="11">
        <f t="shared" si="53"/>
        <v>0</v>
      </c>
      <c r="AM98" s="11">
        <f t="shared" si="41"/>
        <v>10711490</v>
      </c>
      <c r="AN98" s="11">
        <f t="shared" si="54"/>
        <v>10711490</v>
      </c>
      <c r="AO98" s="61">
        <v>11492516</v>
      </c>
      <c r="AP98" s="11">
        <f t="shared" si="55"/>
        <v>0</v>
      </c>
      <c r="AQ98" s="56" t="str">
        <f t="shared" si="56"/>
        <v>No</v>
      </c>
      <c r="AR98" s="35">
        <f>IF(AQ98="Yes",+AP98*$I$9,0)</f>
        <v>0</v>
      </c>
      <c r="AS98" s="35">
        <f t="shared" si="57"/>
        <v>11492516</v>
      </c>
      <c r="AT98"/>
      <c r="AU98" s="35"/>
      <c r="AV98" s="53"/>
      <c r="AW98" s="35"/>
      <c r="AX98" s="21"/>
      <c r="AZ98" s="21"/>
      <c r="BA98" s="21"/>
      <c r="BE98" s="21"/>
      <c r="BF98" s="21"/>
      <c r="BG98" s="21"/>
      <c r="BH98" s="21"/>
      <c r="BI98" s="21"/>
    </row>
    <row r="99" spans="1:61" ht="14.35" x14ac:dyDescent="0.5">
      <c r="A99" s="8"/>
      <c r="B99" s="25"/>
      <c r="C99" s="25"/>
      <c r="D99">
        <v>61</v>
      </c>
      <c r="E99" s="8">
        <v>73</v>
      </c>
      <c r="F99" s="3" t="s">
        <v>160</v>
      </c>
      <c r="G99" s="54"/>
      <c r="H99">
        <v>557.96</v>
      </c>
      <c r="I99" s="62"/>
      <c r="J99">
        <v>188</v>
      </c>
      <c r="K99" s="60">
        <f t="shared" si="42"/>
        <v>56.4</v>
      </c>
      <c r="L99" s="60">
        <f t="shared" si="43"/>
        <v>334.78</v>
      </c>
      <c r="M99" s="60">
        <f t="shared" si="44"/>
        <v>0</v>
      </c>
      <c r="N99" s="60">
        <f t="shared" si="45"/>
        <v>0</v>
      </c>
      <c r="O99" s="51">
        <f t="shared" si="46"/>
        <v>0.34</v>
      </c>
      <c r="P99" s="51">
        <f t="shared" si="34"/>
        <v>0</v>
      </c>
      <c r="Q99" s="34">
        <f t="shared" si="35"/>
        <v>0</v>
      </c>
      <c r="R99" s="34">
        <f t="shared" si="47"/>
        <v>0</v>
      </c>
      <c r="S99">
        <v>10</v>
      </c>
      <c r="T99" s="60">
        <f t="shared" si="48"/>
        <v>2.5</v>
      </c>
      <c r="U99" s="36">
        <f t="shared" si="36"/>
        <v>56.4</v>
      </c>
      <c r="V99" s="9">
        <f t="shared" si="49"/>
        <v>616.86</v>
      </c>
      <c r="W99" s="60">
        <v>611747538.66999996</v>
      </c>
      <c r="X99" s="61">
        <v>4220</v>
      </c>
      <c r="Y99" s="17">
        <f t="shared" si="37"/>
        <v>144963.87</v>
      </c>
      <c r="Z99" s="37">
        <f t="shared" si="38"/>
        <v>0.73126599999999997</v>
      </c>
      <c r="AA99" s="61">
        <v>91125</v>
      </c>
      <c r="AB99" s="37">
        <f t="shared" si="39"/>
        <v>0.74263100000000004</v>
      </c>
      <c r="AC99" s="37">
        <f t="shared" si="58"/>
        <v>0.26532499999999998</v>
      </c>
      <c r="AD99" s="55">
        <f t="shared" si="50"/>
        <v>0.26532499999999998</v>
      </c>
      <c r="AE99" s="38">
        <f t="shared" si="40"/>
        <v>0</v>
      </c>
      <c r="AF99" s="58">
        <f t="shared" si="51"/>
        <v>0.26532499999999998</v>
      </c>
      <c r="AG99">
        <v>0</v>
      </c>
      <c r="AH99" s="65">
        <v>0</v>
      </c>
      <c r="AI99" s="11">
        <f t="shared" si="52"/>
        <v>0</v>
      </c>
      <c r="AJ99">
        <v>113</v>
      </c>
      <c r="AK99" s="67">
        <v>4</v>
      </c>
      <c r="AL99" s="11">
        <f t="shared" si="53"/>
        <v>45200</v>
      </c>
      <c r="AM99" s="11">
        <f t="shared" si="41"/>
        <v>1886278</v>
      </c>
      <c r="AN99" s="11">
        <f t="shared" si="54"/>
        <v>1931478</v>
      </c>
      <c r="AO99" s="61">
        <v>2899516</v>
      </c>
      <c r="AP99" s="11">
        <f t="shared" si="55"/>
        <v>0</v>
      </c>
      <c r="AQ99" s="56" t="str">
        <f t="shared" si="56"/>
        <v>No</v>
      </c>
      <c r="AR99" s="35">
        <f>IF(AQ99="Yes",+AP99*$I$9,0)</f>
        <v>0</v>
      </c>
      <c r="AS99" s="35">
        <f t="shared" si="57"/>
        <v>2899516</v>
      </c>
      <c r="AT99"/>
      <c r="AU99" s="35"/>
      <c r="AV99" s="53"/>
      <c r="AW99" s="35"/>
      <c r="AX99" s="21"/>
      <c r="AZ99" s="21"/>
      <c r="BA99" s="21"/>
      <c r="BE99" s="21"/>
      <c r="BF99" s="21"/>
      <c r="BG99" s="21"/>
      <c r="BH99" s="21"/>
      <c r="BI99" s="21"/>
    </row>
    <row r="100" spans="1:61" ht="14.35" x14ac:dyDescent="0.5">
      <c r="A100" s="8"/>
      <c r="B100" s="25"/>
      <c r="C100" s="25"/>
      <c r="D100">
        <v>104</v>
      </c>
      <c r="E100" s="8">
        <v>74</v>
      </c>
      <c r="F100" s="3" t="s">
        <v>161</v>
      </c>
      <c r="G100" s="54"/>
      <c r="H100">
        <v>828.96</v>
      </c>
      <c r="I100" s="62"/>
      <c r="J100">
        <v>151</v>
      </c>
      <c r="K100" s="60">
        <f t="shared" si="42"/>
        <v>45.3</v>
      </c>
      <c r="L100" s="60">
        <f t="shared" si="43"/>
        <v>497.38</v>
      </c>
      <c r="M100" s="60">
        <f t="shared" si="44"/>
        <v>0</v>
      </c>
      <c r="N100" s="60">
        <f t="shared" si="45"/>
        <v>0</v>
      </c>
      <c r="O100" s="51">
        <f t="shared" si="46"/>
        <v>0.18</v>
      </c>
      <c r="P100" s="51">
        <f t="shared" si="34"/>
        <v>0</v>
      </c>
      <c r="Q100" s="34">
        <f t="shared" si="35"/>
        <v>0</v>
      </c>
      <c r="R100" s="34">
        <f t="shared" si="47"/>
        <v>0</v>
      </c>
      <c r="S100">
        <v>5</v>
      </c>
      <c r="T100" s="60">
        <f t="shared" si="48"/>
        <v>1.25</v>
      </c>
      <c r="U100" s="36">
        <f t="shared" si="36"/>
        <v>45.3</v>
      </c>
      <c r="V100" s="9">
        <f t="shared" si="49"/>
        <v>875.51</v>
      </c>
      <c r="W100" s="60">
        <v>1501389029.6700001</v>
      </c>
      <c r="X100" s="61">
        <v>8094</v>
      </c>
      <c r="Y100" s="17">
        <f t="shared" si="37"/>
        <v>185494.07</v>
      </c>
      <c r="Z100" s="37">
        <f t="shared" si="38"/>
        <v>0.93571899999999997</v>
      </c>
      <c r="AA100" s="61">
        <v>84694</v>
      </c>
      <c r="AB100" s="37">
        <f t="shared" si="39"/>
        <v>0.69022099999999997</v>
      </c>
      <c r="AC100" s="37">
        <f t="shared" si="58"/>
        <v>0.13793</v>
      </c>
      <c r="AD100" s="55">
        <f t="shared" si="50"/>
        <v>0.13793</v>
      </c>
      <c r="AE100" s="38">
        <f t="shared" si="40"/>
        <v>0</v>
      </c>
      <c r="AF100" s="58">
        <f t="shared" si="51"/>
        <v>0.13793</v>
      </c>
      <c r="AG100">
        <v>0</v>
      </c>
      <c r="AH100" s="61">
        <v>0</v>
      </c>
      <c r="AI100" s="11">
        <f t="shared" si="52"/>
        <v>0</v>
      </c>
      <c r="AJ100">
        <v>0</v>
      </c>
      <c r="AK100" s="67"/>
      <c r="AL100" s="11">
        <f t="shared" si="53"/>
        <v>0</v>
      </c>
      <c r="AM100" s="11">
        <f t="shared" si="41"/>
        <v>1391749</v>
      </c>
      <c r="AN100" s="11">
        <f t="shared" si="54"/>
        <v>1391749</v>
      </c>
      <c r="AO100" s="61">
        <v>1293502</v>
      </c>
      <c r="AP100" s="11">
        <f t="shared" si="55"/>
        <v>98247</v>
      </c>
      <c r="AQ100" s="56" t="str">
        <f t="shared" si="56"/>
        <v>Yes</v>
      </c>
      <c r="AR100" s="35">
        <f>IF(AQ100="Yes",+AP100*$I$9,0)</f>
        <v>16377.774899999999</v>
      </c>
      <c r="AS100" s="35">
        <f t="shared" si="57"/>
        <v>1309879.7749000001</v>
      </c>
      <c r="AT100"/>
      <c r="AU100" s="35"/>
      <c r="AV100" s="53"/>
      <c r="AW100" s="35"/>
      <c r="AX100" s="21"/>
      <c r="AZ100" s="21"/>
      <c r="BA100" s="21"/>
      <c r="BE100" s="21"/>
      <c r="BF100" s="21"/>
      <c r="BG100" s="21"/>
      <c r="BH100" s="21"/>
      <c r="BI100" s="21"/>
    </row>
    <row r="101" spans="1:61" ht="14.35" x14ac:dyDescent="0.5">
      <c r="A101" s="8"/>
      <c r="B101" s="25"/>
      <c r="C101" s="25"/>
      <c r="D101">
        <v>158</v>
      </c>
      <c r="E101" s="8">
        <v>75</v>
      </c>
      <c r="F101" s="3" t="s">
        <v>162</v>
      </c>
      <c r="G101" s="54"/>
      <c r="H101">
        <v>232.8</v>
      </c>
      <c r="I101" s="62"/>
      <c r="J101">
        <v>29</v>
      </c>
      <c r="K101" s="60">
        <f t="shared" si="42"/>
        <v>8.6999999999999993</v>
      </c>
      <c r="L101" s="60">
        <f t="shared" si="43"/>
        <v>139.68</v>
      </c>
      <c r="M101" s="60">
        <f t="shared" si="44"/>
        <v>0</v>
      </c>
      <c r="N101" s="60">
        <f t="shared" si="45"/>
        <v>0</v>
      </c>
      <c r="O101" s="51">
        <f t="shared" si="46"/>
        <v>0.12</v>
      </c>
      <c r="P101" s="51">
        <f t="shared" si="34"/>
        <v>0</v>
      </c>
      <c r="Q101" s="34">
        <f t="shared" si="35"/>
        <v>0</v>
      </c>
      <c r="R101" s="34">
        <f t="shared" si="47"/>
        <v>0</v>
      </c>
      <c r="S101">
        <v>3</v>
      </c>
      <c r="T101" s="60">
        <f t="shared" si="48"/>
        <v>0.75</v>
      </c>
      <c r="U101" s="36">
        <f t="shared" si="36"/>
        <v>8.6999999999999993</v>
      </c>
      <c r="V101" s="9">
        <f t="shared" si="49"/>
        <v>242.25</v>
      </c>
      <c r="W101" s="60">
        <v>739492381.66999996</v>
      </c>
      <c r="X101" s="61">
        <v>2316</v>
      </c>
      <c r="Y101" s="17">
        <f t="shared" si="37"/>
        <v>319297.23</v>
      </c>
      <c r="Z101" s="37">
        <f t="shared" si="38"/>
        <v>1.6106849999999999</v>
      </c>
      <c r="AA101" s="61">
        <v>100435</v>
      </c>
      <c r="AB101" s="37">
        <f t="shared" si="39"/>
        <v>0.81850400000000001</v>
      </c>
      <c r="AC101" s="37">
        <f t="shared" si="58"/>
        <v>-0.373031</v>
      </c>
      <c r="AD101" s="55">
        <f t="shared" si="50"/>
        <v>0.01</v>
      </c>
      <c r="AE101" s="38">
        <f t="shared" si="40"/>
        <v>0</v>
      </c>
      <c r="AF101" s="58">
        <f t="shared" si="51"/>
        <v>0.01</v>
      </c>
      <c r="AG101">
        <v>232</v>
      </c>
      <c r="AH101" s="61">
        <v>13</v>
      </c>
      <c r="AI101" s="11">
        <f t="shared" si="52"/>
        <v>301600</v>
      </c>
      <c r="AJ101">
        <v>0</v>
      </c>
      <c r="AK101" s="67"/>
      <c r="AL101" s="11">
        <f t="shared" si="53"/>
        <v>0</v>
      </c>
      <c r="AM101" s="11">
        <f t="shared" si="41"/>
        <v>27919</v>
      </c>
      <c r="AN101" s="11">
        <f t="shared" si="54"/>
        <v>329519</v>
      </c>
      <c r="AO101" s="61">
        <v>89603</v>
      </c>
      <c r="AP101" s="11">
        <f t="shared" si="55"/>
        <v>239916</v>
      </c>
      <c r="AQ101" s="56" t="str">
        <f t="shared" si="56"/>
        <v>Yes</v>
      </c>
      <c r="AR101" s="35">
        <f>IF(AQ101="Yes",+AP101*$I$9,0)</f>
        <v>39993.997199999998</v>
      </c>
      <c r="AS101" s="35">
        <f t="shared" si="57"/>
        <v>129596.9972</v>
      </c>
      <c r="AT101"/>
      <c r="AU101" s="35"/>
      <c r="AV101" s="53"/>
      <c r="AW101" s="35"/>
      <c r="AX101" s="21"/>
      <c r="AZ101" s="21"/>
      <c r="BA101" s="21"/>
      <c r="BE101" s="21"/>
      <c r="BF101" s="21"/>
      <c r="BG101" s="21"/>
      <c r="BH101" s="21"/>
      <c r="BI101" s="21"/>
    </row>
    <row r="102" spans="1:61" ht="14.35" x14ac:dyDescent="0.5">
      <c r="A102" s="8"/>
      <c r="B102" s="25"/>
      <c r="C102" s="25"/>
      <c r="D102">
        <v>142</v>
      </c>
      <c r="E102" s="8">
        <v>76</v>
      </c>
      <c r="F102" s="3" t="s">
        <v>163</v>
      </c>
      <c r="G102" s="54"/>
      <c r="H102">
        <v>2446.5</v>
      </c>
      <c r="I102" s="62"/>
      <c r="J102">
        <v>86</v>
      </c>
      <c r="K102" s="60">
        <f t="shared" si="42"/>
        <v>25.8</v>
      </c>
      <c r="L102" s="60">
        <f t="shared" si="43"/>
        <v>1467.9</v>
      </c>
      <c r="M102" s="60">
        <f t="shared" si="44"/>
        <v>0</v>
      </c>
      <c r="N102" s="60">
        <f t="shared" si="45"/>
        <v>0</v>
      </c>
      <c r="O102" s="51">
        <f t="shared" si="46"/>
        <v>0.04</v>
      </c>
      <c r="P102" s="51">
        <f t="shared" si="34"/>
        <v>0</v>
      </c>
      <c r="Q102" s="34">
        <f t="shared" si="35"/>
        <v>0</v>
      </c>
      <c r="R102" s="34">
        <f t="shared" si="47"/>
        <v>0</v>
      </c>
      <c r="S102">
        <v>37</v>
      </c>
      <c r="T102" s="60">
        <f t="shared" si="48"/>
        <v>9.25</v>
      </c>
      <c r="U102" s="36">
        <f t="shared" si="36"/>
        <v>25.8</v>
      </c>
      <c r="V102" s="9">
        <f t="shared" si="49"/>
        <v>2481.5500000000002</v>
      </c>
      <c r="W102" s="60">
        <v>4283117840.6700001</v>
      </c>
      <c r="X102" s="61">
        <v>18030</v>
      </c>
      <c r="Y102" s="17">
        <f t="shared" si="37"/>
        <v>237555.07</v>
      </c>
      <c r="Z102" s="37">
        <f t="shared" si="38"/>
        <v>1.198339</v>
      </c>
      <c r="AA102" s="61">
        <v>113798</v>
      </c>
      <c r="AB102" s="37">
        <f t="shared" si="39"/>
        <v>0.92740699999999998</v>
      </c>
      <c r="AC102" s="37">
        <f t="shared" si="58"/>
        <v>-0.117059</v>
      </c>
      <c r="AD102" s="55">
        <f t="shared" si="50"/>
        <v>0.01</v>
      </c>
      <c r="AE102" s="38">
        <f t="shared" si="40"/>
        <v>0</v>
      </c>
      <c r="AF102" s="58">
        <f t="shared" si="51"/>
        <v>0.01</v>
      </c>
      <c r="AG102">
        <v>0</v>
      </c>
      <c r="AH102" s="61">
        <v>0</v>
      </c>
      <c r="AI102" s="11">
        <f t="shared" si="52"/>
        <v>0</v>
      </c>
      <c r="AJ102">
        <v>0</v>
      </c>
      <c r="AK102" s="67"/>
      <c r="AL102" s="11">
        <f t="shared" si="53"/>
        <v>0</v>
      </c>
      <c r="AM102" s="11">
        <f t="shared" si="41"/>
        <v>285999</v>
      </c>
      <c r="AN102" s="11">
        <f t="shared" si="54"/>
        <v>285999</v>
      </c>
      <c r="AO102" s="61">
        <v>395466</v>
      </c>
      <c r="AP102" s="11">
        <f t="shared" si="55"/>
        <v>0</v>
      </c>
      <c r="AQ102" s="56" t="str">
        <f t="shared" si="56"/>
        <v>No</v>
      </c>
      <c r="AR102" s="35">
        <f>IF(AQ102="Yes",+AP102*$I$9,0)</f>
        <v>0</v>
      </c>
      <c r="AS102" s="35">
        <f t="shared" si="57"/>
        <v>395466</v>
      </c>
      <c r="AT102"/>
      <c r="AU102" s="35"/>
      <c r="AV102" s="53"/>
      <c r="AW102" s="35"/>
      <c r="AX102" s="21"/>
      <c r="AZ102" s="21"/>
      <c r="BA102" s="21"/>
      <c r="BE102" s="21"/>
      <c r="BF102" s="21"/>
      <c r="BG102" s="21"/>
      <c r="BH102" s="21"/>
      <c r="BI102" s="21"/>
    </row>
    <row r="103" spans="1:61" ht="14.35" x14ac:dyDescent="0.5">
      <c r="A103" s="8">
        <v>1</v>
      </c>
      <c r="B103" s="25">
        <v>1</v>
      </c>
      <c r="C103" s="25">
        <f>+A103+B103</f>
        <v>2</v>
      </c>
      <c r="D103">
        <v>17</v>
      </c>
      <c r="E103" s="8">
        <v>77</v>
      </c>
      <c r="F103" s="3" t="s">
        <v>164</v>
      </c>
      <c r="G103" s="54"/>
      <c r="H103">
        <v>7514.03</v>
      </c>
      <c r="I103" s="63"/>
      <c r="J103">
        <v>4318</v>
      </c>
      <c r="K103" s="60">
        <f t="shared" si="42"/>
        <v>1295.4000000000001</v>
      </c>
      <c r="L103" s="60">
        <f t="shared" si="43"/>
        <v>4508.42</v>
      </c>
      <c r="M103" s="60">
        <f t="shared" si="44"/>
        <v>0</v>
      </c>
      <c r="N103" s="60">
        <f t="shared" si="45"/>
        <v>0</v>
      </c>
      <c r="O103" s="51">
        <f t="shared" si="46"/>
        <v>0.56999999999999995</v>
      </c>
      <c r="P103" s="51">
        <f t="shared" si="34"/>
        <v>0</v>
      </c>
      <c r="Q103" s="34">
        <f t="shared" si="35"/>
        <v>0</v>
      </c>
      <c r="R103" s="34">
        <f t="shared" si="47"/>
        <v>0</v>
      </c>
      <c r="S103">
        <v>573</v>
      </c>
      <c r="T103" s="60">
        <f t="shared" si="48"/>
        <v>143.25</v>
      </c>
      <c r="U103" s="36">
        <f t="shared" si="36"/>
        <v>1295.4000000000001</v>
      </c>
      <c r="V103" s="9">
        <f t="shared" si="49"/>
        <v>8952.68</v>
      </c>
      <c r="W103" s="60">
        <v>6233294384.6700001</v>
      </c>
      <c r="X103" s="61">
        <v>57584</v>
      </c>
      <c r="Y103" s="17">
        <f t="shared" si="37"/>
        <v>108246.99</v>
      </c>
      <c r="Z103" s="37">
        <f t="shared" si="38"/>
        <v>0.54604900000000001</v>
      </c>
      <c r="AA103" s="61">
        <v>74503</v>
      </c>
      <c r="AB103" s="37">
        <f t="shared" si="39"/>
        <v>0.60716899999999996</v>
      </c>
      <c r="AC103" s="37">
        <f t="shared" si="58"/>
        <v>0.43561499999999997</v>
      </c>
      <c r="AD103" s="55">
        <f t="shared" si="50"/>
        <v>0.43561499999999997</v>
      </c>
      <c r="AE103" s="38">
        <f t="shared" si="40"/>
        <v>0.03</v>
      </c>
      <c r="AF103" s="58">
        <f t="shared" si="51"/>
        <v>0.465615</v>
      </c>
      <c r="AG103">
        <v>0</v>
      </c>
      <c r="AH103" s="61">
        <v>0</v>
      </c>
      <c r="AI103" s="11">
        <f t="shared" si="52"/>
        <v>0</v>
      </c>
      <c r="AJ103">
        <v>0</v>
      </c>
      <c r="AK103" s="67"/>
      <c r="AL103" s="11">
        <f t="shared" si="53"/>
        <v>0</v>
      </c>
      <c r="AM103" s="11">
        <f t="shared" si="41"/>
        <v>48041987</v>
      </c>
      <c r="AN103" s="11">
        <f t="shared" si="54"/>
        <v>48041987</v>
      </c>
      <c r="AO103" s="61">
        <v>39752676</v>
      </c>
      <c r="AP103" s="11">
        <f t="shared" si="55"/>
        <v>8289311</v>
      </c>
      <c r="AQ103" s="56" t="str">
        <f t="shared" si="56"/>
        <v>Yes</v>
      </c>
      <c r="AR103" s="35">
        <f>IF(AQ103="Yes",+AP103*$I$9,0)</f>
        <v>1381828.1436999999</v>
      </c>
      <c r="AS103" s="35">
        <f t="shared" si="57"/>
        <v>41134504.143700004</v>
      </c>
      <c r="AT103"/>
      <c r="AU103" s="35"/>
      <c r="AV103" s="53"/>
      <c r="AW103" s="35"/>
      <c r="AX103" s="21"/>
      <c r="AZ103" s="21"/>
      <c r="BA103" s="21"/>
      <c r="BE103" s="21"/>
      <c r="BF103" s="21"/>
      <c r="BG103" s="21"/>
      <c r="BH103" s="21"/>
      <c r="BI103" s="21"/>
    </row>
    <row r="104" spans="1:61" ht="14.35" x14ac:dyDescent="0.5">
      <c r="A104" s="8"/>
      <c r="B104" s="25"/>
      <c r="C104" s="25"/>
      <c r="D104">
        <v>57</v>
      </c>
      <c r="E104" s="8">
        <v>78</v>
      </c>
      <c r="F104" s="3" t="s">
        <v>165</v>
      </c>
      <c r="G104" s="54"/>
      <c r="H104">
        <v>1570.23</v>
      </c>
      <c r="I104" s="64"/>
      <c r="J104">
        <v>436</v>
      </c>
      <c r="K104" s="60">
        <f t="shared" si="42"/>
        <v>130.80000000000001</v>
      </c>
      <c r="L104" s="60">
        <f t="shared" si="43"/>
        <v>942.14</v>
      </c>
      <c r="M104" s="60">
        <f t="shared" si="44"/>
        <v>0</v>
      </c>
      <c r="N104" s="60">
        <f t="shared" si="45"/>
        <v>0</v>
      </c>
      <c r="O104" s="51">
        <f t="shared" si="46"/>
        <v>0.28000000000000003</v>
      </c>
      <c r="P104" s="51">
        <f t="shared" si="34"/>
        <v>0</v>
      </c>
      <c r="Q104" s="34">
        <f t="shared" si="35"/>
        <v>0</v>
      </c>
      <c r="R104" s="34">
        <f t="shared" si="47"/>
        <v>0</v>
      </c>
      <c r="S104">
        <v>54</v>
      </c>
      <c r="T104" s="60">
        <f t="shared" si="48"/>
        <v>13.5</v>
      </c>
      <c r="U104" s="36">
        <f t="shared" si="36"/>
        <v>130.80000000000001</v>
      </c>
      <c r="V104" s="9">
        <f t="shared" si="49"/>
        <v>1714.53</v>
      </c>
      <c r="W104" s="60">
        <v>1615773772.3299999</v>
      </c>
      <c r="X104" s="61">
        <v>13732</v>
      </c>
      <c r="Y104" s="17">
        <f t="shared" si="37"/>
        <v>117664.85</v>
      </c>
      <c r="Z104" s="37">
        <f t="shared" si="38"/>
        <v>0.593557</v>
      </c>
      <c r="AA104" s="61">
        <v>51911</v>
      </c>
      <c r="AB104" s="37">
        <f t="shared" si="39"/>
        <v>0.42305300000000001</v>
      </c>
      <c r="AC104" s="37">
        <f t="shared" si="58"/>
        <v>0.457594</v>
      </c>
      <c r="AD104" s="55">
        <f t="shared" si="50"/>
        <v>0.457594</v>
      </c>
      <c r="AE104" s="38">
        <f t="shared" si="40"/>
        <v>0</v>
      </c>
      <c r="AF104" s="58">
        <f t="shared" si="51"/>
        <v>0.457594</v>
      </c>
      <c r="AG104">
        <v>560</v>
      </c>
      <c r="AH104" s="61">
        <v>4</v>
      </c>
      <c r="AI104" s="11">
        <f t="shared" si="52"/>
        <v>224000</v>
      </c>
      <c r="AJ104">
        <v>0</v>
      </c>
      <c r="AK104" s="67"/>
      <c r="AL104" s="11">
        <f t="shared" si="53"/>
        <v>0</v>
      </c>
      <c r="AM104" s="11">
        <f t="shared" si="41"/>
        <v>9042038</v>
      </c>
      <c r="AN104" s="11">
        <f t="shared" si="54"/>
        <v>9266038</v>
      </c>
      <c r="AO104" s="61">
        <v>9459722</v>
      </c>
      <c r="AP104" s="11">
        <f t="shared" si="55"/>
        <v>0</v>
      </c>
      <c r="AQ104" s="56" t="str">
        <f t="shared" si="56"/>
        <v>No</v>
      </c>
      <c r="AR104" s="35">
        <f>IF(AQ104="Yes",+AP104*$I$9,0)</f>
        <v>0</v>
      </c>
      <c r="AS104" s="35">
        <f t="shared" si="57"/>
        <v>9459722</v>
      </c>
      <c r="AT104"/>
      <c r="AU104" s="35"/>
      <c r="AV104" s="53"/>
      <c r="AW104" s="35"/>
      <c r="AX104" s="21"/>
      <c r="AZ104" s="21"/>
      <c r="BA104" s="21"/>
      <c r="BE104" s="21"/>
      <c r="BF104" s="21"/>
      <c r="BG104" s="21"/>
      <c r="BH104" s="21"/>
      <c r="BI104" s="21"/>
    </row>
    <row r="105" spans="1:61" ht="14.35" x14ac:dyDescent="0.5">
      <c r="A105" s="8"/>
      <c r="B105" s="25"/>
      <c r="C105" s="25"/>
      <c r="D105">
        <v>98</v>
      </c>
      <c r="E105" s="8">
        <v>79</v>
      </c>
      <c r="F105" s="3" t="s">
        <v>166</v>
      </c>
      <c r="G105" s="54"/>
      <c r="H105">
        <v>910.85</v>
      </c>
      <c r="I105" s="62"/>
      <c r="J105">
        <v>134</v>
      </c>
      <c r="K105" s="60">
        <f t="shared" si="42"/>
        <v>40.200000000000003</v>
      </c>
      <c r="L105" s="60">
        <f t="shared" si="43"/>
        <v>546.51</v>
      </c>
      <c r="M105" s="60">
        <f t="shared" si="44"/>
        <v>0</v>
      </c>
      <c r="N105" s="60">
        <f t="shared" si="45"/>
        <v>0</v>
      </c>
      <c r="O105" s="51">
        <f t="shared" si="46"/>
        <v>0.15</v>
      </c>
      <c r="P105" s="51">
        <f t="shared" si="34"/>
        <v>0</v>
      </c>
      <c r="Q105" s="34">
        <f t="shared" si="35"/>
        <v>0</v>
      </c>
      <c r="R105" s="34">
        <f t="shared" si="47"/>
        <v>0</v>
      </c>
      <c r="S105">
        <v>6</v>
      </c>
      <c r="T105" s="60">
        <f t="shared" si="48"/>
        <v>1.5</v>
      </c>
      <c r="U105" s="36">
        <f t="shared" si="36"/>
        <v>40.200000000000003</v>
      </c>
      <c r="V105" s="9">
        <f t="shared" si="49"/>
        <v>952.55000000000007</v>
      </c>
      <c r="W105" s="60">
        <v>868454559.66999996</v>
      </c>
      <c r="X105" s="61">
        <v>6335</v>
      </c>
      <c r="Y105" s="17">
        <f t="shared" si="37"/>
        <v>137088.32999999999</v>
      </c>
      <c r="Z105" s="37">
        <f t="shared" si="38"/>
        <v>0.69153799999999999</v>
      </c>
      <c r="AA105" s="61">
        <v>112557</v>
      </c>
      <c r="AB105" s="37">
        <f t="shared" si="39"/>
        <v>0.91729300000000003</v>
      </c>
      <c r="AC105" s="37">
        <f t="shared" si="58"/>
        <v>0.24073600000000001</v>
      </c>
      <c r="AD105" s="55">
        <f t="shared" si="50"/>
        <v>0.24073600000000001</v>
      </c>
      <c r="AE105" s="38">
        <f t="shared" si="40"/>
        <v>0</v>
      </c>
      <c r="AF105" s="58">
        <f t="shared" si="51"/>
        <v>0.24073600000000001</v>
      </c>
      <c r="AG105">
        <v>458</v>
      </c>
      <c r="AH105" s="61">
        <v>6</v>
      </c>
      <c r="AI105" s="11">
        <f t="shared" si="52"/>
        <v>274800</v>
      </c>
      <c r="AJ105">
        <v>0</v>
      </c>
      <c r="AK105" s="67"/>
      <c r="AL105" s="11">
        <f t="shared" si="53"/>
        <v>0</v>
      </c>
      <c r="AM105" s="11">
        <f t="shared" si="41"/>
        <v>2642833</v>
      </c>
      <c r="AN105" s="11">
        <f t="shared" si="54"/>
        <v>2917633</v>
      </c>
      <c r="AO105" s="61">
        <v>2902339</v>
      </c>
      <c r="AP105" s="11">
        <f t="shared" si="55"/>
        <v>15294</v>
      </c>
      <c r="AQ105" s="56" t="str">
        <f t="shared" si="56"/>
        <v>Yes</v>
      </c>
      <c r="AR105" s="35">
        <f>IF(AQ105="Yes",+AP105*$I$9,0)</f>
        <v>2549.5097999999998</v>
      </c>
      <c r="AS105" s="35">
        <f t="shared" si="57"/>
        <v>2904888.5098000001</v>
      </c>
      <c r="AT105"/>
      <c r="AU105" s="35"/>
      <c r="AV105" s="53"/>
      <c r="AW105" s="35"/>
      <c r="AX105" s="21"/>
      <c r="AZ105" s="21"/>
      <c r="BA105" s="21"/>
      <c r="BE105" s="21"/>
      <c r="BF105" s="21"/>
      <c r="BG105" s="21"/>
      <c r="BH105" s="21"/>
      <c r="BI105" s="21"/>
    </row>
    <row r="106" spans="1:61" ht="14.35" x14ac:dyDescent="0.5">
      <c r="A106" s="8">
        <v>1</v>
      </c>
      <c r="B106" s="25">
        <v>1</v>
      </c>
      <c r="C106" s="25">
        <f>+A106+B106</f>
        <v>2</v>
      </c>
      <c r="D106">
        <v>11</v>
      </c>
      <c r="E106" s="8">
        <v>80</v>
      </c>
      <c r="F106" s="3" t="s">
        <v>167</v>
      </c>
      <c r="G106" s="54"/>
      <c r="H106">
        <v>8912.08</v>
      </c>
      <c r="I106" s="63"/>
      <c r="J106">
        <v>6639</v>
      </c>
      <c r="K106" s="60">
        <f t="shared" si="42"/>
        <v>1991.7</v>
      </c>
      <c r="L106" s="60">
        <f t="shared" si="43"/>
        <v>5347.25</v>
      </c>
      <c r="M106" s="60">
        <f t="shared" si="44"/>
        <v>1291.75</v>
      </c>
      <c r="N106" s="60">
        <f t="shared" si="45"/>
        <v>193.76</v>
      </c>
      <c r="O106" s="51">
        <f t="shared" si="46"/>
        <v>0.74</v>
      </c>
      <c r="P106" s="51">
        <f t="shared" si="34"/>
        <v>0.14000000000000001</v>
      </c>
      <c r="Q106" s="34">
        <f t="shared" si="35"/>
        <v>1247.69</v>
      </c>
      <c r="R106" s="34">
        <f t="shared" si="47"/>
        <v>187.15</v>
      </c>
      <c r="S106">
        <v>1490</v>
      </c>
      <c r="T106" s="60">
        <f t="shared" si="48"/>
        <v>372.5</v>
      </c>
      <c r="U106" s="36">
        <f t="shared" si="36"/>
        <v>1991.7</v>
      </c>
      <c r="V106" s="9">
        <f t="shared" si="49"/>
        <v>11470.04</v>
      </c>
      <c r="W106" s="60">
        <v>4868064185.3299999</v>
      </c>
      <c r="X106" s="61">
        <v>59395</v>
      </c>
      <c r="Y106" s="17">
        <f t="shared" si="37"/>
        <v>81960.84</v>
      </c>
      <c r="Z106" s="37">
        <f t="shared" si="38"/>
        <v>0.41344900000000001</v>
      </c>
      <c r="AA106" s="61">
        <v>58843</v>
      </c>
      <c r="AB106" s="37">
        <f t="shared" si="39"/>
        <v>0.47954599999999997</v>
      </c>
      <c r="AC106" s="37">
        <f t="shared" si="58"/>
        <v>0.56672199999999995</v>
      </c>
      <c r="AD106" s="55">
        <f t="shared" si="50"/>
        <v>0.56672199999999995</v>
      </c>
      <c r="AE106" s="38">
        <f t="shared" si="40"/>
        <v>0.04</v>
      </c>
      <c r="AF106" s="58">
        <f t="shared" si="51"/>
        <v>0.60672199999999998</v>
      </c>
      <c r="AG106">
        <v>0</v>
      </c>
      <c r="AH106" s="61">
        <v>0</v>
      </c>
      <c r="AI106" s="11">
        <f t="shared" si="52"/>
        <v>0</v>
      </c>
      <c r="AJ106">
        <v>0</v>
      </c>
      <c r="AK106" s="67"/>
      <c r="AL106" s="11">
        <f t="shared" si="53"/>
        <v>0</v>
      </c>
      <c r="AM106" s="11">
        <f t="shared" si="41"/>
        <v>80203923</v>
      </c>
      <c r="AN106" s="11">
        <f t="shared" si="54"/>
        <v>80203923</v>
      </c>
      <c r="AO106" s="61">
        <v>66940902</v>
      </c>
      <c r="AP106" s="11">
        <f t="shared" si="55"/>
        <v>13263021</v>
      </c>
      <c r="AQ106" s="56" t="str">
        <f t="shared" si="56"/>
        <v>Yes</v>
      </c>
      <c r="AR106" s="35">
        <f>IF(AQ106="Yes",+AP106*$I$9,0)</f>
        <v>2210945.6006999998</v>
      </c>
      <c r="AS106" s="35">
        <f t="shared" si="57"/>
        <v>69151847.600700006</v>
      </c>
      <c r="AT106"/>
      <c r="AU106" s="35"/>
      <c r="AV106" s="53"/>
      <c r="AW106" s="35"/>
      <c r="AX106" s="21"/>
      <c r="AZ106" s="21"/>
      <c r="BA106" s="21"/>
      <c r="BE106" s="21"/>
      <c r="BF106" s="21"/>
      <c r="BG106" s="21"/>
      <c r="BH106" s="21"/>
      <c r="BI106" s="21"/>
    </row>
    <row r="107" spans="1:61" ht="14.35" x14ac:dyDescent="0.5">
      <c r="A107" s="8"/>
      <c r="B107" s="25"/>
      <c r="C107" s="25"/>
      <c r="D107">
        <v>124</v>
      </c>
      <c r="E107" s="8">
        <v>81</v>
      </c>
      <c r="F107" s="3" t="s">
        <v>168</v>
      </c>
      <c r="G107" s="54"/>
      <c r="H107">
        <v>1218.3</v>
      </c>
      <c r="I107" s="62"/>
      <c r="J107">
        <v>176</v>
      </c>
      <c r="K107" s="60">
        <f t="shared" si="42"/>
        <v>52.8</v>
      </c>
      <c r="L107" s="60">
        <f t="shared" si="43"/>
        <v>730.98</v>
      </c>
      <c r="M107" s="60">
        <f t="shared" si="44"/>
        <v>0</v>
      </c>
      <c r="N107" s="60">
        <f t="shared" si="45"/>
        <v>0</v>
      </c>
      <c r="O107" s="51">
        <f t="shared" si="46"/>
        <v>0.14000000000000001</v>
      </c>
      <c r="P107" s="51">
        <f t="shared" si="34"/>
        <v>0</v>
      </c>
      <c r="Q107" s="34">
        <f t="shared" si="35"/>
        <v>0</v>
      </c>
      <c r="R107" s="34">
        <f t="shared" si="47"/>
        <v>0</v>
      </c>
      <c r="S107">
        <v>26</v>
      </c>
      <c r="T107" s="60">
        <f t="shared" si="48"/>
        <v>6.5</v>
      </c>
      <c r="U107" s="36">
        <f t="shared" si="36"/>
        <v>52.8</v>
      </c>
      <c r="V107" s="9">
        <f t="shared" si="49"/>
        <v>1277.5999999999999</v>
      </c>
      <c r="W107" s="60">
        <v>1435240925.3299999</v>
      </c>
      <c r="X107" s="61">
        <v>7798</v>
      </c>
      <c r="Y107" s="17">
        <f t="shared" si="37"/>
        <v>184052.44</v>
      </c>
      <c r="Z107" s="37">
        <f t="shared" si="38"/>
        <v>0.92844700000000002</v>
      </c>
      <c r="AA107" s="61">
        <v>121122</v>
      </c>
      <c r="AB107" s="37">
        <f t="shared" si="39"/>
        <v>0.98709499999999994</v>
      </c>
      <c r="AC107" s="37">
        <f t="shared" si="58"/>
        <v>5.3959E-2</v>
      </c>
      <c r="AD107" s="55">
        <f t="shared" si="50"/>
        <v>5.3959E-2</v>
      </c>
      <c r="AE107" s="38">
        <f t="shared" si="40"/>
        <v>0</v>
      </c>
      <c r="AF107" s="58">
        <f t="shared" si="51"/>
        <v>5.3959E-2</v>
      </c>
      <c r="AG107">
        <v>1222</v>
      </c>
      <c r="AH107" s="61">
        <v>13</v>
      </c>
      <c r="AI107" s="11">
        <f t="shared" si="52"/>
        <v>1588600</v>
      </c>
      <c r="AJ107">
        <v>0</v>
      </c>
      <c r="AK107" s="67"/>
      <c r="AL107" s="11">
        <f t="shared" si="53"/>
        <v>0</v>
      </c>
      <c r="AM107" s="11">
        <f t="shared" si="41"/>
        <v>794511</v>
      </c>
      <c r="AN107" s="11">
        <f t="shared" si="54"/>
        <v>2383111</v>
      </c>
      <c r="AO107" s="61">
        <v>1026996</v>
      </c>
      <c r="AP107" s="11">
        <f t="shared" si="55"/>
        <v>1356115</v>
      </c>
      <c r="AQ107" s="56" t="str">
        <f t="shared" si="56"/>
        <v>Yes</v>
      </c>
      <c r="AR107" s="35">
        <f>IF(AQ107="Yes",+AP107*$I$9,0)</f>
        <v>226064.37049999999</v>
      </c>
      <c r="AS107" s="35">
        <f t="shared" si="57"/>
        <v>1253060.3705</v>
      </c>
      <c r="AT107"/>
      <c r="AU107" s="35"/>
      <c r="AV107" s="53"/>
      <c r="AW107" s="35"/>
      <c r="AX107" s="21"/>
      <c r="AZ107" s="21"/>
      <c r="BA107" s="21"/>
      <c r="BE107" s="21"/>
      <c r="BF107" s="21"/>
      <c r="BG107" s="21"/>
      <c r="BH107" s="21"/>
      <c r="BI107" s="21"/>
    </row>
    <row r="108" spans="1:61" ht="14.35" x14ac:dyDescent="0.5">
      <c r="A108" s="8"/>
      <c r="B108" s="25"/>
      <c r="C108" s="25"/>
      <c r="D108">
        <v>86</v>
      </c>
      <c r="E108" s="8">
        <v>82</v>
      </c>
      <c r="F108" s="3" t="s">
        <v>169</v>
      </c>
      <c r="G108" s="54"/>
      <c r="H108">
        <v>490.46</v>
      </c>
      <c r="I108" s="62"/>
      <c r="J108">
        <v>91</v>
      </c>
      <c r="K108" s="60">
        <f t="shared" si="42"/>
        <v>27.3</v>
      </c>
      <c r="L108" s="60">
        <f t="shared" si="43"/>
        <v>294.27999999999997</v>
      </c>
      <c r="M108" s="60">
        <f t="shared" si="44"/>
        <v>0</v>
      </c>
      <c r="N108" s="60">
        <f t="shared" si="45"/>
        <v>0</v>
      </c>
      <c r="O108" s="51">
        <f t="shared" si="46"/>
        <v>0.19</v>
      </c>
      <c r="P108" s="51">
        <f t="shared" si="34"/>
        <v>0</v>
      </c>
      <c r="Q108" s="34">
        <f t="shared" si="35"/>
        <v>0</v>
      </c>
      <c r="R108" s="34">
        <f t="shared" si="47"/>
        <v>0</v>
      </c>
      <c r="S108">
        <v>5</v>
      </c>
      <c r="T108" s="60">
        <f t="shared" si="48"/>
        <v>1.25</v>
      </c>
      <c r="U108" s="36">
        <f t="shared" si="36"/>
        <v>27.3</v>
      </c>
      <c r="V108" s="9">
        <f t="shared" si="49"/>
        <v>519.01</v>
      </c>
      <c r="W108" s="60">
        <v>645093777.66999996</v>
      </c>
      <c r="X108" s="61">
        <v>4374</v>
      </c>
      <c r="Y108" s="17">
        <f t="shared" si="37"/>
        <v>147483.72</v>
      </c>
      <c r="Z108" s="37">
        <f t="shared" si="38"/>
        <v>0.743977</v>
      </c>
      <c r="AA108" s="61">
        <v>96111</v>
      </c>
      <c r="AB108" s="37">
        <f t="shared" si="39"/>
        <v>0.78326499999999999</v>
      </c>
      <c r="AC108" s="37">
        <f t="shared" si="58"/>
        <v>0.24423700000000001</v>
      </c>
      <c r="AD108" s="55">
        <f t="shared" si="50"/>
        <v>0.24423700000000001</v>
      </c>
      <c r="AE108" s="38">
        <f t="shared" si="40"/>
        <v>0</v>
      </c>
      <c r="AF108" s="58">
        <f t="shared" si="51"/>
        <v>0.24423700000000001</v>
      </c>
      <c r="AG108">
        <v>490</v>
      </c>
      <c r="AH108" s="61">
        <v>13</v>
      </c>
      <c r="AI108" s="11">
        <f t="shared" si="52"/>
        <v>637000</v>
      </c>
      <c r="AJ108">
        <v>0</v>
      </c>
      <c r="AK108" s="67"/>
      <c r="AL108" s="11">
        <f t="shared" si="53"/>
        <v>0</v>
      </c>
      <c r="AM108" s="11">
        <f t="shared" si="41"/>
        <v>1460926</v>
      </c>
      <c r="AN108" s="11">
        <f t="shared" si="54"/>
        <v>2097926</v>
      </c>
      <c r="AO108" s="61">
        <v>1846203</v>
      </c>
      <c r="AP108" s="11">
        <f t="shared" si="55"/>
        <v>251723</v>
      </c>
      <c r="AQ108" s="56" t="str">
        <f t="shared" si="56"/>
        <v>Yes</v>
      </c>
      <c r="AR108" s="35">
        <f>IF(AQ108="Yes",+AP108*$I$9,0)</f>
        <v>41962.224099999999</v>
      </c>
      <c r="AS108" s="35">
        <f t="shared" si="57"/>
        <v>1888165.2241</v>
      </c>
      <c r="AT108"/>
      <c r="AU108" s="35"/>
      <c r="AV108" s="53"/>
      <c r="AW108" s="35"/>
      <c r="AX108" s="21"/>
      <c r="AZ108" s="21"/>
      <c r="BA108" s="21"/>
      <c r="BE108" s="21"/>
      <c r="BF108" s="21"/>
      <c r="BG108" s="21"/>
      <c r="BH108" s="21"/>
      <c r="BI108" s="21"/>
    </row>
    <row r="109" spans="1:61" ht="14.35" x14ac:dyDescent="0.5">
      <c r="A109" s="8"/>
      <c r="B109" s="25">
        <v>1</v>
      </c>
      <c r="C109" s="25">
        <f>+A109+B109</f>
        <v>1</v>
      </c>
      <c r="D109">
        <v>25</v>
      </c>
      <c r="E109" s="8">
        <v>83</v>
      </c>
      <c r="F109" s="3" t="s">
        <v>170</v>
      </c>
      <c r="G109" s="54"/>
      <c r="H109">
        <v>4531</v>
      </c>
      <c r="I109" s="63"/>
      <c r="J109">
        <v>1723</v>
      </c>
      <c r="K109" s="60">
        <f t="shared" si="42"/>
        <v>516.9</v>
      </c>
      <c r="L109" s="60">
        <f t="shared" si="43"/>
        <v>2718.6</v>
      </c>
      <c r="M109" s="60">
        <f t="shared" si="44"/>
        <v>0</v>
      </c>
      <c r="N109" s="60">
        <f t="shared" si="45"/>
        <v>0</v>
      </c>
      <c r="O109" s="51">
        <f t="shared" si="46"/>
        <v>0.38</v>
      </c>
      <c r="P109" s="51">
        <f t="shared" si="34"/>
        <v>0</v>
      </c>
      <c r="Q109" s="34">
        <f t="shared" si="35"/>
        <v>0</v>
      </c>
      <c r="R109" s="34">
        <f t="shared" si="47"/>
        <v>0</v>
      </c>
      <c r="S109">
        <v>192</v>
      </c>
      <c r="T109" s="60">
        <f t="shared" si="48"/>
        <v>48</v>
      </c>
      <c r="U109" s="36">
        <f t="shared" si="36"/>
        <v>516.9</v>
      </c>
      <c r="V109" s="9">
        <f t="shared" si="49"/>
        <v>5095.8999999999996</v>
      </c>
      <c r="W109" s="60">
        <v>5264633448.3299999</v>
      </c>
      <c r="X109" s="61">
        <v>46258</v>
      </c>
      <c r="Y109" s="17">
        <f t="shared" si="37"/>
        <v>113810.23</v>
      </c>
      <c r="Z109" s="37">
        <f t="shared" si="38"/>
        <v>0.57411199999999996</v>
      </c>
      <c r="AA109" s="61">
        <v>65572</v>
      </c>
      <c r="AB109" s="37">
        <f t="shared" si="39"/>
        <v>0.534385</v>
      </c>
      <c r="AC109" s="37">
        <f t="shared" si="58"/>
        <v>0.43780599999999997</v>
      </c>
      <c r="AD109" s="55">
        <f t="shared" si="50"/>
        <v>0.43780599999999997</v>
      </c>
      <c r="AE109" s="38">
        <f t="shared" si="40"/>
        <v>0</v>
      </c>
      <c r="AF109" s="58">
        <f t="shared" si="51"/>
        <v>0.43780599999999997</v>
      </c>
      <c r="AG109">
        <v>0</v>
      </c>
      <c r="AH109" s="61">
        <v>0</v>
      </c>
      <c r="AI109" s="11">
        <f t="shared" si="52"/>
        <v>0</v>
      </c>
      <c r="AJ109">
        <v>0</v>
      </c>
      <c r="AK109" s="67"/>
      <c r="AL109" s="11">
        <f t="shared" si="53"/>
        <v>0</v>
      </c>
      <c r="AM109" s="11">
        <f t="shared" si="41"/>
        <v>25712455</v>
      </c>
      <c r="AN109" s="11">
        <f t="shared" si="54"/>
        <v>25712455</v>
      </c>
      <c r="AO109" s="61">
        <v>22274221</v>
      </c>
      <c r="AP109" s="11">
        <f t="shared" si="55"/>
        <v>3438234</v>
      </c>
      <c r="AQ109" s="56" t="str">
        <f t="shared" si="56"/>
        <v>Yes</v>
      </c>
      <c r="AR109" s="35">
        <f>IF(AQ109="Yes",+AP109*$I$9,0)</f>
        <v>573153.6078</v>
      </c>
      <c r="AS109" s="35">
        <f t="shared" si="57"/>
        <v>22847374.607799999</v>
      </c>
      <c r="AT109"/>
      <c r="AU109" s="35"/>
      <c r="AV109" s="53"/>
      <c r="AW109" s="35"/>
      <c r="AX109" s="21"/>
      <c r="AZ109" s="21"/>
      <c r="BA109" s="21"/>
      <c r="BE109" s="21"/>
      <c r="BF109" s="21"/>
      <c r="BG109" s="21"/>
      <c r="BH109" s="21"/>
      <c r="BI109" s="21"/>
    </row>
    <row r="110" spans="1:61" ht="14.35" x14ac:dyDescent="0.5">
      <c r="A110" s="8"/>
      <c r="B110" s="25"/>
      <c r="C110" s="25"/>
      <c r="D110">
        <v>80</v>
      </c>
      <c r="E110" s="8">
        <v>84</v>
      </c>
      <c r="F110" s="3" t="s">
        <v>171</v>
      </c>
      <c r="G110" s="54"/>
      <c r="H110">
        <v>5391.08</v>
      </c>
      <c r="I110" s="62"/>
      <c r="J110">
        <v>1471</v>
      </c>
      <c r="K110" s="60">
        <f t="shared" si="42"/>
        <v>441.3</v>
      </c>
      <c r="L110" s="60">
        <f t="shared" si="43"/>
        <v>3234.65</v>
      </c>
      <c r="M110" s="60">
        <f t="shared" si="44"/>
        <v>0</v>
      </c>
      <c r="N110" s="60">
        <f t="shared" si="45"/>
        <v>0</v>
      </c>
      <c r="O110" s="51">
        <f t="shared" si="46"/>
        <v>0.27</v>
      </c>
      <c r="P110" s="51">
        <f t="shared" si="34"/>
        <v>0</v>
      </c>
      <c r="Q110" s="34">
        <f t="shared" si="35"/>
        <v>0</v>
      </c>
      <c r="R110" s="34">
        <f t="shared" si="47"/>
        <v>0</v>
      </c>
      <c r="S110">
        <v>135</v>
      </c>
      <c r="T110" s="60">
        <f t="shared" si="48"/>
        <v>33.75</v>
      </c>
      <c r="U110" s="36">
        <f t="shared" si="36"/>
        <v>441.3</v>
      </c>
      <c r="V110" s="9">
        <f t="shared" si="49"/>
        <v>5866.13</v>
      </c>
      <c r="W110" s="60">
        <v>10007416533.67</v>
      </c>
      <c r="X110" s="61">
        <v>54747</v>
      </c>
      <c r="Y110" s="17">
        <f t="shared" si="37"/>
        <v>182793.88</v>
      </c>
      <c r="Z110" s="37">
        <f t="shared" si="38"/>
        <v>0.92209799999999997</v>
      </c>
      <c r="AA110" s="61">
        <v>91799</v>
      </c>
      <c r="AB110" s="37">
        <f t="shared" si="39"/>
        <v>0.74812400000000001</v>
      </c>
      <c r="AC110" s="37">
        <f t="shared" si="58"/>
        <v>0.13009399999999999</v>
      </c>
      <c r="AD110" s="55">
        <f t="shared" si="50"/>
        <v>0.13009399999999999</v>
      </c>
      <c r="AE110" s="38">
        <f t="shared" si="40"/>
        <v>0</v>
      </c>
      <c r="AF110" s="58">
        <f t="shared" si="51"/>
        <v>0.13009399999999999</v>
      </c>
      <c r="AG110">
        <v>0</v>
      </c>
      <c r="AH110" s="61">
        <v>0</v>
      </c>
      <c r="AI110" s="11">
        <f t="shared" si="52"/>
        <v>0</v>
      </c>
      <c r="AJ110">
        <v>0</v>
      </c>
      <c r="AK110" s="67"/>
      <c r="AL110" s="11">
        <f t="shared" si="53"/>
        <v>0</v>
      </c>
      <c r="AM110" s="11">
        <f t="shared" si="41"/>
        <v>8795284</v>
      </c>
      <c r="AN110" s="11">
        <f t="shared" si="54"/>
        <v>8795284</v>
      </c>
      <c r="AO110" s="61">
        <v>9673235</v>
      </c>
      <c r="AP110" s="11">
        <f t="shared" si="55"/>
        <v>0</v>
      </c>
      <c r="AQ110" s="56" t="str">
        <f t="shared" si="56"/>
        <v>No</v>
      </c>
      <c r="AR110" s="35">
        <f>IF(AQ110="Yes",+AP110*$I$9,0)</f>
        <v>0</v>
      </c>
      <c r="AS110" s="35">
        <f t="shared" si="57"/>
        <v>9673235</v>
      </c>
      <c r="AT110"/>
      <c r="AU110" s="35"/>
      <c r="AV110" s="53"/>
      <c r="AW110" s="35"/>
      <c r="AX110" s="21"/>
      <c r="AZ110" s="21"/>
      <c r="BA110" s="21"/>
      <c r="BE110" s="21"/>
      <c r="BF110" s="21"/>
      <c r="BG110" s="21"/>
      <c r="BH110" s="21"/>
      <c r="BI110" s="21"/>
    </row>
    <row r="111" spans="1:61" ht="14.35" x14ac:dyDescent="0.5">
      <c r="A111" s="8"/>
      <c r="B111" s="25"/>
      <c r="C111" s="25"/>
      <c r="D111">
        <v>71</v>
      </c>
      <c r="E111" s="8">
        <v>85</v>
      </c>
      <c r="F111" s="3" t="s">
        <v>172</v>
      </c>
      <c r="G111" s="54"/>
      <c r="H111">
        <v>3347.41</v>
      </c>
      <c r="I111" s="62"/>
      <c r="J111">
        <v>337</v>
      </c>
      <c r="K111" s="60">
        <f t="shared" si="42"/>
        <v>101.1</v>
      </c>
      <c r="L111" s="60">
        <f t="shared" si="43"/>
        <v>2008.45</v>
      </c>
      <c r="M111" s="60">
        <f t="shared" si="44"/>
        <v>0</v>
      </c>
      <c r="N111" s="60">
        <f t="shared" si="45"/>
        <v>0</v>
      </c>
      <c r="O111" s="51">
        <f t="shared" si="46"/>
        <v>0.1</v>
      </c>
      <c r="P111" s="51">
        <f t="shared" si="34"/>
        <v>0</v>
      </c>
      <c r="Q111" s="34">
        <f t="shared" si="35"/>
        <v>0</v>
      </c>
      <c r="R111" s="34">
        <f t="shared" si="47"/>
        <v>0</v>
      </c>
      <c r="S111">
        <v>43</v>
      </c>
      <c r="T111" s="60">
        <f t="shared" si="48"/>
        <v>10.75</v>
      </c>
      <c r="U111" s="36">
        <f t="shared" si="36"/>
        <v>101.1</v>
      </c>
      <c r="V111" s="9">
        <f t="shared" si="49"/>
        <v>3459.2599999999998</v>
      </c>
      <c r="W111" s="60">
        <v>3241782050.6700001</v>
      </c>
      <c r="X111" s="61">
        <v>19434</v>
      </c>
      <c r="Y111" s="17">
        <f t="shared" si="37"/>
        <v>166809.82</v>
      </c>
      <c r="Z111" s="37">
        <f t="shared" si="38"/>
        <v>0.84146699999999996</v>
      </c>
      <c r="AA111" s="61">
        <v>118669</v>
      </c>
      <c r="AB111" s="37">
        <f t="shared" si="39"/>
        <v>0.96710399999999996</v>
      </c>
      <c r="AC111" s="37">
        <f t="shared" si="58"/>
        <v>0.120842</v>
      </c>
      <c r="AD111" s="55">
        <f t="shared" si="50"/>
        <v>0.120842</v>
      </c>
      <c r="AE111" s="38">
        <f t="shared" si="40"/>
        <v>0</v>
      </c>
      <c r="AF111" s="58">
        <f t="shared" si="51"/>
        <v>0.120842</v>
      </c>
      <c r="AG111">
        <v>0</v>
      </c>
      <c r="AH111" s="61">
        <v>0</v>
      </c>
      <c r="AI111" s="11">
        <f t="shared" si="52"/>
        <v>0</v>
      </c>
      <c r="AJ111">
        <v>0</v>
      </c>
      <c r="AK111" s="67"/>
      <c r="AL111" s="11">
        <f t="shared" si="53"/>
        <v>0</v>
      </c>
      <c r="AM111" s="11">
        <f t="shared" si="41"/>
        <v>4817725</v>
      </c>
      <c r="AN111" s="11">
        <f t="shared" si="54"/>
        <v>4817725</v>
      </c>
      <c r="AO111" s="61">
        <v>5272935</v>
      </c>
      <c r="AP111" s="11">
        <f t="shared" si="55"/>
        <v>0</v>
      </c>
      <c r="AQ111" s="56" t="str">
        <f t="shared" si="56"/>
        <v>No</v>
      </c>
      <c r="AR111" s="35">
        <f>IF(AQ111="Yes",+AP111*$I$9,0)</f>
        <v>0</v>
      </c>
      <c r="AS111" s="35">
        <f t="shared" si="57"/>
        <v>5272935</v>
      </c>
      <c r="AT111"/>
      <c r="AU111" s="35"/>
      <c r="AV111" s="53"/>
      <c r="AW111" s="35"/>
      <c r="AX111" s="21"/>
      <c r="AZ111" s="21"/>
      <c r="BA111" s="21"/>
      <c r="BE111" s="21"/>
      <c r="BF111" s="21"/>
      <c r="BG111" s="21"/>
      <c r="BH111" s="21"/>
      <c r="BI111" s="21"/>
    </row>
    <row r="112" spans="1:61" ht="14.35" x14ac:dyDescent="0.5">
      <c r="A112" s="8"/>
      <c r="B112" s="25"/>
      <c r="C112" s="25"/>
      <c r="D112">
        <v>24</v>
      </c>
      <c r="E112" s="8">
        <v>86</v>
      </c>
      <c r="F112" s="3" t="s">
        <v>173</v>
      </c>
      <c r="G112" s="54"/>
      <c r="H112">
        <v>2167.65</v>
      </c>
      <c r="I112" s="63"/>
      <c r="J112">
        <v>927</v>
      </c>
      <c r="K112" s="60">
        <f t="shared" si="42"/>
        <v>278.10000000000002</v>
      </c>
      <c r="L112" s="60">
        <f t="shared" si="43"/>
        <v>1300.5899999999999</v>
      </c>
      <c r="M112" s="60">
        <f t="shared" si="44"/>
        <v>0</v>
      </c>
      <c r="N112" s="60">
        <f t="shared" si="45"/>
        <v>0</v>
      </c>
      <c r="O112" s="51">
        <f t="shared" si="46"/>
        <v>0.43</v>
      </c>
      <c r="P112" s="51">
        <f t="shared" si="34"/>
        <v>0</v>
      </c>
      <c r="Q112" s="34">
        <f t="shared" si="35"/>
        <v>0</v>
      </c>
      <c r="R112" s="34">
        <f t="shared" si="47"/>
        <v>0</v>
      </c>
      <c r="S112">
        <v>94</v>
      </c>
      <c r="T112" s="60">
        <f t="shared" si="48"/>
        <v>23.5</v>
      </c>
      <c r="U112" s="36">
        <f t="shared" si="36"/>
        <v>278.10000000000002</v>
      </c>
      <c r="V112" s="9">
        <f t="shared" si="49"/>
        <v>2469.25</v>
      </c>
      <c r="W112" s="60">
        <v>1995547012.3299999</v>
      </c>
      <c r="X112" s="61">
        <v>18508</v>
      </c>
      <c r="Y112" s="17">
        <f t="shared" si="37"/>
        <v>107820.78</v>
      </c>
      <c r="Z112" s="37">
        <f t="shared" si="38"/>
        <v>0.54389900000000002</v>
      </c>
      <c r="AA112" s="61">
        <v>74106</v>
      </c>
      <c r="AB112" s="37">
        <f t="shared" si="39"/>
        <v>0.60393399999999997</v>
      </c>
      <c r="AC112" s="37">
        <f t="shared" si="58"/>
        <v>0.43809100000000001</v>
      </c>
      <c r="AD112" s="55">
        <f t="shared" si="50"/>
        <v>0.43809100000000001</v>
      </c>
      <c r="AE112" s="38">
        <f t="shared" si="40"/>
        <v>0</v>
      </c>
      <c r="AF112" s="58">
        <f t="shared" si="51"/>
        <v>0.43809100000000001</v>
      </c>
      <c r="AG112">
        <v>0</v>
      </c>
      <c r="AH112" s="61">
        <v>0</v>
      </c>
      <c r="AI112" s="11">
        <f t="shared" si="52"/>
        <v>0</v>
      </c>
      <c r="AJ112">
        <v>1</v>
      </c>
      <c r="AK112" s="67">
        <v>4</v>
      </c>
      <c r="AL112" s="11">
        <f t="shared" si="53"/>
        <v>400</v>
      </c>
      <c r="AM112" s="11">
        <f t="shared" si="41"/>
        <v>12467240</v>
      </c>
      <c r="AN112" s="11">
        <f t="shared" si="54"/>
        <v>12467640</v>
      </c>
      <c r="AO112" s="61">
        <v>12802864</v>
      </c>
      <c r="AP112" s="11">
        <f t="shared" si="55"/>
        <v>0</v>
      </c>
      <c r="AQ112" s="56" t="str">
        <f t="shared" si="56"/>
        <v>No</v>
      </c>
      <c r="AR112" s="35">
        <f>IF(AQ112="Yes",+AP112*$I$9,0)</f>
        <v>0</v>
      </c>
      <c r="AS112" s="35">
        <f t="shared" si="57"/>
        <v>12802864</v>
      </c>
      <c r="AT112"/>
      <c r="AU112" s="35"/>
      <c r="AV112" s="53"/>
      <c r="AW112" s="35"/>
      <c r="AX112" s="21"/>
      <c r="AZ112" s="21"/>
      <c r="BA112" s="21"/>
      <c r="BE112" s="21"/>
      <c r="BF112" s="21"/>
      <c r="BG112" s="21"/>
      <c r="BH112" s="21"/>
      <c r="BI112" s="21"/>
    </row>
    <row r="113" spans="1:61" ht="14.35" x14ac:dyDescent="0.5">
      <c r="A113" s="8"/>
      <c r="B113" s="25"/>
      <c r="C113" s="25"/>
      <c r="D113">
        <v>139</v>
      </c>
      <c r="E113" s="8">
        <v>87</v>
      </c>
      <c r="F113" s="3" t="s">
        <v>174</v>
      </c>
      <c r="G113" s="54"/>
      <c r="H113">
        <v>223.3</v>
      </c>
      <c r="I113" s="62"/>
      <c r="J113">
        <v>55</v>
      </c>
      <c r="K113" s="60">
        <f t="shared" si="42"/>
        <v>16.5</v>
      </c>
      <c r="L113" s="60">
        <f t="shared" si="43"/>
        <v>133.97999999999999</v>
      </c>
      <c r="M113" s="60">
        <f t="shared" si="44"/>
        <v>0</v>
      </c>
      <c r="N113" s="60">
        <f t="shared" si="45"/>
        <v>0</v>
      </c>
      <c r="O113" s="51">
        <f t="shared" si="46"/>
        <v>0.25</v>
      </c>
      <c r="P113" s="51">
        <f t="shared" si="34"/>
        <v>0</v>
      </c>
      <c r="Q113" s="34">
        <f t="shared" si="35"/>
        <v>0</v>
      </c>
      <c r="R113" s="34">
        <f t="shared" si="47"/>
        <v>0</v>
      </c>
      <c r="S113">
        <v>7</v>
      </c>
      <c r="T113" s="60">
        <f t="shared" si="48"/>
        <v>1.75</v>
      </c>
      <c r="U113" s="36">
        <f t="shared" si="36"/>
        <v>16.5</v>
      </c>
      <c r="V113" s="9">
        <f t="shared" si="49"/>
        <v>241.55</v>
      </c>
      <c r="W113" s="60">
        <v>507394922.32999998</v>
      </c>
      <c r="X113" s="61">
        <v>2254</v>
      </c>
      <c r="Y113" s="17">
        <f t="shared" si="37"/>
        <v>225108.66</v>
      </c>
      <c r="Z113" s="37">
        <f t="shared" si="38"/>
        <v>1.135554</v>
      </c>
      <c r="AA113" s="61">
        <v>87308</v>
      </c>
      <c r="AB113" s="37">
        <f t="shared" si="39"/>
        <v>0.71152400000000005</v>
      </c>
      <c r="AC113" s="37">
        <f t="shared" si="58"/>
        <v>-8.345E-3</v>
      </c>
      <c r="AD113" s="55">
        <f t="shared" si="50"/>
        <v>0.01</v>
      </c>
      <c r="AE113" s="38">
        <f t="shared" si="40"/>
        <v>0</v>
      </c>
      <c r="AF113" s="58">
        <f t="shared" si="51"/>
        <v>0.01</v>
      </c>
      <c r="AG113">
        <v>226</v>
      </c>
      <c r="AH113" s="61">
        <v>13</v>
      </c>
      <c r="AI113" s="11">
        <f t="shared" si="52"/>
        <v>293800</v>
      </c>
      <c r="AJ113">
        <v>0</v>
      </c>
      <c r="AK113" s="67"/>
      <c r="AL113" s="11">
        <f t="shared" si="53"/>
        <v>0</v>
      </c>
      <c r="AM113" s="11">
        <f t="shared" si="41"/>
        <v>27839</v>
      </c>
      <c r="AN113" s="11">
        <f t="shared" si="54"/>
        <v>321639</v>
      </c>
      <c r="AO113" s="61">
        <v>132148</v>
      </c>
      <c r="AP113" s="11">
        <f t="shared" si="55"/>
        <v>189491</v>
      </c>
      <c r="AQ113" s="56" t="str">
        <f t="shared" si="56"/>
        <v>Yes</v>
      </c>
      <c r="AR113" s="35">
        <f>IF(AQ113="Yes",+AP113*$I$9,0)</f>
        <v>31588.149699999998</v>
      </c>
      <c r="AS113" s="35">
        <f t="shared" si="57"/>
        <v>163736.14970000001</v>
      </c>
      <c r="AT113"/>
      <c r="AU113" s="35"/>
      <c r="AV113" s="53"/>
      <c r="AW113" s="35"/>
      <c r="AX113" s="21"/>
      <c r="AZ113" s="21"/>
      <c r="BA113" s="21"/>
      <c r="BE113" s="21"/>
      <c r="BF113" s="21"/>
      <c r="BG113" s="21"/>
      <c r="BH113" s="21"/>
      <c r="BI113" s="21"/>
    </row>
    <row r="114" spans="1:61" ht="14.35" x14ac:dyDescent="0.5">
      <c r="A114" s="8"/>
      <c r="B114" s="25">
        <v>1</v>
      </c>
      <c r="C114" s="25">
        <f>+A114+B114</f>
        <v>1</v>
      </c>
      <c r="D114">
        <v>15</v>
      </c>
      <c r="E114" s="8">
        <v>88</v>
      </c>
      <c r="F114" s="3" t="s">
        <v>175</v>
      </c>
      <c r="G114" s="54"/>
      <c r="H114">
        <v>4603.55</v>
      </c>
      <c r="I114" s="63"/>
      <c r="J114">
        <v>2481</v>
      </c>
      <c r="K114" s="60">
        <f t="shared" si="42"/>
        <v>744.3</v>
      </c>
      <c r="L114" s="60">
        <f t="shared" si="43"/>
        <v>2762.13</v>
      </c>
      <c r="M114" s="60">
        <f t="shared" si="44"/>
        <v>0</v>
      </c>
      <c r="N114" s="60">
        <f t="shared" si="45"/>
        <v>0</v>
      </c>
      <c r="O114" s="51">
        <f t="shared" si="46"/>
        <v>0.54</v>
      </c>
      <c r="P114" s="51">
        <f t="shared" si="34"/>
        <v>0</v>
      </c>
      <c r="Q114" s="34">
        <f t="shared" si="35"/>
        <v>0</v>
      </c>
      <c r="R114" s="34">
        <f t="shared" si="47"/>
        <v>0</v>
      </c>
      <c r="S114">
        <v>378</v>
      </c>
      <c r="T114" s="60">
        <f t="shared" si="48"/>
        <v>94.5</v>
      </c>
      <c r="U114" s="36">
        <f t="shared" si="36"/>
        <v>744.3</v>
      </c>
      <c r="V114" s="9">
        <f t="shared" si="49"/>
        <v>5442.35</v>
      </c>
      <c r="W114" s="60">
        <v>2524099077</v>
      </c>
      <c r="X114" s="61">
        <v>31108</v>
      </c>
      <c r="Y114" s="17">
        <f t="shared" si="37"/>
        <v>81139.87</v>
      </c>
      <c r="Z114" s="37">
        <f t="shared" si="38"/>
        <v>0.40930800000000001</v>
      </c>
      <c r="AA114" s="61">
        <v>74944</v>
      </c>
      <c r="AB114" s="37">
        <f t="shared" si="39"/>
        <v>0.61076299999999994</v>
      </c>
      <c r="AC114" s="37">
        <f t="shared" si="58"/>
        <v>0.53025599999999995</v>
      </c>
      <c r="AD114" s="55">
        <f t="shared" si="50"/>
        <v>0.53025599999999995</v>
      </c>
      <c r="AE114" s="38">
        <f t="shared" si="40"/>
        <v>0.04</v>
      </c>
      <c r="AF114" s="58">
        <f t="shared" si="51"/>
        <v>0.57025599999999999</v>
      </c>
      <c r="AG114">
        <v>0</v>
      </c>
      <c r="AH114" s="61">
        <v>0</v>
      </c>
      <c r="AI114" s="11">
        <f t="shared" si="52"/>
        <v>0</v>
      </c>
      <c r="AJ114">
        <v>0</v>
      </c>
      <c r="AK114" s="67"/>
      <c r="AL114" s="11">
        <f t="shared" si="53"/>
        <v>0</v>
      </c>
      <c r="AM114" s="11">
        <f t="shared" si="41"/>
        <v>35768215</v>
      </c>
      <c r="AN114" s="11">
        <f t="shared" si="54"/>
        <v>35768215</v>
      </c>
      <c r="AO114" s="61">
        <v>32702839</v>
      </c>
      <c r="AP114" s="11">
        <f t="shared" si="55"/>
        <v>3065376</v>
      </c>
      <c r="AQ114" s="56" t="str">
        <f t="shared" si="56"/>
        <v>Yes</v>
      </c>
      <c r="AR114" s="35">
        <f>IF(AQ114="Yes",+AP114*$I$9,0)</f>
        <v>510998.17919999996</v>
      </c>
      <c r="AS114" s="35">
        <f t="shared" si="57"/>
        <v>33213837.179200001</v>
      </c>
      <c r="AT114"/>
      <c r="AU114" s="35"/>
      <c r="AV114" s="53"/>
      <c r="AW114" s="35"/>
      <c r="AX114" s="21"/>
      <c r="AZ114" s="21"/>
      <c r="BA114" s="21"/>
      <c r="BE114" s="21"/>
      <c r="BF114" s="21"/>
      <c r="BG114" s="21"/>
      <c r="BH114" s="21"/>
      <c r="BI114" s="21"/>
    </row>
    <row r="115" spans="1:61" ht="14.35" x14ac:dyDescent="0.5">
      <c r="A115" s="8">
        <v>1</v>
      </c>
      <c r="B115" s="25">
        <v>1</v>
      </c>
      <c r="C115" s="25">
        <f>+A115+B115</f>
        <v>2</v>
      </c>
      <c r="D115">
        <v>3</v>
      </c>
      <c r="E115" s="8">
        <v>89</v>
      </c>
      <c r="F115" s="3" t="s">
        <v>176</v>
      </c>
      <c r="G115" s="54"/>
      <c r="H115">
        <v>11201.14</v>
      </c>
      <c r="I115" s="63"/>
      <c r="J115">
        <v>8256</v>
      </c>
      <c r="K115" s="60">
        <f t="shared" si="42"/>
        <v>2476.8000000000002</v>
      </c>
      <c r="L115" s="60">
        <f t="shared" si="43"/>
        <v>6720.68</v>
      </c>
      <c r="M115" s="60">
        <f t="shared" si="44"/>
        <v>1535.3199999999997</v>
      </c>
      <c r="N115" s="60">
        <f t="shared" si="45"/>
        <v>230.3</v>
      </c>
      <c r="O115" s="51">
        <f t="shared" si="46"/>
        <v>0.74</v>
      </c>
      <c r="P115" s="51">
        <f t="shared" si="34"/>
        <v>0.14000000000000001</v>
      </c>
      <c r="Q115" s="34">
        <f t="shared" si="35"/>
        <v>1568.16</v>
      </c>
      <c r="R115" s="34">
        <f t="shared" si="47"/>
        <v>235.22</v>
      </c>
      <c r="S115">
        <v>1790</v>
      </c>
      <c r="T115" s="60">
        <f t="shared" si="48"/>
        <v>447.5</v>
      </c>
      <c r="U115" s="36">
        <f t="shared" si="36"/>
        <v>2476.8000000000002</v>
      </c>
      <c r="V115" s="9">
        <f t="shared" si="49"/>
        <v>14355.739999999998</v>
      </c>
      <c r="W115" s="60">
        <v>4183049127</v>
      </c>
      <c r="X115" s="61">
        <v>72495</v>
      </c>
      <c r="Y115" s="17">
        <f t="shared" si="37"/>
        <v>57701.21</v>
      </c>
      <c r="Z115" s="37">
        <f t="shared" si="38"/>
        <v>0.291072</v>
      </c>
      <c r="AA115" s="61">
        <v>46499</v>
      </c>
      <c r="AB115" s="37">
        <f t="shared" si="39"/>
        <v>0.37894800000000001</v>
      </c>
      <c r="AC115" s="37">
        <f t="shared" si="58"/>
        <v>0.68256499999999998</v>
      </c>
      <c r="AD115" s="55">
        <f t="shared" si="50"/>
        <v>0.68256499999999998</v>
      </c>
      <c r="AE115" s="38">
        <f t="shared" si="40"/>
        <v>0.06</v>
      </c>
      <c r="AF115" s="58">
        <f t="shared" si="51"/>
        <v>0.74256499999999992</v>
      </c>
      <c r="AG115">
        <v>0</v>
      </c>
      <c r="AH115" s="61">
        <v>0</v>
      </c>
      <c r="AI115" s="11">
        <f t="shared" si="52"/>
        <v>0</v>
      </c>
      <c r="AJ115">
        <v>0</v>
      </c>
      <c r="AK115" s="67"/>
      <c r="AL115" s="11">
        <f t="shared" si="53"/>
        <v>0</v>
      </c>
      <c r="AM115" s="11">
        <f t="shared" si="41"/>
        <v>122857308</v>
      </c>
      <c r="AN115" s="11">
        <f t="shared" si="54"/>
        <v>122857308</v>
      </c>
      <c r="AO115" s="61">
        <v>99688263</v>
      </c>
      <c r="AP115" s="11">
        <f t="shared" si="55"/>
        <v>23169045</v>
      </c>
      <c r="AQ115" s="56" t="str">
        <f t="shared" si="56"/>
        <v>Yes</v>
      </c>
      <c r="AR115" s="35">
        <f>IF(AQ115="Yes",+AP115*$I$9,0)</f>
        <v>3862279.8014999996</v>
      </c>
      <c r="AS115" s="35">
        <f t="shared" si="57"/>
        <v>103550542.80149999</v>
      </c>
      <c r="AT115"/>
      <c r="AU115" s="35"/>
      <c r="AV115" s="53"/>
      <c r="AW115" s="35"/>
      <c r="AX115" s="21"/>
      <c r="AZ115" s="21"/>
      <c r="BA115" s="21"/>
      <c r="BE115" s="21"/>
      <c r="BF115" s="21"/>
      <c r="BG115" s="21"/>
      <c r="BH115" s="21"/>
      <c r="BI115" s="21"/>
    </row>
    <row r="116" spans="1:61" ht="14.35" x14ac:dyDescent="0.5">
      <c r="A116" s="8"/>
      <c r="B116" s="25"/>
      <c r="C116" s="25"/>
      <c r="D116">
        <v>167</v>
      </c>
      <c r="E116" s="8">
        <v>90</v>
      </c>
      <c r="F116" s="3" t="s">
        <v>177</v>
      </c>
      <c r="G116" s="54"/>
      <c r="H116">
        <v>4135.3999999999996</v>
      </c>
      <c r="I116" s="62"/>
      <c r="J116">
        <v>3</v>
      </c>
      <c r="K116" s="60">
        <f t="shared" si="42"/>
        <v>0.9</v>
      </c>
      <c r="L116" s="60">
        <f t="shared" si="43"/>
        <v>2481.2399999999998</v>
      </c>
      <c r="M116" s="60">
        <f t="shared" si="44"/>
        <v>0</v>
      </c>
      <c r="N116" s="60">
        <f t="shared" si="45"/>
        <v>0</v>
      </c>
      <c r="O116" s="51">
        <f t="shared" si="46"/>
        <v>0</v>
      </c>
      <c r="P116" s="51">
        <f t="shared" si="34"/>
        <v>0</v>
      </c>
      <c r="Q116" s="34">
        <f t="shared" si="35"/>
        <v>0</v>
      </c>
      <c r="R116" s="34">
        <f t="shared" si="47"/>
        <v>0</v>
      </c>
      <c r="S116">
        <v>21</v>
      </c>
      <c r="T116" s="60">
        <f t="shared" si="48"/>
        <v>5.25</v>
      </c>
      <c r="U116" s="36">
        <f t="shared" si="36"/>
        <v>0.9</v>
      </c>
      <c r="V116" s="9">
        <f t="shared" si="49"/>
        <v>4141.5499999999993</v>
      </c>
      <c r="W116" s="60">
        <v>10967875814.67</v>
      </c>
      <c r="X116" s="61">
        <v>20233</v>
      </c>
      <c r="Y116" s="17">
        <f t="shared" si="37"/>
        <v>542078.57999999996</v>
      </c>
      <c r="Z116" s="37">
        <f t="shared" si="38"/>
        <v>2.7344979999999999</v>
      </c>
      <c r="AA116" s="61">
        <v>190227</v>
      </c>
      <c r="AB116" s="37">
        <f t="shared" si="39"/>
        <v>1.5502720000000001</v>
      </c>
      <c r="AC116" s="37">
        <f t="shared" si="58"/>
        <v>-1.37923</v>
      </c>
      <c r="AD116" s="55">
        <f t="shared" si="50"/>
        <v>0.01</v>
      </c>
      <c r="AE116" s="38">
        <f t="shared" si="40"/>
        <v>0</v>
      </c>
      <c r="AF116" s="58">
        <f t="shared" si="51"/>
        <v>0.01</v>
      </c>
      <c r="AG116">
        <v>0</v>
      </c>
      <c r="AH116" s="61">
        <v>0</v>
      </c>
      <c r="AI116" s="11">
        <f t="shared" si="52"/>
        <v>0</v>
      </c>
      <c r="AJ116">
        <v>0</v>
      </c>
      <c r="AK116" s="67"/>
      <c r="AL116" s="11">
        <f t="shared" si="53"/>
        <v>0</v>
      </c>
      <c r="AM116" s="11">
        <f t="shared" si="41"/>
        <v>477314</v>
      </c>
      <c r="AN116" s="11">
        <f t="shared" si="54"/>
        <v>477314</v>
      </c>
      <c r="AO116" s="61">
        <v>393251</v>
      </c>
      <c r="AP116" s="11">
        <f t="shared" si="55"/>
        <v>84063</v>
      </c>
      <c r="AQ116" s="56" t="str">
        <f t="shared" si="56"/>
        <v>Yes</v>
      </c>
      <c r="AR116" s="35">
        <f>IF(AQ116="Yes",+AP116*$I$9,0)</f>
        <v>14013.302099999999</v>
      </c>
      <c r="AS116" s="35">
        <f t="shared" si="57"/>
        <v>407264.30209999997</v>
      </c>
      <c r="AT116"/>
      <c r="AU116" s="35"/>
      <c r="AV116" s="53"/>
      <c r="AW116" s="35"/>
      <c r="AX116" s="21"/>
      <c r="AZ116" s="21"/>
      <c r="BA116" s="21"/>
      <c r="BE116" s="21"/>
      <c r="BF116" s="21"/>
      <c r="BG116" s="21"/>
      <c r="BH116" s="21"/>
      <c r="BI116" s="21"/>
    </row>
    <row r="117" spans="1:61" ht="14.35" x14ac:dyDescent="0.5">
      <c r="A117" s="8"/>
      <c r="B117" s="25"/>
      <c r="C117" s="25"/>
      <c r="D117">
        <v>118</v>
      </c>
      <c r="E117" s="8">
        <v>91</v>
      </c>
      <c r="F117" s="3" t="s">
        <v>178</v>
      </c>
      <c r="G117" s="54"/>
      <c r="H117">
        <v>2081.41</v>
      </c>
      <c r="I117" s="62"/>
      <c r="J117">
        <v>305</v>
      </c>
      <c r="K117" s="60">
        <f t="shared" si="42"/>
        <v>91.5</v>
      </c>
      <c r="L117" s="60">
        <f t="shared" si="43"/>
        <v>1248.8499999999999</v>
      </c>
      <c r="M117" s="60">
        <f t="shared" si="44"/>
        <v>0</v>
      </c>
      <c r="N117" s="60">
        <f t="shared" si="45"/>
        <v>0</v>
      </c>
      <c r="O117" s="51">
        <f t="shared" si="46"/>
        <v>0.15</v>
      </c>
      <c r="P117" s="51">
        <f t="shared" si="34"/>
        <v>0</v>
      </c>
      <c r="Q117" s="34">
        <f t="shared" si="35"/>
        <v>0</v>
      </c>
      <c r="R117" s="34">
        <f t="shared" si="47"/>
        <v>0</v>
      </c>
      <c r="S117">
        <v>83</v>
      </c>
      <c r="T117" s="60">
        <f t="shared" si="48"/>
        <v>20.75</v>
      </c>
      <c r="U117" s="36">
        <f t="shared" si="36"/>
        <v>91.5</v>
      </c>
      <c r="V117" s="9">
        <f t="shared" si="49"/>
        <v>2193.66</v>
      </c>
      <c r="W117" s="60">
        <v>2480109324.3299999</v>
      </c>
      <c r="X117" s="61">
        <v>13878</v>
      </c>
      <c r="Y117" s="17">
        <f t="shared" si="37"/>
        <v>178707.98</v>
      </c>
      <c r="Z117" s="37">
        <f t="shared" si="38"/>
        <v>0.90148700000000004</v>
      </c>
      <c r="AA117" s="61">
        <v>112457</v>
      </c>
      <c r="AB117" s="37">
        <f t="shared" si="39"/>
        <v>0.91647900000000004</v>
      </c>
      <c r="AC117" s="37">
        <f t="shared" si="58"/>
        <v>9.4015000000000001E-2</v>
      </c>
      <c r="AD117" s="55">
        <f t="shared" si="50"/>
        <v>9.4015000000000001E-2</v>
      </c>
      <c r="AE117" s="38">
        <f t="shared" si="40"/>
        <v>0</v>
      </c>
      <c r="AF117" s="58">
        <f t="shared" si="51"/>
        <v>9.4015000000000001E-2</v>
      </c>
      <c r="AG117">
        <v>0</v>
      </c>
      <c r="AH117" s="61">
        <v>0</v>
      </c>
      <c r="AI117" s="11">
        <f t="shared" si="52"/>
        <v>0</v>
      </c>
      <c r="AJ117">
        <v>0</v>
      </c>
      <c r="AK117" s="67"/>
      <c r="AL117" s="11">
        <f t="shared" si="53"/>
        <v>0</v>
      </c>
      <c r="AM117" s="11">
        <f t="shared" si="41"/>
        <v>2376881</v>
      </c>
      <c r="AN117" s="11">
        <f t="shared" si="54"/>
        <v>2376881</v>
      </c>
      <c r="AO117" s="61">
        <v>3481120</v>
      </c>
      <c r="AP117" s="11">
        <f t="shared" si="55"/>
        <v>0</v>
      </c>
      <c r="AQ117" s="56" t="str">
        <f t="shared" si="56"/>
        <v>No</v>
      </c>
      <c r="AR117" s="35">
        <f>IF(AQ117="Yes",+AP117*$I$9,0)</f>
        <v>0</v>
      </c>
      <c r="AS117" s="35">
        <f t="shared" si="57"/>
        <v>3481120</v>
      </c>
      <c r="AT117"/>
      <c r="AU117" s="35"/>
      <c r="AV117" s="53"/>
      <c r="AW117" s="35"/>
      <c r="AX117" s="21"/>
      <c r="AZ117" s="21"/>
      <c r="BA117" s="21"/>
      <c r="BE117" s="21"/>
      <c r="BF117" s="21"/>
      <c r="BG117" s="21"/>
      <c r="BH117" s="21"/>
      <c r="BI117" s="21"/>
    </row>
    <row r="118" spans="1:61" ht="14.35" x14ac:dyDescent="0.5">
      <c r="A118" s="8"/>
      <c r="B118" s="25"/>
      <c r="C118" s="25"/>
      <c r="D118">
        <v>107</v>
      </c>
      <c r="E118" s="8">
        <v>92</v>
      </c>
      <c r="F118" s="3" t="s">
        <v>179</v>
      </c>
      <c r="G118" s="54"/>
      <c r="H118">
        <v>853.7</v>
      </c>
      <c r="I118" s="62"/>
      <c r="J118">
        <v>158</v>
      </c>
      <c r="K118" s="60">
        <f t="shared" si="42"/>
        <v>47.4</v>
      </c>
      <c r="L118" s="60">
        <f t="shared" si="43"/>
        <v>512.22</v>
      </c>
      <c r="M118" s="60">
        <f t="shared" si="44"/>
        <v>0</v>
      </c>
      <c r="N118" s="60">
        <f t="shared" si="45"/>
        <v>0</v>
      </c>
      <c r="O118" s="51">
        <f t="shared" si="46"/>
        <v>0.19</v>
      </c>
      <c r="P118" s="51">
        <f t="shared" si="34"/>
        <v>0</v>
      </c>
      <c r="Q118" s="34">
        <f t="shared" si="35"/>
        <v>0</v>
      </c>
      <c r="R118" s="34">
        <f t="shared" si="47"/>
        <v>0</v>
      </c>
      <c r="S118">
        <v>10</v>
      </c>
      <c r="T118" s="60">
        <f t="shared" si="48"/>
        <v>2.5</v>
      </c>
      <c r="U118" s="36">
        <f t="shared" si="36"/>
        <v>47.4</v>
      </c>
      <c r="V118" s="9">
        <f t="shared" si="49"/>
        <v>903.6</v>
      </c>
      <c r="W118" s="60">
        <v>984874452.66999996</v>
      </c>
      <c r="X118" s="61">
        <v>6656</v>
      </c>
      <c r="Y118" s="17">
        <f t="shared" si="37"/>
        <v>147967.92000000001</v>
      </c>
      <c r="Z118" s="37">
        <f t="shared" si="38"/>
        <v>0.74641999999999997</v>
      </c>
      <c r="AA118" s="61">
        <v>106765</v>
      </c>
      <c r="AB118" s="37">
        <f t="shared" si="39"/>
        <v>0.87009099999999995</v>
      </c>
      <c r="AC118" s="37">
        <f t="shared" si="58"/>
        <v>0.216479</v>
      </c>
      <c r="AD118" s="55">
        <f t="shared" si="50"/>
        <v>0.216479</v>
      </c>
      <c r="AE118" s="38">
        <f t="shared" si="40"/>
        <v>0</v>
      </c>
      <c r="AF118" s="58">
        <f t="shared" si="51"/>
        <v>0.216479</v>
      </c>
      <c r="AG118">
        <v>415</v>
      </c>
      <c r="AH118" s="61">
        <v>6</v>
      </c>
      <c r="AI118" s="11">
        <f t="shared" si="52"/>
        <v>249000</v>
      </c>
      <c r="AJ118">
        <v>0</v>
      </c>
      <c r="AK118" s="67"/>
      <c r="AL118" s="11">
        <f t="shared" si="53"/>
        <v>0</v>
      </c>
      <c r="AM118" s="11">
        <f t="shared" si="41"/>
        <v>2254410</v>
      </c>
      <c r="AN118" s="11">
        <f t="shared" si="54"/>
        <v>2503410</v>
      </c>
      <c r="AO118" s="61">
        <v>2913010</v>
      </c>
      <c r="AP118" s="11">
        <f t="shared" si="55"/>
        <v>0</v>
      </c>
      <c r="AQ118" s="56" t="str">
        <f t="shared" si="56"/>
        <v>No</v>
      </c>
      <c r="AR118" s="35">
        <f>IF(AQ118="Yes",+AP118*$I$9,0)</f>
        <v>0</v>
      </c>
      <c r="AS118" s="35">
        <f t="shared" si="57"/>
        <v>2913010</v>
      </c>
      <c r="AT118"/>
      <c r="AU118" s="35"/>
      <c r="AV118" s="53"/>
      <c r="AW118" s="35"/>
      <c r="AX118" s="21"/>
      <c r="AZ118" s="21"/>
      <c r="BA118" s="21"/>
      <c r="BE118" s="21"/>
      <c r="BF118" s="21"/>
      <c r="BG118" s="21"/>
      <c r="BH118" s="21"/>
      <c r="BI118" s="21"/>
    </row>
    <row r="119" spans="1:61" ht="14.35" x14ac:dyDescent="0.5">
      <c r="A119" s="8">
        <v>1</v>
      </c>
      <c r="B119" s="25">
        <v>1</v>
      </c>
      <c r="C119" s="25">
        <f>+A119+B119</f>
        <v>2</v>
      </c>
      <c r="D119">
        <v>6</v>
      </c>
      <c r="E119" s="8">
        <v>93</v>
      </c>
      <c r="F119" s="3" t="s">
        <v>180</v>
      </c>
      <c r="G119" s="54"/>
      <c r="H119">
        <v>17495.080000000002</v>
      </c>
      <c r="I119" s="63"/>
      <c r="J119">
        <v>12372</v>
      </c>
      <c r="K119" s="60">
        <f t="shared" si="42"/>
        <v>3711.6</v>
      </c>
      <c r="L119" s="60">
        <f t="shared" si="43"/>
        <v>10497.05</v>
      </c>
      <c r="M119" s="60">
        <f t="shared" si="44"/>
        <v>1874.9500000000007</v>
      </c>
      <c r="N119" s="60">
        <f t="shared" si="45"/>
        <v>281.24</v>
      </c>
      <c r="O119" s="51">
        <f t="shared" si="46"/>
        <v>0.71</v>
      </c>
      <c r="P119" s="51">
        <f t="shared" si="34"/>
        <v>0.10999999999999999</v>
      </c>
      <c r="Q119" s="34">
        <f t="shared" si="35"/>
        <v>1924.46</v>
      </c>
      <c r="R119" s="34">
        <f t="shared" si="47"/>
        <v>288.67</v>
      </c>
      <c r="S119">
        <v>3635</v>
      </c>
      <c r="T119" s="60">
        <f t="shared" si="48"/>
        <v>908.75</v>
      </c>
      <c r="U119" s="36">
        <f t="shared" si="36"/>
        <v>3711.6</v>
      </c>
      <c r="V119" s="9">
        <f t="shared" si="49"/>
        <v>22396.670000000002</v>
      </c>
      <c r="W119" s="60">
        <v>11160896440.67</v>
      </c>
      <c r="X119" s="61">
        <v>130250</v>
      </c>
      <c r="Y119" s="17">
        <f t="shared" si="37"/>
        <v>85688.26</v>
      </c>
      <c r="Z119" s="37">
        <f t="shared" si="38"/>
        <v>0.43225200000000003</v>
      </c>
      <c r="AA119" s="61">
        <v>42222</v>
      </c>
      <c r="AB119" s="37">
        <f t="shared" si="39"/>
        <v>0.34409200000000001</v>
      </c>
      <c r="AC119" s="37">
        <f t="shared" si="58"/>
        <v>0.59419599999999995</v>
      </c>
      <c r="AD119" s="55">
        <f t="shared" si="50"/>
        <v>0.59419599999999995</v>
      </c>
      <c r="AE119" s="38">
        <f t="shared" si="40"/>
        <v>0.05</v>
      </c>
      <c r="AF119" s="58">
        <f t="shared" si="51"/>
        <v>0.64419599999999999</v>
      </c>
      <c r="AG119">
        <v>0</v>
      </c>
      <c r="AH119" s="61">
        <v>0</v>
      </c>
      <c r="AI119" s="11">
        <f t="shared" si="52"/>
        <v>0</v>
      </c>
      <c r="AJ119">
        <v>0</v>
      </c>
      <c r="AK119" s="67"/>
      <c r="AL119" s="11">
        <f t="shared" si="53"/>
        <v>0</v>
      </c>
      <c r="AM119" s="11">
        <f t="shared" si="41"/>
        <v>166280916</v>
      </c>
      <c r="AN119" s="11">
        <f t="shared" si="54"/>
        <v>166280916</v>
      </c>
      <c r="AO119" s="61">
        <v>162840114</v>
      </c>
      <c r="AP119" s="11">
        <f t="shared" si="55"/>
        <v>3440802</v>
      </c>
      <c r="AQ119" s="56" t="str">
        <f t="shared" si="56"/>
        <v>Yes</v>
      </c>
      <c r="AR119" s="35">
        <f>IF(AQ119="Yes",+AP119*$I$9,0)</f>
        <v>573581.69339999999</v>
      </c>
      <c r="AS119" s="35">
        <f t="shared" si="57"/>
        <v>163413695.6934</v>
      </c>
      <c r="AT119"/>
      <c r="AU119" s="35"/>
      <c r="AV119" s="53"/>
      <c r="AW119" s="35"/>
      <c r="AX119" s="21"/>
      <c r="AZ119" s="21"/>
      <c r="BA119" s="21"/>
      <c r="BE119" s="21"/>
      <c r="BF119" s="21"/>
      <c r="BG119" s="21"/>
      <c r="BH119" s="21"/>
      <c r="BI119" s="21"/>
    </row>
    <row r="120" spans="1:61" ht="14.35" x14ac:dyDescent="0.5">
      <c r="A120" s="8"/>
      <c r="B120" s="25"/>
      <c r="C120" s="25"/>
      <c r="D120">
        <v>48</v>
      </c>
      <c r="E120" s="8">
        <v>94</v>
      </c>
      <c r="F120" s="3" t="s">
        <v>181</v>
      </c>
      <c r="G120" s="54"/>
      <c r="H120">
        <v>3972.06</v>
      </c>
      <c r="I120" s="62"/>
      <c r="J120">
        <v>1263</v>
      </c>
      <c r="K120" s="60">
        <f t="shared" si="42"/>
        <v>378.9</v>
      </c>
      <c r="L120" s="60">
        <f t="shared" si="43"/>
        <v>2383.2399999999998</v>
      </c>
      <c r="M120" s="60">
        <f t="shared" si="44"/>
        <v>0</v>
      </c>
      <c r="N120" s="60">
        <f t="shared" si="45"/>
        <v>0</v>
      </c>
      <c r="O120" s="51">
        <f t="shared" si="46"/>
        <v>0.32</v>
      </c>
      <c r="P120" s="51">
        <f t="shared" si="34"/>
        <v>0</v>
      </c>
      <c r="Q120" s="34">
        <f t="shared" si="35"/>
        <v>0</v>
      </c>
      <c r="R120" s="34">
        <f t="shared" si="47"/>
        <v>0</v>
      </c>
      <c r="S120">
        <v>296</v>
      </c>
      <c r="T120" s="60">
        <f t="shared" si="48"/>
        <v>74</v>
      </c>
      <c r="U120" s="36">
        <f t="shared" si="36"/>
        <v>378.9</v>
      </c>
      <c r="V120" s="9">
        <f t="shared" si="49"/>
        <v>4424.96</v>
      </c>
      <c r="W120" s="60">
        <v>4143419506.6700001</v>
      </c>
      <c r="X120" s="61">
        <v>30014</v>
      </c>
      <c r="Y120" s="17">
        <f t="shared" si="37"/>
        <v>138049.56</v>
      </c>
      <c r="Z120" s="37">
        <f t="shared" si="38"/>
        <v>0.69638699999999998</v>
      </c>
      <c r="AA120" s="61">
        <v>81646</v>
      </c>
      <c r="AB120" s="37">
        <f t="shared" si="39"/>
        <v>0.665381</v>
      </c>
      <c r="AC120" s="37">
        <f t="shared" si="58"/>
        <v>0.312915</v>
      </c>
      <c r="AD120" s="55">
        <f t="shared" si="50"/>
        <v>0.312915</v>
      </c>
      <c r="AE120" s="38">
        <f t="shared" si="40"/>
        <v>0</v>
      </c>
      <c r="AF120" s="58">
        <f t="shared" si="51"/>
        <v>0.312915</v>
      </c>
      <c r="AG120">
        <v>0</v>
      </c>
      <c r="AH120" s="61">
        <v>0</v>
      </c>
      <c r="AI120" s="11">
        <f t="shared" si="52"/>
        <v>0</v>
      </c>
      <c r="AJ120">
        <v>0</v>
      </c>
      <c r="AK120" s="67"/>
      <c r="AL120" s="11">
        <f t="shared" si="53"/>
        <v>0</v>
      </c>
      <c r="AM120" s="11">
        <f t="shared" si="41"/>
        <v>15957934</v>
      </c>
      <c r="AN120" s="11">
        <f t="shared" si="54"/>
        <v>15957934</v>
      </c>
      <c r="AO120" s="61">
        <v>14131800</v>
      </c>
      <c r="AP120" s="11">
        <f t="shared" si="55"/>
        <v>1826134</v>
      </c>
      <c r="AQ120" s="56" t="str">
        <f t="shared" si="56"/>
        <v>Yes</v>
      </c>
      <c r="AR120" s="35">
        <f>IF(AQ120="Yes",+AP120*$I$9,0)</f>
        <v>304416.53779999999</v>
      </c>
      <c r="AS120" s="35">
        <f t="shared" si="57"/>
        <v>14436216.537799999</v>
      </c>
      <c r="AT120"/>
      <c r="AU120" s="35"/>
      <c r="AV120" s="53"/>
      <c r="AW120" s="35"/>
      <c r="AX120" s="21"/>
      <c r="AZ120" s="21"/>
      <c r="BA120" s="21"/>
      <c r="BE120" s="21"/>
      <c r="BF120" s="21"/>
      <c r="BG120" s="21"/>
      <c r="BH120" s="21"/>
      <c r="BI120" s="21"/>
    </row>
    <row r="121" spans="1:61" ht="14.35" x14ac:dyDescent="0.5">
      <c r="A121" s="8">
        <v>1</v>
      </c>
      <c r="B121" s="25">
        <v>1</v>
      </c>
      <c r="C121" s="25">
        <f>+A121+B121</f>
        <v>2</v>
      </c>
      <c r="D121">
        <v>4</v>
      </c>
      <c r="E121" s="8">
        <v>95</v>
      </c>
      <c r="F121" s="3" t="s">
        <v>182</v>
      </c>
      <c r="G121" s="54"/>
      <c r="H121">
        <v>3284.42</v>
      </c>
      <c r="I121" s="63"/>
      <c r="J121">
        <v>2815</v>
      </c>
      <c r="K121" s="60">
        <f t="shared" si="42"/>
        <v>844.5</v>
      </c>
      <c r="L121" s="60">
        <f t="shared" si="43"/>
        <v>1970.65</v>
      </c>
      <c r="M121" s="60">
        <f t="shared" si="44"/>
        <v>844.34999999999991</v>
      </c>
      <c r="N121" s="60">
        <f t="shared" si="45"/>
        <v>126.65</v>
      </c>
      <c r="O121" s="51">
        <f t="shared" si="46"/>
        <v>0.86</v>
      </c>
      <c r="P121" s="51">
        <f t="shared" si="34"/>
        <v>0.26</v>
      </c>
      <c r="Q121" s="34">
        <f t="shared" si="35"/>
        <v>853.95</v>
      </c>
      <c r="R121" s="34">
        <f t="shared" si="47"/>
        <v>128.09</v>
      </c>
      <c r="S121">
        <v>847</v>
      </c>
      <c r="T121" s="60">
        <f t="shared" si="48"/>
        <v>211.75</v>
      </c>
      <c r="U121" s="36">
        <f t="shared" si="36"/>
        <v>844.5</v>
      </c>
      <c r="V121" s="9">
        <f t="shared" si="49"/>
        <v>4467.32</v>
      </c>
      <c r="W121" s="60">
        <v>2133732118.6700001</v>
      </c>
      <c r="X121" s="61">
        <v>26858</v>
      </c>
      <c r="Y121" s="17">
        <f t="shared" si="37"/>
        <v>79444.94</v>
      </c>
      <c r="Z121" s="37">
        <f t="shared" si="38"/>
        <v>0.40075699999999997</v>
      </c>
      <c r="AA121" s="61">
        <v>46298</v>
      </c>
      <c r="AB121" s="37">
        <f t="shared" si="39"/>
        <v>0.37730999999999998</v>
      </c>
      <c r="AC121" s="37">
        <f t="shared" si="58"/>
        <v>0.60627699999999995</v>
      </c>
      <c r="AD121" s="55">
        <f t="shared" si="50"/>
        <v>0.60627699999999995</v>
      </c>
      <c r="AE121" s="38">
        <f t="shared" si="40"/>
        <v>0.06</v>
      </c>
      <c r="AF121" s="58">
        <f t="shared" si="51"/>
        <v>0.66627700000000001</v>
      </c>
      <c r="AG121">
        <v>0</v>
      </c>
      <c r="AH121" s="61">
        <v>0</v>
      </c>
      <c r="AI121" s="11">
        <f t="shared" si="52"/>
        <v>0</v>
      </c>
      <c r="AJ121">
        <v>0</v>
      </c>
      <c r="AK121" s="67"/>
      <c r="AL121" s="11">
        <f t="shared" si="53"/>
        <v>0</v>
      </c>
      <c r="AM121" s="11">
        <f t="shared" si="41"/>
        <v>34303846</v>
      </c>
      <c r="AN121" s="11">
        <f t="shared" si="54"/>
        <v>34303846</v>
      </c>
      <c r="AO121" s="61">
        <v>29721688</v>
      </c>
      <c r="AP121" s="11">
        <f t="shared" si="55"/>
        <v>4582158</v>
      </c>
      <c r="AQ121" s="56" t="str">
        <f t="shared" si="56"/>
        <v>Yes</v>
      </c>
      <c r="AR121" s="35">
        <f>IF(AQ121="Yes",+AP121*$I$9,0)</f>
        <v>763845.73859999992</v>
      </c>
      <c r="AS121" s="35">
        <f t="shared" si="57"/>
        <v>30485533.738600001</v>
      </c>
      <c r="AT121"/>
      <c r="AU121" s="35"/>
      <c r="AV121" s="53"/>
      <c r="AW121" s="35"/>
      <c r="AX121" s="21"/>
      <c r="AZ121" s="21"/>
      <c r="BA121" s="21"/>
      <c r="BE121" s="21"/>
      <c r="BF121" s="21"/>
      <c r="BG121" s="21"/>
      <c r="BH121" s="21"/>
      <c r="BI121" s="21"/>
    </row>
    <row r="122" spans="1:61" ht="14.35" x14ac:dyDescent="0.5">
      <c r="A122" s="8"/>
      <c r="B122" s="25"/>
      <c r="C122" s="25"/>
      <c r="D122">
        <v>67</v>
      </c>
      <c r="E122" s="8">
        <v>96</v>
      </c>
      <c r="F122" s="3" t="s">
        <v>183</v>
      </c>
      <c r="G122" s="54"/>
      <c r="H122">
        <v>3641.57</v>
      </c>
      <c r="I122" s="62"/>
      <c r="J122">
        <v>1194</v>
      </c>
      <c r="K122" s="60">
        <f t="shared" si="42"/>
        <v>358.2</v>
      </c>
      <c r="L122" s="60">
        <f t="shared" si="43"/>
        <v>2184.94</v>
      </c>
      <c r="M122" s="60">
        <f t="shared" si="44"/>
        <v>0</v>
      </c>
      <c r="N122" s="60">
        <f t="shared" si="45"/>
        <v>0</v>
      </c>
      <c r="O122" s="51">
        <f t="shared" si="46"/>
        <v>0.33</v>
      </c>
      <c r="P122" s="51">
        <f t="shared" si="34"/>
        <v>0</v>
      </c>
      <c r="Q122" s="34">
        <f t="shared" si="35"/>
        <v>0</v>
      </c>
      <c r="R122" s="34">
        <f t="shared" si="47"/>
        <v>0</v>
      </c>
      <c r="S122">
        <v>222</v>
      </c>
      <c r="T122" s="60">
        <f t="shared" si="48"/>
        <v>55.5</v>
      </c>
      <c r="U122" s="36">
        <f t="shared" si="36"/>
        <v>358.2</v>
      </c>
      <c r="V122" s="9">
        <f t="shared" si="49"/>
        <v>4055.27</v>
      </c>
      <c r="W122" s="60">
        <v>4481970384</v>
      </c>
      <c r="X122" s="61">
        <v>26805</v>
      </c>
      <c r="Y122" s="17">
        <f t="shared" si="37"/>
        <v>167206.51</v>
      </c>
      <c r="Z122" s="37">
        <f t="shared" si="38"/>
        <v>0.843468</v>
      </c>
      <c r="AA122" s="61">
        <v>89969</v>
      </c>
      <c r="AB122" s="37">
        <f t="shared" si="39"/>
        <v>0.73321099999999995</v>
      </c>
      <c r="AC122" s="37">
        <f t="shared" si="58"/>
        <v>0.189609</v>
      </c>
      <c r="AD122" s="55">
        <f t="shared" si="50"/>
        <v>0.189609</v>
      </c>
      <c r="AE122" s="38">
        <f t="shared" si="40"/>
        <v>0</v>
      </c>
      <c r="AF122" s="58">
        <f t="shared" si="51"/>
        <v>0.189609</v>
      </c>
      <c r="AG122">
        <v>0</v>
      </c>
      <c r="AH122" s="61">
        <v>0</v>
      </c>
      <c r="AI122" s="11">
        <f t="shared" si="52"/>
        <v>0</v>
      </c>
      <c r="AJ122">
        <v>0</v>
      </c>
      <c r="AK122" s="67"/>
      <c r="AL122" s="11">
        <f t="shared" si="53"/>
        <v>0</v>
      </c>
      <c r="AM122" s="11">
        <f t="shared" si="41"/>
        <v>8861753</v>
      </c>
      <c r="AN122" s="11">
        <f t="shared" si="54"/>
        <v>8861753</v>
      </c>
      <c r="AO122" s="61">
        <v>11124188</v>
      </c>
      <c r="AP122" s="11">
        <f t="shared" si="55"/>
        <v>0</v>
      </c>
      <c r="AQ122" s="56" t="str">
        <f t="shared" si="56"/>
        <v>No</v>
      </c>
      <c r="AR122" s="35">
        <f>IF(AQ122="Yes",+AP122*$I$9,0)</f>
        <v>0</v>
      </c>
      <c r="AS122" s="35">
        <f t="shared" si="57"/>
        <v>11124188</v>
      </c>
      <c r="AT122"/>
      <c r="AU122" s="35"/>
      <c r="AV122" s="53"/>
      <c r="AW122" s="35"/>
      <c r="AX122" s="21"/>
      <c r="AZ122" s="21"/>
      <c r="BA122" s="21"/>
      <c r="BE122" s="21"/>
      <c r="BF122" s="21"/>
      <c r="BG122" s="21"/>
      <c r="BH122" s="21"/>
      <c r="BI122" s="21"/>
    </row>
    <row r="123" spans="1:61" ht="14.35" x14ac:dyDescent="0.5">
      <c r="A123" s="8"/>
      <c r="B123" s="25"/>
      <c r="C123" s="25"/>
      <c r="D123">
        <v>106</v>
      </c>
      <c r="E123" s="8">
        <v>97</v>
      </c>
      <c r="F123" s="3" t="s">
        <v>184</v>
      </c>
      <c r="G123" s="54"/>
      <c r="H123">
        <v>4033.28</v>
      </c>
      <c r="I123" s="62"/>
      <c r="J123">
        <v>510</v>
      </c>
      <c r="K123" s="60">
        <f t="shared" si="42"/>
        <v>153</v>
      </c>
      <c r="L123" s="60">
        <f t="shared" si="43"/>
        <v>2419.9699999999998</v>
      </c>
      <c r="M123" s="60">
        <f t="shared" si="44"/>
        <v>0</v>
      </c>
      <c r="N123" s="60">
        <f t="shared" si="45"/>
        <v>0</v>
      </c>
      <c r="O123" s="51">
        <f t="shared" si="46"/>
        <v>0.13</v>
      </c>
      <c r="P123" s="51">
        <f t="shared" ref="P123:P154" si="59">IF(O123&gt;0.6,+O123-0.6,0)</f>
        <v>0</v>
      </c>
      <c r="Q123" s="34">
        <f t="shared" ref="Q123:Q154" si="60">ROUND(P123*H123,2)</f>
        <v>0</v>
      </c>
      <c r="R123" s="34">
        <f t="shared" si="47"/>
        <v>0</v>
      </c>
      <c r="S123">
        <v>42</v>
      </c>
      <c r="T123" s="60">
        <f t="shared" si="48"/>
        <v>10.5</v>
      </c>
      <c r="U123" s="36">
        <f t="shared" ref="U123:U154" si="61">ROUND(J123*$U$2,2)</f>
        <v>153</v>
      </c>
      <c r="V123" s="9">
        <f t="shared" si="49"/>
        <v>4196.7800000000007</v>
      </c>
      <c r="W123" s="60">
        <v>4807828972.6700001</v>
      </c>
      <c r="X123" s="61">
        <v>27891</v>
      </c>
      <c r="Y123" s="17">
        <f t="shared" si="37"/>
        <v>172379.23</v>
      </c>
      <c r="Z123" s="37">
        <f t="shared" si="38"/>
        <v>0.86956199999999995</v>
      </c>
      <c r="AA123" s="61">
        <v>127602</v>
      </c>
      <c r="AB123" s="37">
        <f t="shared" si="39"/>
        <v>1.0399039999999999</v>
      </c>
      <c r="AC123" s="37">
        <f t="shared" si="58"/>
        <v>7.9335000000000003E-2</v>
      </c>
      <c r="AD123" s="55">
        <f t="shared" si="50"/>
        <v>7.9335000000000003E-2</v>
      </c>
      <c r="AE123" s="38">
        <f t="shared" ref="AE123:AE154" si="62">IF(D123&gt;=1,IF(D123&lt;=5,0.06,IF(D123&lt;=10,0.05,IF(D123&lt;=15,0.04,IF(D123&lt;=19,0.03,0)))),0)</f>
        <v>0</v>
      </c>
      <c r="AF123" s="58">
        <f t="shared" si="51"/>
        <v>7.9335000000000003E-2</v>
      </c>
      <c r="AG123">
        <v>0</v>
      </c>
      <c r="AH123" s="61">
        <v>0</v>
      </c>
      <c r="AI123" s="11">
        <f t="shared" si="52"/>
        <v>0</v>
      </c>
      <c r="AJ123">
        <v>0</v>
      </c>
      <c r="AK123" s="67"/>
      <c r="AL123" s="11">
        <f t="shared" si="53"/>
        <v>0</v>
      </c>
      <c r="AM123" s="11">
        <f t="shared" ref="AM123:AM154" si="63">ROUND(V123*AF123*$AM$21,0)</f>
        <v>3837267</v>
      </c>
      <c r="AN123" s="11">
        <f t="shared" si="54"/>
        <v>3837267</v>
      </c>
      <c r="AO123" s="61">
        <v>4495691</v>
      </c>
      <c r="AP123" s="11">
        <f t="shared" si="55"/>
        <v>0</v>
      </c>
      <c r="AQ123" s="56" t="str">
        <f t="shared" si="56"/>
        <v>No</v>
      </c>
      <c r="AR123" s="35">
        <f>IF(AQ123="Yes",+AP123*$I$9,0)</f>
        <v>0</v>
      </c>
      <c r="AS123" s="35">
        <f t="shared" si="57"/>
        <v>4495691</v>
      </c>
      <c r="AT123"/>
      <c r="AU123" s="35"/>
      <c r="AV123" s="53"/>
      <c r="AW123" s="35"/>
      <c r="AX123" s="21"/>
      <c r="AZ123" s="21"/>
      <c r="BA123" s="21"/>
      <c r="BE123" s="21"/>
      <c r="BF123" s="21"/>
      <c r="BG123" s="21"/>
      <c r="BH123" s="21"/>
      <c r="BI123" s="21"/>
    </row>
    <row r="124" spans="1:61" ht="14.35" x14ac:dyDescent="0.5">
      <c r="A124" s="8"/>
      <c r="B124" s="25"/>
      <c r="C124" s="25"/>
      <c r="D124">
        <v>140</v>
      </c>
      <c r="E124" s="8">
        <v>98</v>
      </c>
      <c r="F124" s="3" t="s">
        <v>185</v>
      </c>
      <c r="G124" s="54"/>
      <c r="H124">
        <v>137.4</v>
      </c>
      <c r="I124" s="62"/>
      <c r="J124">
        <v>47</v>
      </c>
      <c r="K124" s="60">
        <f t="shared" si="42"/>
        <v>14.1</v>
      </c>
      <c r="L124" s="60">
        <f t="shared" si="43"/>
        <v>82.44</v>
      </c>
      <c r="M124" s="60">
        <f t="shared" si="44"/>
        <v>0</v>
      </c>
      <c r="N124" s="60">
        <f t="shared" si="45"/>
        <v>0</v>
      </c>
      <c r="O124" s="51">
        <f t="shared" si="46"/>
        <v>0.34</v>
      </c>
      <c r="P124" s="51">
        <f t="shared" si="59"/>
        <v>0</v>
      </c>
      <c r="Q124" s="34">
        <f t="shared" si="60"/>
        <v>0</v>
      </c>
      <c r="R124" s="34">
        <f t="shared" si="47"/>
        <v>0</v>
      </c>
      <c r="S124">
        <v>2</v>
      </c>
      <c r="T124" s="60">
        <f t="shared" si="48"/>
        <v>0.5</v>
      </c>
      <c r="U124" s="36">
        <f t="shared" si="61"/>
        <v>14.1</v>
      </c>
      <c r="V124" s="9">
        <f t="shared" si="49"/>
        <v>152</v>
      </c>
      <c r="W124" s="60">
        <v>408374314</v>
      </c>
      <c r="X124" s="61">
        <v>1630</v>
      </c>
      <c r="Y124" s="17">
        <f t="shared" si="37"/>
        <v>250536.39</v>
      </c>
      <c r="Z124" s="37">
        <f t="shared" si="38"/>
        <v>1.2638229999999999</v>
      </c>
      <c r="AA124" s="61">
        <v>75208</v>
      </c>
      <c r="AB124" s="37">
        <f t="shared" si="39"/>
        <v>0.61291399999999996</v>
      </c>
      <c r="AC124" s="37">
        <f t="shared" si="58"/>
        <v>-6.855E-2</v>
      </c>
      <c r="AD124" s="55">
        <f t="shared" si="50"/>
        <v>0.01</v>
      </c>
      <c r="AE124" s="38">
        <f t="shared" si="62"/>
        <v>0</v>
      </c>
      <c r="AF124" s="58">
        <f t="shared" si="51"/>
        <v>0.01</v>
      </c>
      <c r="AG124">
        <v>68</v>
      </c>
      <c r="AH124" s="61">
        <v>6</v>
      </c>
      <c r="AI124" s="11">
        <f t="shared" si="52"/>
        <v>40800</v>
      </c>
      <c r="AJ124">
        <v>0</v>
      </c>
      <c r="AK124" s="67"/>
      <c r="AL124" s="11">
        <f t="shared" si="53"/>
        <v>0</v>
      </c>
      <c r="AM124" s="11">
        <f t="shared" si="63"/>
        <v>17518</v>
      </c>
      <c r="AN124" s="11">
        <f t="shared" si="54"/>
        <v>58318</v>
      </c>
      <c r="AO124" s="61">
        <v>29866</v>
      </c>
      <c r="AP124" s="11">
        <f t="shared" si="55"/>
        <v>28452</v>
      </c>
      <c r="AQ124" s="56" t="str">
        <f t="shared" si="56"/>
        <v>Yes</v>
      </c>
      <c r="AR124" s="35">
        <f>IF(AQ124="Yes",+AP124*$I$9,0)</f>
        <v>4742.9483999999993</v>
      </c>
      <c r="AS124" s="35">
        <f t="shared" si="57"/>
        <v>34608.948400000001</v>
      </c>
      <c r="AT124"/>
      <c r="AU124" s="35"/>
      <c r="AV124" s="53"/>
      <c r="AW124" s="35"/>
      <c r="AX124" s="21"/>
      <c r="AZ124" s="21"/>
      <c r="BA124" s="21"/>
      <c r="BE124" s="21"/>
      <c r="BF124" s="21"/>
      <c r="BG124" s="21"/>
      <c r="BH124" s="21"/>
      <c r="BI124" s="21"/>
    </row>
    <row r="125" spans="1:61" ht="14.35" x14ac:dyDescent="0.5">
      <c r="A125" s="8"/>
      <c r="B125" s="25"/>
      <c r="C125" s="25"/>
      <c r="D125">
        <v>91</v>
      </c>
      <c r="E125" s="8">
        <v>99</v>
      </c>
      <c r="F125" s="3" t="s">
        <v>186</v>
      </c>
      <c r="G125" s="54"/>
      <c r="H125">
        <v>1622.57</v>
      </c>
      <c r="I125" s="62"/>
      <c r="J125">
        <v>329</v>
      </c>
      <c r="K125" s="60">
        <f t="shared" si="42"/>
        <v>98.7</v>
      </c>
      <c r="L125" s="60">
        <f t="shared" si="43"/>
        <v>973.54</v>
      </c>
      <c r="M125" s="60">
        <f t="shared" si="44"/>
        <v>0</v>
      </c>
      <c r="N125" s="60">
        <f t="shared" si="45"/>
        <v>0</v>
      </c>
      <c r="O125" s="51">
        <f t="shared" si="46"/>
        <v>0.2</v>
      </c>
      <c r="P125" s="51">
        <f t="shared" si="59"/>
        <v>0</v>
      </c>
      <c r="Q125" s="34">
        <f t="shared" si="60"/>
        <v>0</v>
      </c>
      <c r="R125" s="34">
        <f t="shared" si="47"/>
        <v>0</v>
      </c>
      <c r="S125">
        <v>20</v>
      </c>
      <c r="T125" s="60">
        <f t="shared" si="48"/>
        <v>5</v>
      </c>
      <c r="U125" s="36">
        <f t="shared" si="61"/>
        <v>98.7</v>
      </c>
      <c r="V125" s="9">
        <f t="shared" si="49"/>
        <v>1726.27</v>
      </c>
      <c r="W125" s="60">
        <v>1922029890</v>
      </c>
      <c r="X125" s="61">
        <v>14146</v>
      </c>
      <c r="Y125" s="17">
        <f t="shared" si="37"/>
        <v>135870.91</v>
      </c>
      <c r="Z125" s="37">
        <f t="shared" si="38"/>
        <v>0.68539700000000003</v>
      </c>
      <c r="AA125" s="61">
        <v>90461</v>
      </c>
      <c r="AB125" s="37">
        <f t="shared" si="39"/>
        <v>0.73721999999999999</v>
      </c>
      <c r="AC125" s="37">
        <f t="shared" si="58"/>
        <v>0.29905599999999999</v>
      </c>
      <c r="AD125" s="55">
        <f t="shared" si="50"/>
        <v>0.29905599999999999</v>
      </c>
      <c r="AE125" s="38">
        <f t="shared" si="62"/>
        <v>0</v>
      </c>
      <c r="AF125" s="58">
        <f t="shared" si="51"/>
        <v>0.29905599999999999</v>
      </c>
      <c r="AG125">
        <v>0</v>
      </c>
      <c r="AH125" s="61">
        <v>0</v>
      </c>
      <c r="AI125" s="11">
        <f t="shared" si="52"/>
        <v>0</v>
      </c>
      <c r="AJ125">
        <v>0</v>
      </c>
      <c r="AK125" s="67"/>
      <c r="AL125" s="11">
        <f t="shared" si="53"/>
        <v>0</v>
      </c>
      <c r="AM125" s="11">
        <f t="shared" si="63"/>
        <v>5949797</v>
      </c>
      <c r="AN125" s="11">
        <f t="shared" si="54"/>
        <v>5949797</v>
      </c>
      <c r="AO125" s="61">
        <v>7331325</v>
      </c>
      <c r="AP125" s="11">
        <f t="shared" si="55"/>
        <v>0</v>
      </c>
      <c r="AQ125" s="56" t="str">
        <f t="shared" si="56"/>
        <v>No</v>
      </c>
      <c r="AR125" s="35">
        <f>IF(AQ125="Yes",+AP125*$I$9,0)</f>
        <v>0</v>
      </c>
      <c r="AS125" s="35">
        <f t="shared" si="57"/>
        <v>7331325</v>
      </c>
      <c r="AT125"/>
      <c r="AU125" s="35"/>
      <c r="AV125" s="53"/>
      <c r="AW125" s="35"/>
      <c r="AX125" s="21"/>
      <c r="AZ125" s="21"/>
      <c r="BA125" s="21"/>
      <c r="BE125" s="21"/>
      <c r="BF125" s="21"/>
      <c r="BG125" s="21"/>
      <c r="BH125" s="21"/>
      <c r="BI125" s="21"/>
    </row>
    <row r="126" spans="1:61" ht="14.35" x14ac:dyDescent="0.5">
      <c r="A126" s="8"/>
      <c r="B126" s="25"/>
      <c r="C126" s="25"/>
      <c r="D126">
        <v>68</v>
      </c>
      <c r="E126" s="8">
        <v>100</v>
      </c>
      <c r="F126" s="3" t="s">
        <v>187</v>
      </c>
      <c r="G126" s="54"/>
      <c r="H126">
        <v>355.19</v>
      </c>
      <c r="I126" s="62"/>
      <c r="J126">
        <v>147</v>
      </c>
      <c r="K126" s="60">
        <f t="shared" si="42"/>
        <v>44.1</v>
      </c>
      <c r="L126" s="60">
        <f t="shared" si="43"/>
        <v>213.11</v>
      </c>
      <c r="M126" s="60">
        <f t="shared" si="44"/>
        <v>0</v>
      </c>
      <c r="N126" s="60">
        <f t="shared" si="45"/>
        <v>0</v>
      </c>
      <c r="O126" s="51">
        <f t="shared" si="46"/>
        <v>0.41</v>
      </c>
      <c r="P126" s="51">
        <f t="shared" si="59"/>
        <v>0</v>
      </c>
      <c r="Q126" s="34">
        <f t="shared" si="60"/>
        <v>0</v>
      </c>
      <c r="R126" s="34">
        <f t="shared" si="47"/>
        <v>0</v>
      </c>
      <c r="S126">
        <v>14</v>
      </c>
      <c r="T126" s="60">
        <f t="shared" si="48"/>
        <v>3.5</v>
      </c>
      <c r="U126" s="36">
        <f t="shared" si="61"/>
        <v>44.1</v>
      </c>
      <c r="V126" s="9">
        <f t="shared" si="49"/>
        <v>402.79</v>
      </c>
      <c r="W126" s="60">
        <v>440346017</v>
      </c>
      <c r="X126" s="61">
        <v>3251</v>
      </c>
      <c r="Y126" s="17">
        <f t="shared" si="37"/>
        <v>135449.41</v>
      </c>
      <c r="Z126" s="37">
        <f t="shared" si="38"/>
        <v>0.68327000000000004</v>
      </c>
      <c r="AA126" s="61">
        <v>62432</v>
      </c>
      <c r="AB126" s="37">
        <f t="shared" si="39"/>
        <v>0.508795</v>
      </c>
      <c r="AC126" s="37">
        <f t="shared" si="58"/>
        <v>0.36907299999999998</v>
      </c>
      <c r="AD126" s="55">
        <f t="shared" si="50"/>
        <v>0.36907299999999998</v>
      </c>
      <c r="AE126" s="38">
        <f t="shared" si="62"/>
        <v>0</v>
      </c>
      <c r="AF126" s="58">
        <f t="shared" si="51"/>
        <v>0.36907299999999998</v>
      </c>
      <c r="AG126">
        <v>129</v>
      </c>
      <c r="AH126" s="61">
        <v>4</v>
      </c>
      <c r="AI126" s="11">
        <f t="shared" si="52"/>
        <v>51600</v>
      </c>
      <c r="AJ126">
        <v>0</v>
      </c>
      <c r="AK126" s="67"/>
      <c r="AL126" s="11">
        <f t="shared" si="53"/>
        <v>0</v>
      </c>
      <c r="AM126" s="11">
        <f t="shared" si="63"/>
        <v>1713294</v>
      </c>
      <c r="AN126" s="11">
        <f t="shared" si="54"/>
        <v>1764894</v>
      </c>
      <c r="AO126" s="61">
        <v>1781954</v>
      </c>
      <c r="AP126" s="11">
        <f t="shared" si="55"/>
        <v>0</v>
      </c>
      <c r="AQ126" s="56" t="str">
        <f t="shared" si="56"/>
        <v>No</v>
      </c>
      <c r="AR126" s="35">
        <f>IF(AQ126="Yes",+AP126*$I$9,0)</f>
        <v>0</v>
      </c>
      <c r="AS126" s="35">
        <f t="shared" si="57"/>
        <v>1781954</v>
      </c>
      <c r="AT126"/>
      <c r="AU126" s="35"/>
      <c r="AV126" s="53"/>
      <c r="AW126" s="35"/>
      <c r="AX126" s="21"/>
      <c r="AZ126" s="21"/>
      <c r="BA126" s="21"/>
      <c r="BE126" s="21"/>
      <c r="BF126" s="21"/>
      <c r="BG126" s="21"/>
      <c r="BH126" s="21"/>
      <c r="BI126" s="21"/>
    </row>
    <row r="127" spans="1:61" ht="14.35" x14ac:dyDescent="0.5">
      <c r="A127" s="8"/>
      <c r="B127" s="25"/>
      <c r="C127" s="25"/>
      <c r="D127">
        <v>92</v>
      </c>
      <c r="E127" s="8">
        <v>101</v>
      </c>
      <c r="F127" s="3" t="s">
        <v>188</v>
      </c>
      <c r="G127" s="54"/>
      <c r="H127">
        <v>3198.16</v>
      </c>
      <c r="I127" s="62"/>
      <c r="J127">
        <v>663</v>
      </c>
      <c r="K127" s="60">
        <f t="shared" si="42"/>
        <v>198.9</v>
      </c>
      <c r="L127" s="60">
        <f t="shared" si="43"/>
        <v>1918.9</v>
      </c>
      <c r="M127" s="60">
        <f t="shared" si="44"/>
        <v>0</v>
      </c>
      <c r="N127" s="60">
        <f t="shared" si="45"/>
        <v>0</v>
      </c>
      <c r="O127" s="51">
        <f t="shared" si="46"/>
        <v>0.21</v>
      </c>
      <c r="P127" s="51">
        <f t="shared" si="59"/>
        <v>0</v>
      </c>
      <c r="Q127" s="34">
        <f t="shared" si="60"/>
        <v>0</v>
      </c>
      <c r="R127" s="34">
        <f t="shared" si="47"/>
        <v>0</v>
      </c>
      <c r="S127">
        <v>137</v>
      </c>
      <c r="T127" s="60">
        <f t="shared" si="48"/>
        <v>34.25</v>
      </c>
      <c r="U127" s="36">
        <f t="shared" si="61"/>
        <v>198.9</v>
      </c>
      <c r="V127" s="9">
        <f t="shared" si="49"/>
        <v>3431.31</v>
      </c>
      <c r="W127" s="60">
        <v>4333468190.3299999</v>
      </c>
      <c r="X127" s="61">
        <v>23683</v>
      </c>
      <c r="Y127" s="17">
        <f t="shared" si="37"/>
        <v>182978.01</v>
      </c>
      <c r="Z127" s="37">
        <f t="shared" si="38"/>
        <v>0.92302700000000004</v>
      </c>
      <c r="AA127" s="61">
        <v>96598</v>
      </c>
      <c r="AB127" s="37">
        <f t="shared" si="39"/>
        <v>0.78723399999999999</v>
      </c>
      <c r="AC127" s="37">
        <f t="shared" si="58"/>
        <v>0.117711</v>
      </c>
      <c r="AD127" s="55">
        <f t="shared" si="50"/>
        <v>0.117711</v>
      </c>
      <c r="AE127" s="38">
        <f t="shared" si="62"/>
        <v>0</v>
      </c>
      <c r="AF127" s="58">
        <f t="shared" si="51"/>
        <v>0.117711</v>
      </c>
      <c r="AG127">
        <v>0</v>
      </c>
      <c r="AH127" s="61">
        <v>0</v>
      </c>
      <c r="AI127" s="11">
        <f t="shared" si="52"/>
        <v>0</v>
      </c>
      <c r="AJ127">
        <v>0</v>
      </c>
      <c r="AK127" s="67"/>
      <c r="AL127" s="11">
        <f t="shared" si="53"/>
        <v>0</v>
      </c>
      <c r="AM127" s="11">
        <f t="shared" si="63"/>
        <v>4654981</v>
      </c>
      <c r="AN127" s="11">
        <f t="shared" si="54"/>
        <v>4654981</v>
      </c>
      <c r="AO127" s="61">
        <v>3860551</v>
      </c>
      <c r="AP127" s="11">
        <f t="shared" si="55"/>
        <v>794430</v>
      </c>
      <c r="AQ127" s="56" t="str">
        <f t="shared" si="56"/>
        <v>Yes</v>
      </c>
      <c r="AR127" s="35">
        <f>IF(AQ127="Yes",+AP127*$I$9,0)</f>
        <v>132431.481</v>
      </c>
      <c r="AS127" s="35">
        <f t="shared" si="57"/>
        <v>3992982.4810000001</v>
      </c>
      <c r="AT127"/>
      <c r="AU127" s="35"/>
      <c r="AV127" s="53"/>
      <c r="AW127" s="35"/>
      <c r="AX127" s="21"/>
      <c r="AZ127" s="21"/>
      <c r="BA127" s="21"/>
      <c r="BE127" s="21"/>
      <c r="BF127" s="21"/>
      <c r="BG127" s="21"/>
      <c r="BH127" s="21"/>
      <c r="BI127" s="21"/>
    </row>
    <row r="128" spans="1:61" ht="14.35" x14ac:dyDescent="0.5">
      <c r="A128" s="8"/>
      <c r="B128" s="25"/>
      <c r="C128" s="25"/>
      <c r="D128">
        <v>76</v>
      </c>
      <c r="E128" s="8">
        <v>102</v>
      </c>
      <c r="F128" s="3" t="s">
        <v>189</v>
      </c>
      <c r="G128" s="54"/>
      <c r="H128">
        <v>765.73</v>
      </c>
      <c r="I128" s="62"/>
      <c r="J128">
        <v>150</v>
      </c>
      <c r="K128" s="60">
        <f t="shared" si="42"/>
        <v>45</v>
      </c>
      <c r="L128" s="60">
        <f t="shared" si="43"/>
        <v>459.44</v>
      </c>
      <c r="M128" s="60">
        <f t="shared" si="44"/>
        <v>0</v>
      </c>
      <c r="N128" s="60">
        <f t="shared" si="45"/>
        <v>0</v>
      </c>
      <c r="O128" s="51">
        <f t="shared" si="46"/>
        <v>0.2</v>
      </c>
      <c r="P128" s="51">
        <f t="shared" si="59"/>
        <v>0</v>
      </c>
      <c r="Q128" s="34">
        <f t="shared" si="60"/>
        <v>0</v>
      </c>
      <c r="R128" s="34">
        <f t="shared" si="47"/>
        <v>0</v>
      </c>
      <c r="S128">
        <v>0</v>
      </c>
      <c r="T128" s="60">
        <f t="shared" si="48"/>
        <v>0</v>
      </c>
      <c r="U128" s="36">
        <f t="shared" si="61"/>
        <v>45</v>
      </c>
      <c r="V128" s="9">
        <f t="shared" si="49"/>
        <v>810.73</v>
      </c>
      <c r="W128" s="60">
        <v>834873446</v>
      </c>
      <c r="X128" s="61">
        <v>5196</v>
      </c>
      <c r="Y128" s="17">
        <f t="shared" si="37"/>
        <v>160676.18</v>
      </c>
      <c r="Z128" s="37">
        <f t="shared" si="38"/>
        <v>0.81052599999999997</v>
      </c>
      <c r="AA128" s="61">
        <v>75833</v>
      </c>
      <c r="AB128" s="37">
        <f t="shared" si="39"/>
        <v>0.618008</v>
      </c>
      <c r="AC128" s="37">
        <f t="shared" si="58"/>
        <v>0.247229</v>
      </c>
      <c r="AD128" s="55">
        <f t="shared" si="50"/>
        <v>0.247229</v>
      </c>
      <c r="AE128" s="38">
        <f t="shared" si="62"/>
        <v>0</v>
      </c>
      <c r="AF128" s="58">
        <f t="shared" si="51"/>
        <v>0.247229</v>
      </c>
      <c r="AG128">
        <v>0</v>
      </c>
      <c r="AH128" s="61">
        <v>0</v>
      </c>
      <c r="AI128" s="11">
        <f t="shared" si="52"/>
        <v>0</v>
      </c>
      <c r="AJ128">
        <v>0</v>
      </c>
      <c r="AK128" s="67"/>
      <c r="AL128" s="11">
        <f t="shared" si="53"/>
        <v>0</v>
      </c>
      <c r="AM128" s="11">
        <f t="shared" si="63"/>
        <v>2310025</v>
      </c>
      <c r="AN128" s="11">
        <f t="shared" si="54"/>
        <v>2310025</v>
      </c>
      <c r="AO128" s="61">
        <v>2584204</v>
      </c>
      <c r="AP128" s="11">
        <f t="shared" si="55"/>
        <v>0</v>
      </c>
      <c r="AQ128" s="56" t="str">
        <f t="shared" si="56"/>
        <v>No</v>
      </c>
      <c r="AR128" s="35">
        <f>IF(AQ128="Yes",+AP128*$I$9,0)</f>
        <v>0</v>
      </c>
      <c r="AS128" s="35">
        <f t="shared" si="57"/>
        <v>2584204</v>
      </c>
      <c r="AT128"/>
      <c r="AU128" s="35"/>
      <c r="AV128" s="53"/>
      <c r="AW128" s="35"/>
      <c r="AX128" s="21"/>
      <c r="AZ128" s="21"/>
      <c r="BA128" s="21"/>
      <c r="BE128" s="21"/>
      <c r="BF128" s="21"/>
      <c r="BG128" s="21"/>
      <c r="BH128" s="21"/>
      <c r="BI128" s="21"/>
    </row>
    <row r="129" spans="1:61" ht="14.35" x14ac:dyDescent="0.5">
      <c r="A129" s="8">
        <v>1</v>
      </c>
      <c r="B129" s="25">
        <v>1</v>
      </c>
      <c r="C129" s="25">
        <f t="shared" ref="C129:C130" si="64">+A129+B129</f>
        <v>2</v>
      </c>
      <c r="D129">
        <v>72</v>
      </c>
      <c r="E129" s="8">
        <v>103</v>
      </c>
      <c r="F129" s="3" t="s">
        <v>190</v>
      </c>
      <c r="G129" s="54"/>
      <c r="H129">
        <v>11823.28</v>
      </c>
      <c r="I129" s="62"/>
      <c r="J129">
        <v>6305</v>
      </c>
      <c r="K129" s="60">
        <f t="shared" si="42"/>
        <v>1891.5</v>
      </c>
      <c r="L129" s="60">
        <f t="shared" si="43"/>
        <v>7093.97</v>
      </c>
      <c r="M129" s="60">
        <f t="shared" si="44"/>
        <v>0</v>
      </c>
      <c r="N129" s="60">
        <f t="shared" si="45"/>
        <v>0</v>
      </c>
      <c r="O129" s="51">
        <f t="shared" si="46"/>
        <v>0.53</v>
      </c>
      <c r="P129" s="51">
        <f t="shared" si="59"/>
        <v>0</v>
      </c>
      <c r="Q129" s="34">
        <f t="shared" si="60"/>
        <v>0</v>
      </c>
      <c r="R129" s="34">
        <f t="shared" si="47"/>
        <v>0</v>
      </c>
      <c r="S129">
        <v>2061</v>
      </c>
      <c r="T129" s="60">
        <f t="shared" si="48"/>
        <v>515.25</v>
      </c>
      <c r="U129" s="36">
        <f t="shared" si="61"/>
        <v>1891.5</v>
      </c>
      <c r="V129" s="9">
        <f t="shared" si="49"/>
        <v>14230.03</v>
      </c>
      <c r="W129" s="60">
        <v>20281986726.330002</v>
      </c>
      <c r="X129" s="61">
        <v>88816</v>
      </c>
      <c r="Y129" s="17">
        <f t="shared" si="37"/>
        <v>228359.61</v>
      </c>
      <c r="Z129" s="37">
        <f t="shared" si="38"/>
        <v>1.151953</v>
      </c>
      <c r="AA129" s="61">
        <v>85769</v>
      </c>
      <c r="AB129" s="37">
        <f t="shared" si="39"/>
        <v>0.69898199999999999</v>
      </c>
      <c r="AC129" s="37">
        <f t="shared" si="58"/>
        <v>-1.6062E-2</v>
      </c>
      <c r="AD129" s="55">
        <f t="shared" si="50"/>
        <v>0.1</v>
      </c>
      <c r="AE129" s="38">
        <f t="shared" si="62"/>
        <v>0</v>
      </c>
      <c r="AF129" s="58">
        <f t="shared" si="51"/>
        <v>0.1</v>
      </c>
      <c r="AG129">
        <v>0</v>
      </c>
      <c r="AH129" s="61">
        <v>0</v>
      </c>
      <c r="AI129" s="11">
        <f t="shared" si="52"/>
        <v>0</v>
      </c>
      <c r="AJ129">
        <v>0</v>
      </c>
      <c r="AK129" s="67"/>
      <c r="AL129" s="11">
        <f t="shared" si="53"/>
        <v>0</v>
      </c>
      <c r="AM129" s="11">
        <f t="shared" si="63"/>
        <v>16400110</v>
      </c>
      <c r="AN129" s="11">
        <f t="shared" si="54"/>
        <v>16400110</v>
      </c>
      <c r="AO129" s="61">
        <v>13178830</v>
      </c>
      <c r="AP129" s="11">
        <f t="shared" si="55"/>
        <v>3221280</v>
      </c>
      <c r="AQ129" s="56" t="str">
        <f t="shared" si="56"/>
        <v>Yes</v>
      </c>
      <c r="AR129" s="35">
        <f>IF(AQ129="Yes",+AP129*$I$9,0)</f>
        <v>536987.37599999993</v>
      </c>
      <c r="AS129" s="35">
        <f t="shared" si="57"/>
        <v>13715817.376</v>
      </c>
      <c r="AT129"/>
      <c r="AU129" s="35"/>
      <c r="AV129" s="53"/>
      <c r="AW129" s="35"/>
      <c r="AX129" s="21"/>
      <c r="AZ129" s="21"/>
      <c r="BA129" s="21"/>
      <c r="BE129" s="21"/>
      <c r="BF129" s="21"/>
      <c r="BG129" s="21"/>
      <c r="BH129" s="21"/>
      <c r="BI129" s="21"/>
    </row>
    <row r="130" spans="1:61" ht="14.35" x14ac:dyDescent="0.5">
      <c r="A130" s="8">
        <v>1</v>
      </c>
      <c r="B130" s="25">
        <v>1</v>
      </c>
      <c r="C130" s="25">
        <f t="shared" si="64"/>
        <v>2</v>
      </c>
      <c r="D130">
        <v>7</v>
      </c>
      <c r="E130" s="8">
        <v>104</v>
      </c>
      <c r="F130" s="3" t="s">
        <v>191</v>
      </c>
      <c r="G130" s="54"/>
      <c r="H130">
        <v>4961</v>
      </c>
      <c r="I130" s="63"/>
      <c r="J130">
        <v>3071</v>
      </c>
      <c r="K130" s="60">
        <f t="shared" si="42"/>
        <v>921.3</v>
      </c>
      <c r="L130" s="60">
        <f t="shared" si="43"/>
        <v>2976.6</v>
      </c>
      <c r="M130" s="60">
        <f t="shared" si="44"/>
        <v>94.400000000000091</v>
      </c>
      <c r="N130" s="60">
        <f t="shared" si="45"/>
        <v>14.16</v>
      </c>
      <c r="O130" s="51">
        <f t="shared" si="46"/>
        <v>0.62</v>
      </c>
      <c r="P130" s="51">
        <f t="shared" si="59"/>
        <v>2.0000000000000018E-2</v>
      </c>
      <c r="Q130" s="34">
        <f t="shared" si="60"/>
        <v>99.22</v>
      </c>
      <c r="R130" s="34">
        <f t="shared" si="47"/>
        <v>14.88</v>
      </c>
      <c r="S130">
        <v>836</v>
      </c>
      <c r="T130" s="60">
        <f t="shared" si="48"/>
        <v>209</v>
      </c>
      <c r="U130" s="36">
        <f t="shared" si="61"/>
        <v>921.3</v>
      </c>
      <c r="V130" s="9">
        <f t="shared" si="49"/>
        <v>6105.46</v>
      </c>
      <c r="W130" s="60">
        <v>2914284027.3299999</v>
      </c>
      <c r="X130" s="61">
        <v>38768</v>
      </c>
      <c r="Y130" s="17">
        <f t="shared" si="37"/>
        <v>75172.41</v>
      </c>
      <c r="Z130" s="37">
        <f t="shared" si="38"/>
        <v>0.37920500000000001</v>
      </c>
      <c r="AA130" s="61">
        <v>57052</v>
      </c>
      <c r="AB130" s="37">
        <f t="shared" si="39"/>
        <v>0.46494999999999997</v>
      </c>
      <c r="AC130" s="37">
        <f t="shared" si="58"/>
        <v>0.59507200000000005</v>
      </c>
      <c r="AD130" s="55">
        <f t="shared" si="50"/>
        <v>0.59507200000000005</v>
      </c>
      <c r="AE130" s="38">
        <f t="shared" si="62"/>
        <v>0.05</v>
      </c>
      <c r="AF130" s="58">
        <f t="shared" si="51"/>
        <v>0.64507200000000009</v>
      </c>
      <c r="AG130">
        <v>0</v>
      </c>
      <c r="AH130" s="65">
        <v>0</v>
      </c>
      <c r="AI130" s="11">
        <f t="shared" si="52"/>
        <v>0</v>
      </c>
      <c r="AJ130">
        <v>1435</v>
      </c>
      <c r="AK130" s="67">
        <v>4</v>
      </c>
      <c r="AL130" s="11">
        <f t="shared" si="53"/>
        <v>574000</v>
      </c>
      <c r="AM130" s="11">
        <f t="shared" si="63"/>
        <v>45390766</v>
      </c>
      <c r="AN130" s="11">
        <f t="shared" si="54"/>
        <v>45964766</v>
      </c>
      <c r="AO130" s="61">
        <v>40544337</v>
      </c>
      <c r="AP130" s="11">
        <f t="shared" si="55"/>
        <v>5420429</v>
      </c>
      <c r="AQ130" s="56" t="str">
        <f t="shared" si="56"/>
        <v>Yes</v>
      </c>
      <c r="AR130" s="35">
        <f>IF(AQ130="Yes",+AP130*$I$9,0)</f>
        <v>903585.51429999992</v>
      </c>
      <c r="AS130" s="35">
        <f t="shared" si="57"/>
        <v>41447922.514300004</v>
      </c>
      <c r="AT130"/>
      <c r="AU130" s="35"/>
      <c r="AV130" s="53"/>
      <c r="AW130" s="35"/>
      <c r="AX130" s="21"/>
      <c r="AZ130" s="21"/>
      <c r="BA130" s="21"/>
      <c r="BE130" s="21"/>
      <c r="BF130" s="21"/>
      <c r="BG130" s="21"/>
      <c r="BH130" s="21"/>
      <c r="BI130" s="21"/>
    </row>
    <row r="131" spans="1:61" ht="14.35" x14ac:dyDescent="0.5">
      <c r="A131" s="8"/>
      <c r="B131" s="25"/>
      <c r="C131" s="25"/>
      <c r="D131">
        <v>148</v>
      </c>
      <c r="E131" s="8">
        <v>105</v>
      </c>
      <c r="F131" s="3" t="s">
        <v>192</v>
      </c>
      <c r="G131" s="54"/>
      <c r="H131">
        <v>1062.32</v>
      </c>
      <c r="I131" s="62"/>
      <c r="J131">
        <v>161</v>
      </c>
      <c r="K131" s="60">
        <f t="shared" si="42"/>
        <v>48.3</v>
      </c>
      <c r="L131" s="60">
        <f t="shared" si="43"/>
        <v>637.39</v>
      </c>
      <c r="M131" s="60">
        <f t="shared" si="44"/>
        <v>0</v>
      </c>
      <c r="N131" s="60">
        <f t="shared" si="45"/>
        <v>0</v>
      </c>
      <c r="O131" s="51">
        <f t="shared" si="46"/>
        <v>0.15</v>
      </c>
      <c r="P131" s="51">
        <f t="shared" si="59"/>
        <v>0</v>
      </c>
      <c r="Q131" s="34">
        <f t="shared" si="60"/>
        <v>0</v>
      </c>
      <c r="R131" s="34">
        <f t="shared" si="47"/>
        <v>0</v>
      </c>
      <c r="S131">
        <v>26</v>
      </c>
      <c r="T131" s="60">
        <f t="shared" si="48"/>
        <v>6.5</v>
      </c>
      <c r="U131" s="36">
        <f t="shared" si="61"/>
        <v>48.3</v>
      </c>
      <c r="V131" s="9">
        <f t="shared" si="49"/>
        <v>1117.1199999999999</v>
      </c>
      <c r="W131" s="60">
        <v>2281273413.6700001</v>
      </c>
      <c r="X131" s="61">
        <v>7306</v>
      </c>
      <c r="Y131" s="17">
        <f t="shared" si="37"/>
        <v>312246.57</v>
      </c>
      <c r="Z131" s="37">
        <f t="shared" si="38"/>
        <v>1.575118</v>
      </c>
      <c r="AA131" s="61">
        <v>96567</v>
      </c>
      <c r="AB131" s="37">
        <f t="shared" si="39"/>
        <v>0.78698199999999996</v>
      </c>
      <c r="AC131" s="37">
        <f t="shared" si="58"/>
        <v>-0.33867700000000001</v>
      </c>
      <c r="AD131" s="55">
        <f t="shared" si="50"/>
        <v>0.01</v>
      </c>
      <c r="AE131" s="38">
        <f t="shared" si="62"/>
        <v>0</v>
      </c>
      <c r="AF131" s="58">
        <f t="shared" si="51"/>
        <v>0.01</v>
      </c>
      <c r="AG131">
        <v>1061</v>
      </c>
      <c r="AH131" s="61">
        <v>13</v>
      </c>
      <c r="AI131" s="11">
        <f t="shared" si="52"/>
        <v>1379300</v>
      </c>
      <c r="AJ131">
        <v>0</v>
      </c>
      <c r="AK131" s="67"/>
      <c r="AL131" s="11">
        <f t="shared" si="53"/>
        <v>0</v>
      </c>
      <c r="AM131" s="11">
        <f t="shared" si="63"/>
        <v>128748</v>
      </c>
      <c r="AN131" s="11">
        <f t="shared" si="54"/>
        <v>1508048</v>
      </c>
      <c r="AO131" s="61">
        <v>370531</v>
      </c>
      <c r="AP131" s="11">
        <f t="shared" si="55"/>
        <v>1137517</v>
      </c>
      <c r="AQ131" s="56" t="str">
        <f t="shared" si="56"/>
        <v>Yes</v>
      </c>
      <c r="AR131" s="35">
        <f>IF(AQ131="Yes",+AP131*$I$9,0)</f>
        <v>189624.0839</v>
      </c>
      <c r="AS131" s="35">
        <f t="shared" si="57"/>
        <v>560155.08389999997</v>
      </c>
      <c r="AT131"/>
      <c r="AU131" s="35"/>
      <c r="AV131" s="53"/>
      <c r="AW131" s="35"/>
      <c r="AX131" s="21"/>
      <c r="AZ131" s="21"/>
      <c r="BA131" s="21"/>
      <c r="BE131" s="21"/>
      <c r="BF131" s="21"/>
      <c r="BG131" s="21"/>
      <c r="BH131" s="21"/>
      <c r="BI131" s="21"/>
    </row>
    <row r="132" spans="1:61" ht="14.35" x14ac:dyDescent="0.5">
      <c r="A132" s="8"/>
      <c r="B132" s="25"/>
      <c r="C132" s="25"/>
      <c r="D132">
        <v>144</v>
      </c>
      <c r="E132" s="8">
        <v>106</v>
      </c>
      <c r="F132" s="3" t="s">
        <v>193</v>
      </c>
      <c r="G132" s="54"/>
      <c r="H132">
        <v>1032.68</v>
      </c>
      <c r="I132" s="62"/>
      <c r="J132">
        <v>277</v>
      </c>
      <c r="K132" s="60">
        <f t="shared" si="42"/>
        <v>83.1</v>
      </c>
      <c r="L132" s="60">
        <f t="shared" si="43"/>
        <v>619.61</v>
      </c>
      <c r="M132" s="60">
        <f t="shared" si="44"/>
        <v>0</v>
      </c>
      <c r="N132" s="60">
        <f t="shared" si="45"/>
        <v>0</v>
      </c>
      <c r="O132" s="51">
        <f t="shared" si="46"/>
        <v>0.27</v>
      </c>
      <c r="P132" s="51">
        <f t="shared" si="59"/>
        <v>0</v>
      </c>
      <c r="Q132" s="34">
        <f t="shared" si="60"/>
        <v>0</v>
      </c>
      <c r="R132" s="34">
        <f t="shared" si="47"/>
        <v>0</v>
      </c>
      <c r="S132">
        <v>77</v>
      </c>
      <c r="T132" s="60">
        <f t="shared" si="48"/>
        <v>19.25</v>
      </c>
      <c r="U132" s="36">
        <f t="shared" si="61"/>
        <v>83.1</v>
      </c>
      <c r="V132" s="9">
        <f t="shared" si="49"/>
        <v>1135.03</v>
      </c>
      <c r="W132" s="60">
        <v>3299698374.6700001</v>
      </c>
      <c r="X132" s="61">
        <v>10061</v>
      </c>
      <c r="Y132" s="17">
        <f t="shared" si="37"/>
        <v>327969.23</v>
      </c>
      <c r="Z132" s="37">
        <f t="shared" si="38"/>
        <v>1.6544300000000001</v>
      </c>
      <c r="AA132" s="61">
        <v>83132</v>
      </c>
      <c r="AB132" s="37">
        <f t="shared" si="39"/>
        <v>0.67749199999999998</v>
      </c>
      <c r="AC132" s="37">
        <f t="shared" si="58"/>
        <v>-0.36134899999999998</v>
      </c>
      <c r="AD132" s="55">
        <f t="shared" si="50"/>
        <v>0.01</v>
      </c>
      <c r="AE132" s="38">
        <f t="shared" si="62"/>
        <v>0</v>
      </c>
      <c r="AF132" s="58">
        <f t="shared" si="51"/>
        <v>0.01</v>
      </c>
      <c r="AG132">
        <v>0</v>
      </c>
      <c r="AH132" s="61">
        <v>0</v>
      </c>
      <c r="AI132" s="11">
        <f t="shared" si="52"/>
        <v>0</v>
      </c>
      <c r="AJ132">
        <v>0</v>
      </c>
      <c r="AK132" s="67"/>
      <c r="AL132" s="11">
        <f t="shared" si="53"/>
        <v>0</v>
      </c>
      <c r="AM132" s="11">
        <f t="shared" si="63"/>
        <v>130812</v>
      </c>
      <c r="AN132" s="11">
        <f t="shared" si="54"/>
        <v>130812</v>
      </c>
      <c r="AO132" s="61">
        <v>130783</v>
      </c>
      <c r="AP132" s="11">
        <f t="shared" si="55"/>
        <v>29</v>
      </c>
      <c r="AQ132" s="56" t="str">
        <f t="shared" si="56"/>
        <v>Yes</v>
      </c>
      <c r="AR132" s="35">
        <f>IF(AQ132="Yes",+AP132*$I$9,0)</f>
        <v>4.8342999999999998</v>
      </c>
      <c r="AS132" s="35">
        <f t="shared" si="57"/>
        <v>130787.8343</v>
      </c>
      <c r="AT132"/>
      <c r="AU132" s="35"/>
      <c r="AV132" s="53"/>
      <c r="AW132" s="35"/>
      <c r="AX132" s="21"/>
      <c r="AZ132" s="21"/>
      <c r="BA132" s="21"/>
      <c r="BE132" s="21"/>
      <c r="BF132" s="21"/>
      <c r="BG132" s="21"/>
      <c r="BH132" s="21"/>
      <c r="BI132" s="21"/>
    </row>
    <row r="133" spans="1:61" ht="14.35" x14ac:dyDescent="0.5">
      <c r="A133" s="8"/>
      <c r="B133" s="25"/>
      <c r="C133" s="25"/>
      <c r="D133">
        <v>130</v>
      </c>
      <c r="E133" s="8">
        <v>107</v>
      </c>
      <c r="F133" s="3" t="s">
        <v>194</v>
      </c>
      <c r="G133" s="54"/>
      <c r="H133">
        <v>2313.38</v>
      </c>
      <c r="I133" s="62"/>
      <c r="J133">
        <v>319</v>
      </c>
      <c r="K133" s="60">
        <f t="shared" si="42"/>
        <v>95.7</v>
      </c>
      <c r="L133" s="60">
        <f t="shared" si="43"/>
        <v>1388.03</v>
      </c>
      <c r="M133" s="60">
        <f t="shared" si="44"/>
        <v>0</v>
      </c>
      <c r="N133" s="60">
        <f t="shared" si="45"/>
        <v>0</v>
      </c>
      <c r="O133" s="51">
        <f t="shared" si="46"/>
        <v>0.14000000000000001</v>
      </c>
      <c r="P133" s="51">
        <f t="shared" si="59"/>
        <v>0</v>
      </c>
      <c r="Q133" s="34">
        <f t="shared" si="60"/>
        <v>0</v>
      </c>
      <c r="R133" s="34">
        <f t="shared" si="47"/>
        <v>0</v>
      </c>
      <c r="S133">
        <v>71</v>
      </c>
      <c r="T133" s="60">
        <f t="shared" si="48"/>
        <v>17.75</v>
      </c>
      <c r="U133" s="36">
        <f t="shared" si="61"/>
        <v>95.7</v>
      </c>
      <c r="V133" s="9">
        <f t="shared" si="49"/>
        <v>2426.83</v>
      </c>
      <c r="W133" s="60">
        <v>3133040373.6700001</v>
      </c>
      <c r="X133" s="61">
        <v>13926</v>
      </c>
      <c r="Y133" s="17">
        <f t="shared" si="37"/>
        <v>224977.77</v>
      </c>
      <c r="Z133" s="37">
        <f t="shared" si="38"/>
        <v>1.1348929999999999</v>
      </c>
      <c r="AA133" s="61">
        <v>121308</v>
      </c>
      <c r="AB133" s="37">
        <f t="shared" si="39"/>
        <v>0.98861100000000002</v>
      </c>
      <c r="AC133" s="37">
        <f t="shared" si="58"/>
        <v>-9.1008000000000006E-2</v>
      </c>
      <c r="AD133" s="55">
        <f t="shared" si="50"/>
        <v>0.01</v>
      </c>
      <c r="AE133" s="38">
        <f t="shared" si="62"/>
        <v>0</v>
      </c>
      <c r="AF133" s="58">
        <f t="shared" si="51"/>
        <v>0.01</v>
      </c>
      <c r="AG133">
        <v>1086</v>
      </c>
      <c r="AH133" s="61">
        <v>6</v>
      </c>
      <c r="AI133" s="11">
        <f t="shared" si="52"/>
        <v>651600</v>
      </c>
      <c r="AJ133">
        <v>0</v>
      </c>
      <c r="AK133" s="67"/>
      <c r="AL133" s="11">
        <f t="shared" si="53"/>
        <v>0</v>
      </c>
      <c r="AM133" s="11">
        <f t="shared" si="63"/>
        <v>279692</v>
      </c>
      <c r="AN133" s="11">
        <f t="shared" si="54"/>
        <v>931292</v>
      </c>
      <c r="AO133" s="61">
        <v>1015498</v>
      </c>
      <c r="AP133" s="11">
        <f t="shared" si="55"/>
        <v>0</v>
      </c>
      <c r="AQ133" s="56" t="str">
        <f t="shared" si="56"/>
        <v>No</v>
      </c>
      <c r="AR133" s="35">
        <f>IF(AQ133="Yes",+AP133*$I$9,0)</f>
        <v>0</v>
      </c>
      <c r="AS133" s="35">
        <f t="shared" si="57"/>
        <v>1015498</v>
      </c>
      <c r="AT133"/>
      <c r="AU133" s="35"/>
      <c r="AV133" s="53"/>
      <c r="AW133" s="35"/>
      <c r="AX133" s="21"/>
      <c r="AZ133" s="21"/>
      <c r="BA133" s="21"/>
      <c r="BE133" s="21"/>
      <c r="BF133" s="21"/>
      <c r="BG133" s="21"/>
      <c r="BH133" s="21"/>
      <c r="BI133" s="21"/>
    </row>
    <row r="134" spans="1:61" ht="14.35" x14ac:dyDescent="0.5">
      <c r="A134" s="8"/>
      <c r="B134" s="25"/>
      <c r="C134" s="25"/>
      <c r="D134">
        <v>131</v>
      </c>
      <c r="E134" s="8">
        <v>108</v>
      </c>
      <c r="F134" s="3" t="s">
        <v>195</v>
      </c>
      <c r="G134" s="54"/>
      <c r="H134">
        <v>1762.08</v>
      </c>
      <c r="I134" s="62"/>
      <c r="J134">
        <v>232</v>
      </c>
      <c r="K134" s="60">
        <f t="shared" si="42"/>
        <v>69.599999999999994</v>
      </c>
      <c r="L134" s="60">
        <f t="shared" si="43"/>
        <v>1057.25</v>
      </c>
      <c r="M134" s="60">
        <f t="shared" si="44"/>
        <v>0</v>
      </c>
      <c r="N134" s="60">
        <f t="shared" si="45"/>
        <v>0</v>
      </c>
      <c r="O134" s="51">
        <f t="shared" si="46"/>
        <v>0.13</v>
      </c>
      <c r="P134" s="51">
        <f t="shared" si="59"/>
        <v>0</v>
      </c>
      <c r="Q134" s="34">
        <f t="shared" si="60"/>
        <v>0</v>
      </c>
      <c r="R134" s="34">
        <f t="shared" si="47"/>
        <v>0</v>
      </c>
      <c r="S134">
        <v>40</v>
      </c>
      <c r="T134" s="60">
        <f t="shared" si="48"/>
        <v>10</v>
      </c>
      <c r="U134" s="36">
        <f t="shared" si="61"/>
        <v>69.599999999999994</v>
      </c>
      <c r="V134" s="9">
        <f t="shared" si="49"/>
        <v>1841.6799999999998</v>
      </c>
      <c r="W134" s="60">
        <v>2344504270</v>
      </c>
      <c r="X134" s="61">
        <v>13255</v>
      </c>
      <c r="Y134" s="17">
        <f t="shared" si="37"/>
        <v>176876.97</v>
      </c>
      <c r="Z134" s="37">
        <f t="shared" si="38"/>
        <v>0.89224999999999999</v>
      </c>
      <c r="AA134" s="61">
        <v>110111</v>
      </c>
      <c r="AB134" s="37">
        <f t="shared" si="39"/>
        <v>0.89736000000000005</v>
      </c>
      <c r="AC134" s="37">
        <f t="shared" si="58"/>
        <v>0.10621700000000001</v>
      </c>
      <c r="AD134" s="55">
        <f t="shared" si="50"/>
        <v>0.10621700000000001</v>
      </c>
      <c r="AE134" s="38">
        <f t="shared" si="62"/>
        <v>0</v>
      </c>
      <c r="AF134" s="58">
        <f t="shared" si="51"/>
        <v>0.10621700000000001</v>
      </c>
      <c r="AG134">
        <v>0</v>
      </c>
      <c r="AH134" s="61">
        <v>0</v>
      </c>
      <c r="AI134" s="11">
        <f t="shared" si="52"/>
        <v>0</v>
      </c>
      <c r="AJ134">
        <v>0</v>
      </c>
      <c r="AK134" s="67"/>
      <c r="AL134" s="11">
        <f t="shared" si="53"/>
        <v>0</v>
      </c>
      <c r="AM134" s="11">
        <f t="shared" si="63"/>
        <v>2254494</v>
      </c>
      <c r="AN134" s="11">
        <f t="shared" si="54"/>
        <v>2254494</v>
      </c>
      <c r="AO134" s="61">
        <v>3677011</v>
      </c>
      <c r="AP134" s="11">
        <f t="shared" si="55"/>
        <v>0</v>
      </c>
      <c r="AQ134" s="56" t="str">
        <f t="shared" si="56"/>
        <v>No</v>
      </c>
      <c r="AR134" s="35">
        <f>IF(AQ134="Yes",+AP134*$I$9,0)</f>
        <v>0</v>
      </c>
      <c r="AS134" s="35">
        <f t="shared" si="57"/>
        <v>3677011</v>
      </c>
      <c r="AT134"/>
      <c r="AU134" s="35"/>
      <c r="AV134" s="53"/>
      <c r="AW134" s="35"/>
      <c r="AX134" s="21"/>
      <c r="AZ134" s="21"/>
      <c r="BA134" s="21"/>
      <c r="BE134" s="21"/>
      <c r="BF134" s="21"/>
      <c r="BG134" s="21"/>
      <c r="BH134" s="21"/>
      <c r="BI134" s="21"/>
    </row>
    <row r="135" spans="1:61" ht="14.35" x14ac:dyDescent="0.5">
      <c r="A135" s="8"/>
      <c r="B135" s="25">
        <v>1</v>
      </c>
      <c r="C135" s="25">
        <f>+A135+B135</f>
        <v>1</v>
      </c>
      <c r="D135">
        <v>29</v>
      </c>
      <c r="E135" s="8">
        <v>109</v>
      </c>
      <c r="F135" s="3" t="s">
        <v>196</v>
      </c>
      <c r="G135" s="54"/>
      <c r="H135">
        <v>2009.48</v>
      </c>
      <c r="I135" s="63"/>
      <c r="J135">
        <v>1138</v>
      </c>
      <c r="K135" s="60">
        <f t="shared" si="42"/>
        <v>341.4</v>
      </c>
      <c r="L135" s="60">
        <f t="shared" si="43"/>
        <v>1205.69</v>
      </c>
      <c r="M135" s="60">
        <f t="shared" si="44"/>
        <v>0</v>
      </c>
      <c r="N135" s="60">
        <f t="shared" si="45"/>
        <v>0</v>
      </c>
      <c r="O135" s="51">
        <f t="shared" si="46"/>
        <v>0.56999999999999995</v>
      </c>
      <c r="P135" s="51">
        <f t="shared" si="59"/>
        <v>0</v>
      </c>
      <c r="Q135" s="34">
        <f t="shared" si="60"/>
        <v>0</v>
      </c>
      <c r="R135" s="34">
        <f t="shared" si="47"/>
        <v>0</v>
      </c>
      <c r="S135">
        <v>33</v>
      </c>
      <c r="T135" s="60">
        <f t="shared" si="48"/>
        <v>8.25</v>
      </c>
      <c r="U135" s="36">
        <f t="shared" si="61"/>
        <v>341.4</v>
      </c>
      <c r="V135" s="9">
        <f t="shared" si="49"/>
        <v>2359.13</v>
      </c>
      <c r="W135" s="60">
        <v>1555308825</v>
      </c>
      <c r="X135" s="61">
        <v>15125</v>
      </c>
      <c r="Y135" s="17">
        <f t="shared" si="37"/>
        <v>102830.34</v>
      </c>
      <c r="Z135" s="37">
        <f t="shared" si="38"/>
        <v>0.51872399999999996</v>
      </c>
      <c r="AA135" s="61">
        <v>70206</v>
      </c>
      <c r="AB135" s="37">
        <f t="shared" si="39"/>
        <v>0.57215000000000005</v>
      </c>
      <c r="AC135" s="37">
        <f t="shared" si="58"/>
        <v>0.46524799999999999</v>
      </c>
      <c r="AD135" s="55">
        <f t="shared" si="50"/>
        <v>0.46524799999999999</v>
      </c>
      <c r="AE135" s="38">
        <f t="shared" si="62"/>
        <v>0</v>
      </c>
      <c r="AF135" s="58">
        <f t="shared" si="51"/>
        <v>0.46524799999999999</v>
      </c>
      <c r="AG135">
        <v>0</v>
      </c>
      <c r="AH135" s="61">
        <v>0</v>
      </c>
      <c r="AI135" s="11">
        <f t="shared" si="52"/>
        <v>0</v>
      </c>
      <c r="AJ135">
        <v>0</v>
      </c>
      <c r="AK135" s="67"/>
      <c r="AL135" s="11">
        <f t="shared" si="53"/>
        <v>0</v>
      </c>
      <c r="AM135" s="11">
        <f t="shared" si="63"/>
        <v>12649615</v>
      </c>
      <c r="AN135" s="11">
        <f t="shared" si="54"/>
        <v>12649615</v>
      </c>
      <c r="AO135" s="61">
        <v>14990047</v>
      </c>
      <c r="AP135" s="11">
        <f t="shared" si="55"/>
        <v>0</v>
      </c>
      <c r="AQ135" s="56" t="str">
        <f t="shared" si="56"/>
        <v>No</v>
      </c>
      <c r="AR135" s="35">
        <f>IF(AQ135="Yes",+AP135*$I$9,0)</f>
        <v>0</v>
      </c>
      <c r="AS135" s="35">
        <f t="shared" si="57"/>
        <v>14990047</v>
      </c>
      <c r="AT135"/>
      <c r="AU135" s="35"/>
      <c r="AV135" s="53"/>
      <c r="AW135" s="35"/>
      <c r="AX135" s="21"/>
      <c r="AZ135" s="21"/>
      <c r="BA135" s="21"/>
      <c r="BE135" s="21"/>
      <c r="BF135" s="21"/>
      <c r="BG135" s="21"/>
      <c r="BH135" s="21"/>
      <c r="BI135" s="21"/>
    </row>
    <row r="136" spans="1:61" ht="14.35" x14ac:dyDescent="0.5">
      <c r="A136" s="8"/>
      <c r="B136" s="25"/>
      <c r="C136" s="25"/>
      <c r="D136">
        <v>39</v>
      </c>
      <c r="E136" s="8">
        <v>110</v>
      </c>
      <c r="F136" s="3" t="s">
        <v>197</v>
      </c>
      <c r="G136" s="54"/>
      <c r="H136">
        <v>2305.94</v>
      </c>
      <c r="I136" s="63"/>
      <c r="J136">
        <v>852</v>
      </c>
      <c r="K136" s="60">
        <f t="shared" si="42"/>
        <v>255.6</v>
      </c>
      <c r="L136" s="60">
        <f t="shared" si="43"/>
        <v>1383.56</v>
      </c>
      <c r="M136" s="60">
        <f t="shared" si="44"/>
        <v>0</v>
      </c>
      <c r="N136" s="60">
        <f t="shared" si="45"/>
        <v>0</v>
      </c>
      <c r="O136" s="51">
        <f t="shared" si="46"/>
        <v>0.37</v>
      </c>
      <c r="P136" s="51">
        <f t="shared" si="59"/>
        <v>0</v>
      </c>
      <c r="Q136" s="34">
        <f t="shared" si="60"/>
        <v>0</v>
      </c>
      <c r="R136" s="34">
        <f t="shared" si="47"/>
        <v>0</v>
      </c>
      <c r="S136">
        <v>153</v>
      </c>
      <c r="T136" s="60">
        <f t="shared" si="48"/>
        <v>38.25</v>
      </c>
      <c r="U136" s="36">
        <f t="shared" si="61"/>
        <v>255.6</v>
      </c>
      <c r="V136" s="9">
        <f t="shared" si="49"/>
        <v>2599.79</v>
      </c>
      <c r="W136" s="60">
        <v>2136524282</v>
      </c>
      <c r="X136" s="61">
        <v>17534</v>
      </c>
      <c r="Y136" s="17">
        <f t="shared" si="37"/>
        <v>121850.36</v>
      </c>
      <c r="Z136" s="37">
        <f t="shared" si="38"/>
        <v>0.61467000000000005</v>
      </c>
      <c r="AA136" s="61">
        <v>72175</v>
      </c>
      <c r="AB136" s="37">
        <f t="shared" si="39"/>
        <v>0.58819699999999997</v>
      </c>
      <c r="AC136" s="37">
        <f t="shared" si="58"/>
        <v>0.39327200000000001</v>
      </c>
      <c r="AD136" s="55">
        <f t="shared" si="50"/>
        <v>0.39327200000000001</v>
      </c>
      <c r="AE136" s="38">
        <f t="shared" si="62"/>
        <v>0</v>
      </c>
      <c r="AF136" s="58">
        <f t="shared" si="51"/>
        <v>0.39327200000000001</v>
      </c>
      <c r="AG136">
        <v>0</v>
      </c>
      <c r="AH136" s="61">
        <v>0</v>
      </c>
      <c r="AI136" s="11">
        <f t="shared" si="52"/>
        <v>0</v>
      </c>
      <c r="AJ136">
        <v>0</v>
      </c>
      <c r="AK136" s="67"/>
      <c r="AL136" s="11">
        <f t="shared" si="53"/>
        <v>0</v>
      </c>
      <c r="AM136" s="11">
        <f t="shared" si="63"/>
        <v>11783444</v>
      </c>
      <c r="AN136" s="11">
        <f t="shared" si="54"/>
        <v>11783444</v>
      </c>
      <c r="AO136" s="61">
        <v>11004705</v>
      </c>
      <c r="AP136" s="11">
        <f t="shared" si="55"/>
        <v>778739</v>
      </c>
      <c r="AQ136" s="56" t="str">
        <f t="shared" si="56"/>
        <v>Yes</v>
      </c>
      <c r="AR136" s="35">
        <f>IF(AQ136="Yes",+AP136*$I$9,0)</f>
        <v>129815.7913</v>
      </c>
      <c r="AS136" s="35">
        <f t="shared" si="57"/>
        <v>11134520.791300001</v>
      </c>
      <c r="AT136"/>
      <c r="AU136" s="35"/>
      <c r="AV136" s="53"/>
      <c r="AW136" s="35"/>
      <c r="AX136" s="21"/>
      <c r="AZ136" s="21"/>
      <c r="BA136" s="21"/>
      <c r="BE136" s="21"/>
      <c r="BF136" s="21"/>
      <c r="BG136" s="21"/>
      <c r="BH136" s="21"/>
      <c r="BI136" s="21"/>
    </row>
    <row r="137" spans="1:61" ht="14.35" x14ac:dyDescent="0.5">
      <c r="A137" s="8"/>
      <c r="B137" s="25"/>
      <c r="C137" s="25"/>
      <c r="D137">
        <v>28</v>
      </c>
      <c r="E137" s="8">
        <v>111</v>
      </c>
      <c r="F137" s="3" t="s">
        <v>198</v>
      </c>
      <c r="G137" s="54"/>
      <c r="H137">
        <v>1424.79</v>
      </c>
      <c r="I137" s="63"/>
      <c r="J137">
        <v>604</v>
      </c>
      <c r="K137" s="60">
        <f t="shared" si="42"/>
        <v>181.2</v>
      </c>
      <c r="L137" s="60">
        <f t="shared" si="43"/>
        <v>854.87</v>
      </c>
      <c r="M137" s="60">
        <f t="shared" si="44"/>
        <v>0</v>
      </c>
      <c r="N137" s="60">
        <f t="shared" si="45"/>
        <v>0</v>
      </c>
      <c r="O137" s="51">
        <f t="shared" si="46"/>
        <v>0.42</v>
      </c>
      <c r="P137" s="51">
        <f t="shared" si="59"/>
        <v>0</v>
      </c>
      <c r="Q137" s="34">
        <f t="shared" si="60"/>
        <v>0</v>
      </c>
      <c r="R137" s="34">
        <f t="shared" si="47"/>
        <v>0</v>
      </c>
      <c r="S137">
        <v>24</v>
      </c>
      <c r="T137" s="60">
        <f t="shared" si="48"/>
        <v>6</v>
      </c>
      <c r="U137" s="36">
        <f t="shared" si="61"/>
        <v>181.2</v>
      </c>
      <c r="V137" s="9">
        <f t="shared" si="49"/>
        <v>1611.99</v>
      </c>
      <c r="W137" s="60">
        <v>1138409087</v>
      </c>
      <c r="X137" s="61">
        <v>11598</v>
      </c>
      <c r="Y137" s="17">
        <f t="shared" si="37"/>
        <v>98155.64</v>
      </c>
      <c r="Z137" s="37">
        <f t="shared" si="38"/>
        <v>0.495143</v>
      </c>
      <c r="AA137" s="61">
        <v>82063</v>
      </c>
      <c r="AB137" s="37">
        <f t="shared" si="39"/>
        <v>0.66878000000000004</v>
      </c>
      <c r="AC137" s="37">
        <f t="shared" si="58"/>
        <v>0.452766</v>
      </c>
      <c r="AD137" s="55">
        <f t="shared" si="50"/>
        <v>0.452766</v>
      </c>
      <c r="AE137" s="38">
        <f t="shared" si="62"/>
        <v>0</v>
      </c>
      <c r="AF137" s="58">
        <f t="shared" si="51"/>
        <v>0.452766</v>
      </c>
      <c r="AG137">
        <v>0</v>
      </c>
      <c r="AH137" s="61">
        <v>0</v>
      </c>
      <c r="AI137" s="11">
        <f t="shared" si="52"/>
        <v>0</v>
      </c>
      <c r="AJ137">
        <v>0</v>
      </c>
      <c r="AK137" s="67"/>
      <c r="AL137" s="11">
        <f t="shared" si="53"/>
        <v>0</v>
      </c>
      <c r="AM137" s="11">
        <f t="shared" si="63"/>
        <v>8411570</v>
      </c>
      <c r="AN137" s="11">
        <f t="shared" si="54"/>
        <v>8411570</v>
      </c>
      <c r="AO137" s="61">
        <v>9802121</v>
      </c>
      <c r="AP137" s="11">
        <f t="shared" si="55"/>
        <v>0</v>
      </c>
      <c r="AQ137" s="56" t="str">
        <f t="shared" si="56"/>
        <v>No</v>
      </c>
      <c r="AR137" s="35">
        <f>IF(AQ137="Yes",+AP137*$I$9,0)</f>
        <v>0</v>
      </c>
      <c r="AS137" s="35">
        <f t="shared" si="57"/>
        <v>9802121</v>
      </c>
      <c r="AT137"/>
      <c r="AU137" s="35"/>
      <c r="AV137" s="53"/>
      <c r="AW137" s="35"/>
      <c r="AX137" s="21"/>
      <c r="AZ137" s="21"/>
      <c r="BA137" s="21"/>
      <c r="BE137" s="21"/>
      <c r="BF137" s="21"/>
      <c r="BG137" s="21"/>
      <c r="BH137" s="21"/>
      <c r="BI137" s="21"/>
    </row>
    <row r="138" spans="1:61" ht="14.35" x14ac:dyDescent="0.5">
      <c r="A138" s="8"/>
      <c r="B138" s="25"/>
      <c r="C138" s="25"/>
      <c r="D138">
        <v>135</v>
      </c>
      <c r="E138" s="8">
        <v>112</v>
      </c>
      <c r="F138" s="3" t="s">
        <v>199</v>
      </c>
      <c r="G138" s="54"/>
      <c r="H138">
        <v>555.28</v>
      </c>
      <c r="I138" s="62"/>
      <c r="J138">
        <v>86</v>
      </c>
      <c r="K138" s="60">
        <f t="shared" si="42"/>
        <v>25.8</v>
      </c>
      <c r="L138" s="60">
        <f t="shared" si="43"/>
        <v>333.17</v>
      </c>
      <c r="M138" s="60">
        <f t="shared" si="44"/>
        <v>0</v>
      </c>
      <c r="N138" s="60">
        <f t="shared" si="45"/>
        <v>0</v>
      </c>
      <c r="O138" s="51">
        <f t="shared" si="46"/>
        <v>0.15</v>
      </c>
      <c r="P138" s="51">
        <f t="shared" si="59"/>
        <v>0</v>
      </c>
      <c r="Q138" s="34">
        <f t="shared" si="60"/>
        <v>0</v>
      </c>
      <c r="R138" s="34">
        <f t="shared" si="47"/>
        <v>0</v>
      </c>
      <c r="S138">
        <v>1</v>
      </c>
      <c r="T138" s="60">
        <f t="shared" si="48"/>
        <v>0.25</v>
      </c>
      <c r="U138" s="36">
        <f t="shared" si="61"/>
        <v>25.8</v>
      </c>
      <c r="V138" s="9">
        <f t="shared" si="49"/>
        <v>581.32999999999993</v>
      </c>
      <c r="W138" s="60">
        <v>561580084.33000004</v>
      </c>
      <c r="X138" s="61">
        <v>4203</v>
      </c>
      <c r="Y138" s="17">
        <f t="shared" si="37"/>
        <v>133614.10999999999</v>
      </c>
      <c r="Z138" s="37">
        <f t="shared" si="38"/>
        <v>0.67401200000000006</v>
      </c>
      <c r="AA138" s="61">
        <v>93472</v>
      </c>
      <c r="AB138" s="37">
        <f t="shared" si="39"/>
        <v>0.76175899999999996</v>
      </c>
      <c r="AC138" s="37">
        <f t="shared" si="58"/>
        <v>0.29966399999999999</v>
      </c>
      <c r="AD138" s="55">
        <f t="shared" si="50"/>
        <v>0.29966399999999999</v>
      </c>
      <c r="AE138" s="38">
        <f t="shared" si="62"/>
        <v>0</v>
      </c>
      <c r="AF138" s="58">
        <f t="shared" si="51"/>
        <v>0.29966399999999999</v>
      </c>
      <c r="AG138">
        <v>0</v>
      </c>
      <c r="AH138" s="65">
        <v>0</v>
      </c>
      <c r="AI138" s="11">
        <f t="shared" si="52"/>
        <v>0</v>
      </c>
      <c r="AJ138">
        <v>169</v>
      </c>
      <c r="AK138" s="67">
        <v>4</v>
      </c>
      <c r="AL138" s="11">
        <f t="shared" si="53"/>
        <v>67600</v>
      </c>
      <c r="AM138" s="11">
        <f t="shared" si="63"/>
        <v>2007697</v>
      </c>
      <c r="AN138" s="11">
        <f t="shared" si="54"/>
        <v>2075297</v>
      </c>
      <c r="AO138" s="61">
        <v>2670987</v>
      </c>
      <c r="AP138" s="11">
        <f t="shared" si="55"/>
        <v>0</v>
      </c>
      <c r="AQ138" s="56" t="str">
        <f t="shared" si="56"/>
        <v>No</v>
      </c>
      <c r="AR138" s="35">
        <f>IF(AQ138="Yes",+AP138*$I$9,0)</f>
        <v>0</v>
      </c>
      <c r="AS138" s="35">
        <f t="shared" si="57"/>
        <v>2670987</v>
      </c>
      <c r="AT138"/>
      <c r="AU138" s="35"/>
      <c r="AV138" s="53"/>
      <c r="AW138" s="35"/>
      <c r="AX138" s="21"/>
      <c r="AZ138" s="21"/>
      <c r="BA138" s="21"/>
      <c r="BE138" s="21"/>
      <c r="BF138" s="21"/>
      <c r="BG138" s="21"/>
      <c r="BH138" s="21"/>
      <c r="BI138" s="21"/>
    </row>
    <row r="139" spans="1:61" ht="14.35" x14ac:dyDescent="0.5">
      <c r="A139" s="8"/>
      <c r="B139" s="25"/>
      <c r="C139" s="25"/>
      <c r="D139">
        <v>66</v>
      </c>
      <c r="E139" s="8">
        <v>113</v>
      </c>
      <c r="F139" s="3" t="s">
        <v>200</v>
      </c>
      <c r="G139" s="54"/>
      <c r="H139">
        <v>1244.1099999999999</v>
      </c>
      <c r="I139" s="62"/>
      <c r="J139">
        <v>270</v>
      </c>
      <c r="K139" s="60">
        <f t="shared" si="42"/>
        <v>81</v>
      </c>
      <c r="L139" s="60">
        <f t="shared" si="43"/>
        <v>746.47</v>
      </c>
      <c r="M139" s="60">
        <f t="shared" si="44"/>
        <v>0</v>
      </c>
      <c r="N139" s="60">
        <f t="shared" si="45"/>
        <v>0</v>
      </c>
      <c r="O139" s="51">
        <f t="shared" si="46"/>
        <v>0.22</v>
      </c>
      <c r="P139" s="51">
        <f t="shared" si="59"/>
        <v>0</v>
      </c>
      <c r="Q139" s="34">
        <f t="shared" si="60"/>
        <v>0</v>
      </c>
      <c r="R139" s="34">
        <f t="shared" si="47"/>
        <v>0</v>
      </c>
      <c r="S139">
        <v>33</v>
      </c>
      <c r="T139" s="60">
        <f t="shared" si="48"/>
        <v>8.25</v>
      </c>
      <c r="U139" s="36">
        <f t="shared" si="61"/>
        <v>81</v>
      </c>
      <c r="V139" s="9">
        <f t="shared" si="49"/>
        <v>1333.36</v>
      </c>
      <c r="W139" s="60">
        <v>1270541973</v>
      </c>
      <c r="X139" s="61">
        <v>9267</v>
      </c>
      <c r="Y139" s="17">
        <f t="shared" si="37"/>
        <v>137103.91</v>
      </c>
      <c r="Z139" s="37">
        <f t="shared" si="38"/>
        <v>0.69161600000000001</v>
      </c>
      <c r="AA139" s="61">
        <v>99292</v>
      </c>
      <c r="AB139" s="37">
        <f t="shared" si="39"/>
        <v>0.80918900000000005</v>
      </c>
      <c r="AC139" s="37">
        <f t="shared" si="58"/>
        <v>0.27311200000000002</v>
      </c>
      <c r="AD139" s="55">
        <f t="shared" si="50"/>
        <v>0.27311200000000002</v>
      </c>
      <c r="AE139" s="38">
        <f t="shared" si="62"/>
        <v>0</v>
      </c>
      <c r="AF139" s="58">
        <f t="shared" si="51"/>
        <v>0.27311200000000002</v>
      </c>
      <c r="AG139">
        <v>0</v>
      </c>
      <c r="AH139" s="61">
        <v>0</v>
      </c>
      <c r="AI139" s="11">
        <f t="shared" si="52"/>
        <v>0</v>
      </c>
      <c r="AJ139">
        <v>0</v>
      </c>
      <c r="AK139" s="67"/>
      <c r="AL139" s="11">
        <f t="shared" si="53"/>
        <v>0</v>
      </c>
      <c r="AM139" s="11">
        <f t="shared" si="63"/>
        <v>4196905</v>
      </c>
      <c r="AN139" s="11">
        <f t="shared" si="54"/>
        <v>4196905</v>
      </c>
      <c r="AO139" s="61">
        <v>4544357</v>
      </c>
      <c r="AP139" s="11">
        <f t="shared" si="55"/>
        <v>0</v>
      </c>
      <c r="AQ139" s="56" t="str">
        <f t="shared" si="56"/>
        <v>No</v>
      </c>
      <c r="AR139" s="35">
        <f>IF(AQ139="Yes",+AP139*$I$9,0)</f>
        <v>0</v>
      </c>
      <c r="AS139" s="35">
        <f t="shared" si="57"/>
        <v>4544357</v>
      </c>
      <c r="AT139"/>
      <c r="AU139" s="35"/>
      <c r="AV139" s="53"/>
      <c r="AW139" s="35"/>
      <c r="AX139" s="21"/>
      <c r="AZ139" s="21"/>
      <c r="BA139" s="21"/>
      <c r="BE139" s="21"/>
      <c r="BF139" s="21"/>
      <c r="BG139" s="21"/>
      <c r="BH139" s="21"/>
      <c r="BI139" s="21"/>
    </row>
    <row r="140" spans="1:61" ht="14.35" x14ac:dyDescent="0.5">
      <c r="A140" s="8"/>
      <c r="B140" s="25"/>
      <c r="C140" s="25"/>
      <c r="D140">
        <v>36</v>
      </c>
      <c r="E140" s="8">
        <v>114</v>
      </c>
      <c r="F140" s="3" t="s">
        <v>201</v>
      </c>
      <c r="G140" s="54"/>
      <c r="H140">
        <v>609.91</v>
      </c>
      <c r="I140" s="63"/>
      <c r="J140">
        <v>125</v>
      </c>
      <c r="K140" s="60">
        <f t="shared" si="42"/>
        <v>37.5</v>
      </c>
      <c r="L140" s="60">
        <f t="shared" si="43"/>
        <v>365.95</v>
      </c>
      <c r="M140" s="60">
        <f t="shared" si="44"/>
        <v>0</v>
      </c>
      <c r="N140" s="60">
        <f t="shared" si="45"/>
        <v>0</v>
      </c>
      <c r="O140" s="51">
        <f t="shared" si="46"/>
        <v>0.2</v>
      </c>
      <c r="P140" s="51">
        <f t="shared" si="59"/>
        <v>0</v>
      </c>
      <c r="Q140" s="34">
        <f t="shared" si="60"/>
        <v>0</v>
      </c>
      <c r="R140" s="34">
        <f t="shared" si="47"/>
        <v>0</v>
      </c>
      <c r="S140">
        <v>7</v>
      </c>
      <c r="T140" s="60">
        <f t="shared" si="48"/>
        <v>1.75</v>
      </c>
      <c r="U140" s="36">
        <f t="shared" si="61"/>
        <v>37.5</v>
      </c>
      <c r="V140" s="9">
        <f t="shared" si="49"/>
        <v>649.16</v>
      </c>
      <c r="W140" s="60">
        <v>679145089</v>
      </c>
      <c r="X140" s="61">
        <v>4625</v>
      </c>
      <c r="Y140" s="17">
        <f t="shared" si="37"/>
        <v>146842.18</v>
      </c>
      <c r="Z140" s="37">
        <f t="shared" si="38"/>
        <v>0.74074099999999998</v>
      </c>
      <c r="AA140" s="61">
        <v>79444</v>
      </c>
      <c r="AB140" s="37">
        <f t="shared" si="39"/>
        <v>0.64743600000000001</v>
      </c>
      <c r="AC140" s="37">
        <f t="shared" si="58"/>
        <v>0.28725099999999998</v>
      </c>
      <c r="AD140" s="55">
        <f t="shared" si="50"/>
        <v>0.28725099999999998</v>
      </c>
      <c r="AE140" s="38">
        <f t="shared" si="62"/>
        <v>0</v>
      </c>
      <c r="AF140" s="58">
        <f t="shared" si="51"/>
        <v>0.28725099999999998</v>
      </c>
      <c r="AG140">
        <v>0</v>
      </c>
      <c r="AH140" s="65">
        <v>0</v>
      </c>
      <c r="AI140" s="11">
        <f t="shared" si="52"/>
        <v>0</v>
      </c>
      <c r="AJ140">
        <v>150</v>
      </c>
      <c r="AK140" s="67">
        <v>4</v>
      </c>
      <c r="AL140" s="11">
        <f t="shared" si="53"/>
        <v>60000</v>
      </c>
      <c r="AM140" s="11">
        <f t="shared" si="63"/>
        <v>2149088</v>
      </c>
      <c r="AN140" s="11">
        <f t="shared" si="54"/>
        <v>2209088</v>
      </c>
      <c r="AO140" s="61">
        <v>2952496</v>
      </c>
      <c r="AP140" s="11">
        <f t="shared" si="55"/>
        <v>0</v>
      </c>
      <c r="AQ140" s="56" t="str">
        <f t="shared" si="56"/>
        <v>No</v>
      </c>
      <c r="AR140" s="35">
        <f>IF(AQ140="Yes",+AP140*$I$9,0)</f>
        <v>0</v>
      </c>
      <c r="AS140" s="35">
        <f t="shared" si="57"/>
        <v>2952496</v>
      </c>
      <c r="AT140"/>
      <c r="AU140" s="35"/>
      <c r="AV140" s="53"/>
      <c r="AW140" s="35"/>
      <c r="AX140" s="21"/>
      <c r="AZ140" s="21"/>
      <c r="BA140" s="21"/>
      <c r="BE140" s="21"/>
      <c r="BF140" s="21"/>
      <c r="BG140" s="21"/>
      <c r="BH140" s="21"/>
      <c r="BI140" s="21"/>
    </row>
    <row r="141" spans="1:61" ht="14.35" x14ac:dyDescent="0.5">
      <c r="A141" s="8"/>
      <c r="B141" s="25"/>
      <c r="C141" s="25"/>
      <c r="D141">
        <v>73</v>
      </c>
      <c r="E141" s="8">
        <v>115</v>
      </c>
      <c r="F141" s="3" t="s">
        <v>202</v>
      </c>
      <c r="G141" s="54"/>
      <c r="H141">
        <v>1303.42</v>
      </c>
      <c r="I141" s="62"/>
      <c r="J141">
        <v>242</v>
      </c>
      <c r="K141" s="60">
        <f t="shared" si="42"/>
        <v>72.599999999999994</v>
      </c>
      <c r="L141" s="60">
        <f t="shared" si="43"/>
        <v>782.05</v>
      </c>
      <c r="M141" s="60">
        <f t="shared" si="44"/>
        <v>0</v>
      </c>
      <c r="N141" s="60">
        <f t="shared" si="45"/>
        <v>0</v>
      </c>
      <c r="O141" s="51">
        <f t="shared" si="46"/>
        <v>0.19</v>
      </c>
      <c r="P141" s="51">
        <f t="shared" si="59"/>
        <v>0</v>
      </c>
      <c r="Q141" s="34">
        <f t="shared" si="60"/>
        <v>0</v>
      </c>
      <c r="R141" s="34">
        <f t="shared" si="47"/>
        <v>0</v>
      </c>
      <c r="S141">
        <v>28</v>
      </c>
      <c r="T141" s="60">
        <f t="shared" si="48"/>
        <v>7</v>
      </c>
      <c r="U141" s="36">
        <f t="shared" si="61"/>
        <v>72.599999999999994</v>
      </c>
      <c r="V141" s="9">
        <f t="shared" si="49"/>
        <v>1383.02</v>
      </c>
      <c r="W141" s="60">
        <v>1308039036.3299999</v>
      </c>
      <c r="X141" s="61">
        <v>9702</v>
      </c>
      <c r="Y141" s="17">
        <f t="shared" si="37"/>
        <v>134821.59</v>
      </c>
      <c r="Z141" s="37">
        <f t="shared" si="38"/>
        <v>0.68010300000000001</v>
      </c>
      <c r="AA141" s="61">
        <v>101134</v>
      </c>
      <c r="AB141" s="37">
        <f t="shared" si="39"/>
        <v>0.82420099999999996</v>
      </c>
      <c r="AC141" s="37">
        <f t="shared" si="58"/>
        <v>0.27666800000000003</v>
      </c>
      <c r="AD141" s="55">
        <f t="shared" si="50"/>
        <v>0.27666800000000003</v>
      </c>
      <c r="AE141" s="38">
        <f t="shared" si="62"/>
        <v>0</v>
      </c>
      <c r="AF141" s="58">
        <f t="shared" si="51"/>
        <v>0.27666800000000003</v>
      </c>
      <c r="AG141">
        <v>1301</v>
      </c>
      <c r="AH141" s="61">
        <v>13</v>
      </c>
      <c r="AI141" s="11">
        <f t="shared" si="52"/>
        <v>1691300</v>
      </c>
      <c r="AJ141">
        <v>0</v>
      </c>
      <c r="AK141" s="67"/>
      <c r="AL141" s="11">
        <f t="shared" si="53"/>
        <v>0</v>
      </c>
      <c r="AM141" s="11">
        <f t="shared" si="63"/>
        <v>4409896</v>
      </c>
      <c r="AN141" s="11">
        <f t="shared" si="54"/>
        <v>6101196</v>
      </c>
      <c r="AO141" s="61">
        <v>4951153</v>
      </c>
      <c r="AP141" s="11">
        <f t="shared" si="55"/>
        <v>1150043</v>
      </c>
      <c r="AQ141" s="56" t="str">
        <f t="shared" si="56"/>
        <v>Yes</v>
      </c>
      <c r="AR141" s="35">
        <f>IF(AQ141="Yes",+AP141*$I$9,0)</f>
        <v>191712.16809999998</v>
      </c>
      <c r="AS141" s="35">
        <f t="shared" si="57"/>
        <v>5142865.1681000004</v>
      </c>
      <c r="AT141"/>
      <c r="AU141" s="35"/>
      <c r="AV141" s="53"/>
      <c r="AW141" s="35"/>
      <c r="AX141" s="21"/>
      <c r="AZ141" s="21"/>
      <c r="BA141" s="21"/>
      <c r="BE141" s="21"/>
      <c r="BF141" s="21"/>
      <c r="BG141" s="21"/>
      <c r="BH141" s="21"/>
      <c r="BI141" s="21"/>
    </row>
    <row r="142" spans="1:61" ht="14.35" x14ac:dyDescent="0.5">
      <c r="A142" s="40"/>
      <c r="B142" s="25">
        <v>1</v>
      </c>
      <c r="C142" s="25">
        <f>+A142+B142</f>
        <v>1</v>
      </c>
      <c r="D142">
        <v>30</v>
      </c>
      <c r="E142" s="8">
        <v>116</v>
      </c>
      <c r="F142" s="3" t="s">
        <v>203</v>
      </c>
      <c r="G142" s="54"/>
      <c r="H142">
        <v>1076.69</v>
      </c>
      <c r="I142" s="63"/>
      <c r="J142">
        <v>532</v>
      </c>
      <c r="K142" s="60">
        <f t="shared" si="42"/>
        <v>159.6</v>
      </c>
      <c r="L142" s="60">
        <f t="shared" si="43"/>
        <v>646.01</v>
      </c>
      <c r="M142" s="60">
        <f t="shared" si="44"/>
        <v>0</v>
      </c>
      <c r="N142" s="60">
        <f t="shared" si="45"/>
        <v>0</v>
      </c>
      <c r="O142" s="51">
        <f t="shared" si="46"/>
        <v>0.49</v>
      </c>
      <c r="P142" s="51">
        <f t="shared" si="59"/>
        <v>0</v>
      </c>
      <c r="Q142" s="34">
        <f t="shared" si="60"/>
        <v>0</v>
      </c>
      <c r="R142" s="34">
        <f t="shared" si="47"/>
        <v>0</v>
      </c>
      <c r="S142">
        <v>44</v>
      </c>
      <c r="T142" s="60">
        <f t="shared" si="48"/>
        <v>11</v>
      </c>
      <c r="U142" s="36">
        <f t="shared" si="61"/>
        <v>159.6</v>
      </c>
      <c r="V142" s="9">
        <f t="shared" si="49"/>
        <v>1247.29</v>
      </c>
      <c r="W142" s="60">
        <v>1035816606.33</v>
      </c>
      <c r="X142" s="61">
        <v>9389</v>
      </c>
      <c r="Y142" s="17">
        <f t="shared" si="37"/>
        <v>110322.36</v>
      </c>
      <c r="Z142" s="37">
        <f t="shared" si="38"/>
        <v>0.55651799999999996</v>
      </c>
      <c r="AA142" s="61">
        <v>60201</v>
      </c>
      <c r="AB142" s="37">
        <f t="shared" si="39"/>
        <v>0.49061399999999999</v>
      </c>
      <c r="AC142" s="37">
        <f t="shared" si="58"/>
        <v>0.46325300000000003</v>
      </c>
      <c r="AD142" s="55">
        <f t="shared" si="50"/>
        <v>0.46325300000000003</v>
      </c>
      <c r="AE142" s="38">
        <f t="shared" si="62"/>
        <v>0</v>
      </c>
      <c r="AF142" s="58">
        <f t="shared" si="51"/>
        <v>0.46325300000000003</v>
      </c>
      <c r="AG142">
        <v>0</v>
      </c>
      <c r="AH142" s="61">
        <v>0</v>
      </c>
      <c r="AI142" s="11">
        <f t="shared" si="52"/>
        <v>0</v>
      </c>
      <c r="AJ142">
        <v>0</v>
      </c>
      <c r="AK142" s="67"/>
      <c r="AL142" s="11">
        <f t="shared" si="53"/>
        <v>0</v>
      </c>
      <c r="AM142" s="11">
        <f t="shared" si="63"/>
        <v>6659270</v>
      </c>
      <c r="AN142" s="11">
        <f t="shared" si="54"/>
        <v>6659270</v>
      </c>
      <c r="AO142" s="61">
        <v>8340282</v>
      </c>
      <c r="AP142" s="11">
        <f t="shared" si="55"/>
        <v>0</v>
      </c>
      <c r="AQ142" s="56" t="str">
        <f t="shared" si="56"/>
        <v>No</v>
      </c>
      <c r="AR142" s="35">
        <f>IF(AQ142="Yes",+AP142*$I$9,0)</f>
        <v>0</v>
      </c>
      <c r="AS142" s="35">
        <f t="shared" si="57"/>
        <v>8340282</v>
      </c>
      <c r="AT142"/>
      <c r="AU142" s="35"/>
      <c r="AV142" s="53"/>
      <c r="AW142" s="35"/>
      <c r="AX142" s="21"/>
      <c r="AZ142" s="21"/>
      <c r="BA142" s="21"/>
      <c r="BE142" s="21"/>
      <c r="BF142" s="21"/>
      <c r="BG142" s="21"/>
      <c r="BH142" s="21"/>
      <c r="BI142" s="21"/>
    </row>
    <row r="143" spans="1:61" ht="14.35" x14ac:dyDescent="0.5">
      <c r="A143" s="8"/>
      <c r="B143" s="25"/>
      <c r="C143" s="25"/>
      <c r="D143">
        <v>145</v>
      </c>
      <c r="E143" s="8">
        <v>117</v>
      </c>
      <c r="F143" s="3" t="s">
        <v>204</v>
      </c>
      <c r="G143" s="54"/>
      <c r="H143">
        <v>1214.9100000000001</v>
      </c>
      <c r="I143" s="62"/>
      <c r="J143">
        <v>122</v>
      </c>
      <c r="K143" s="60">
        <f t="shared" si="42"/>
        <v>36.6</v>
      </c>
      <c r="L143" s="60">
        <f t="shared" si="43"/>
        <v>728.95</v>
      </c>
      <c r="M143" s="60">
        <f t="shared" si="44"/>
        <v>0</v>
      </c>
      <c r="N143" s="60">
        <f t="shared" si="45"/>
        <v>0</v>
      </c>
      <c r="O143" s="51">
        <f t="shared" si="46"/>
        <v>0.1</v>
      </c>
      <c r="P143" s="51">
        <f t="shared" si="59"/>
        <v>0</v>
      </c>
      <c r="Q143" s="34">
        <f t="shared" si="60"/>
        <v>0</v>
      </c>
      <c r="R143" s="34">
        <f t="shared" si="47"/>
        <v>0</v>
      </c>
      <c r="S143">
        <v>12</v>
      </c>
      <c r="T143" s="60">
        <f t="shared" si="48"/>
        <v>3</v>
      </c>
      <c r="U143" s="36">
        <f t="shared" si="61"/>
        <v>36.6</v>
      </c>
      <c r="V143" s="9">
        <f t="shared" si="49"/>
        <v>1254.51</v>
      </c>
      <c r="W143" s="60">
        <v>2255954127</v>
      </c>
      <c r="X143" s="61">
        <v>9116</v>
      </c>
      <c r="Y143" s="17">
        <f t="shared" si="37"/>
        <v>247471.93</v>
      </c>
      <c r="Z143" s="37">
        <f t="shared" si="38"/>
        <v>1.248364</v>
      </c>
      <c r="AA143" s="61">
        <v>132838</v>
      </c>
      <c r="AB143" s="37">
        <f t="shared" si="39"/>
        <v>1.0825750000000001</v>
      </c>
      <c r="AC143" s="37">
        <f t="shared" si="58"/>
        <v>-0.198627</v>
      </c>
      <c r="AD143" s="55">
        <f t="shared" si="50"/>
        <v>0.01</v>
      </c>
      <c r="AE143" s="38">
        <f t="shared" si="62"/>
        <v>0</v>
      </c>
      <c r="AF143" s="58">
        <f t="shared" si="51"/>
        <v>0.01</v>
      </c>
      <c r="AG143">
        <v>414</v>
      </c>
      <c r="AH143" s="61">
        <v>4</v>
      </c>
      <c r="AI143" s="11">
        <f t="shared" si="52"/>
        <v>165600</v>
      </c>
      <c r="AJ143">
        <v>0</v>
      </c>
      <c r="AK143" s="67"/>
      <c r="AL143" s="11">
        <f t="shared" si="53"/>
        <v>0</v>
      </c>
      <c r="AM143" s="11">
        <f t="shared" si="63"/>
        <v>144582</v>
      </c>
      <c r="AN143" s="11">
        <f t="shared" si="54"/>
        <v>310182</v>
      </c>
      <c r="AO143" s="61">
        <v>192921</v>
      </c>
      <c r="AP143" s="11">
        <f t="shared" si="55"/>
        <v>117261</v>
      </c>
      <c r="AQ143" s="56" t="str">
        <f t="shared" si="56"/>
        <v>Yes</v>
      </c>
      <c r="AR143" s="35">
        <f>IF(AQ143="Yes",+AP143*$I$9,0)</f>
        <v>19547.4087</v>
      </c>
      <c r="AS143" s="35">
        <f t="shared" si="57"/>
        <v>212468.4087</v>
      </c>
      <c r="AT143"/>
      <c r="AU143" s="35"/>
      <c r="AV143" s="53"/>
      <c r="AW143" s="35"/>
      <c r="AX143" s="21"/>
      <c r="AZ143" s="21"/>
      <c r="BA143" s="21"/>
      <c r="BE143" s="21"/>
      <c r="BF143" s="21"/>
      <c r="BG143" s="21"/>
      <c r="BH143" s="21"/>
      <c r="BI143" s="21"/>
    </row>
    <row r="144" spans="1:61" ht="14.35" x14ac:dyDescent="0.5">
      <c r="A144" s="8"/>
      <c r="B144" s="25"/>
      <c r="C144" s="25"/>
      <c r="D144">
        <v>156</v>
      </c>
      <c r="E144" s="8">
        <v>118</v>
      </c>
      <c r="F144" s="3" t="s">
        <v>205</v>
      </c>
      <c r="G144" s="54"/>
      <c r="H144">
        <v>4563.99</v>
      </c>
      <c r="I144" s="62"/>
      <c r="J144">
        <v>367</v>
      </c>
      <c r="K144" s="60">
        <f t="shared" si="42"/>
        <v>110.1</v>
      </c>
      <c r="L144" s="60">
        <f t="shared" si="43"/>
        <v>2738.39</v>
      </c>
      <c r="M144" s="60">
        <f t="shared" si="44"/>
        <v>0</v>
      </c>
      <c r="N144" s="60">
        <f t="shared" si="45"/>
        <v>0</v>
      </c>
      <c r="O144" s="51">
        <f t="shared" si="46"/>
        <v>0.08</v>
      </c>
      <c r="P144" s="51">
        <f t="shared" si="59"/>
        <v>0</v>
      </c>
      <c r="Q144" s="34">
        <f t="shared" si="60"/>
        <v>0</v>
      </c>
      <c r="R144" s="34">
        <f t="shared" si="47"/>
        <v>0</v>
      </c>
      <c r="S144">
        <v>62</v>
      </c>
      <c r="T144" s="60">
        <f t="shared" si="48"/>
        <v>15.5</v>
      </c>
      <c r="U144" s="36">
        <f t="shared" si="61"/>
        <v>110.1</v>
      </c>
      <c r="V144" s="9">
        <f t="shared" si="49"/>
        <v>4689.59</v>
      </c>
      <c r="W144" s="60">
        <v>7047685120.6700001</v>
      </c>
      <c r="X144" s="61">
        <v>24959</v>
      </c>
      <c r="Y144" s="17">
        <f t="shared" si="37"/>
        <v>282370.49</v>
      </c>
      <c r="Z144" s="37">
        <f t="shared" si="38"/>
        <v>1.424409</v>
      </c>
      <c r="AA144" s="61">
        <v>163945</v>
      </c>
      <c r="AB144" s="37">
        <f t="shared" si="39"/>
        <v>1.336085</v>
      </c>
      <c r="AC144" s="37">
        <f t="shared" si="58"/>
        <v>-0.39791199999999999</v>
      </c>
      <c r="AD144" s="55">
        <f t="shared" si="50"/>
        <v>0.01</v>
      </c>
      <c r="AE144" s="38">
        <f t="shared" si="62"/>
        <v>0</v>
      </c>
      <c r="AF144" s="58">
        <f t="shared" si="51"/>
        <v>0.01</v>
      </c>
      <c r="AG144">
        <v>0</v>
      </c>
      <c r="AH144" s="61">
        <v>0</v>
      </c>
      <c r="AI144" s="11">
        <f t="shared" si="52"/>
        <v>0</v>
      </c>
      <c r="AJ144">
        <v>0</v>
      </c>
      <c r="AK144" s="67"/>
      <c r="AL144" s="11">
        <f t="shared" si="53"/>
        <v>0</v>
      </c>
      <c r="AM144" s="11">
        <f t="shared" si="63"/>
        <v>540475</v>
      </c>
      <c r="AN144" s="11">
        <f t="shared" si="54"/>
        <v>540475</v>
      </c>
      <c r="AO144" s="61">
        <v>568700</v>
      </c>
      <c r="AP144" s="11">
        <f t="shared" si="55"/>
        <v>0</v>
      </c>
      <c r="AQ144" s="56" t="str">
        <f t="shared" si="56"/>
        <v>No</v>
      </c>
      <c r="AR144" s="35">
        <f>IF(AQ144="Yes",+AP144*$I$9,0)</f>
        <v>0</v>
      </c>
      <c r="AS144" s="35">
        <f t="shared" si="57"/>
        <v>568700</v>
      </c>
      <c r="AT144"/>
      <c r="AU144" s="35"/>
      <c r="AV144" s="53"/>
      <c r="AW144" s="35"/>
      <c r="AX144" s="21"/>
      <c r="AZ144" s="21"/>
      <c r="BA144" s="21"/>
      <c r="BE144" s="21"/>
      <c r="BF144" s="21"/>
      <c r="BG144" s="21"/>
      <c r="BH144" s="21"/>
      <c r="BI144" s="21"/>
    </row>
    <row r="145" spans="1:61" ht="14.35" x14ac:dyDescent="0.5">
      <c r="A145" s="8"/>
      <c r="B145" s="25"/>
      <c r="C145" s="25"/>
      <c r="D145">
        <v>97</v>
      </c>
      <c r="E145" s="8">
        <v>119</v>
      </c>
      <c r="F145" s="3" t="s">
        <v>206</v>
      </c>
      <c r="G145" s="54"/>
      <c r="H145">
        <v>2666.62</v>
      </c>
      <c r="I145" s="62"/>
      <c r="J145">
        <v>497</v>
      </c>
      <c r="K145" s="60">
        <f t="shared" si="42"/>
        <v>149.1</v>
      </c>
      <c r="L145" s="60">
        <f t="shared" si="43"/>
        <v>1599.97</v>
      </c>
      <c r="M145" s="60">
        <f t="shared" si="44"/>
        <v>0</v>
      </c>
      <c r="N145" s="60">
        <f t="shared" si="45"/>
        <v>0</v>
      </c>
      <c r="O145" s="51">
        <f t="shared" si="46"/>
        <v>0.19</v>
      </c>
      <c r="P145" s="51">
        <f t="shared" si="59"/>
        <v>0</v>
      </c>
      <c r="Q145" s="34">
        <f t="shared" si="60"/>
        <v>0</v>
      </c>
      <c r="R145" s="34">
        <f t="shared" si="47"/>
        <v>0</v>
      </c>
      <c r="S145">
        <v>196</v>
      </c>
      <c r="T145" s="60">
        <f t="shared" si="48"/>
        <v>49</v>
      </c>
      <c r="U145" s="36">
        <f t="shared" si="61"/>
        <v>149.1</v>
      </c>
      <c r="V145" s="9">
        <f t="shared" si="49"/>
        <v>2864.72</v>
      </c>
      <c r="W145" s="60">
        <v>3198949087</v>
      </c>
      <c r="X145" s="61">
        <v>20115</v>
      </c>
      <c r="Y145" s="17">
        <f t="shared" si="37"/>
        <v>159033.01</v>
      </c>
      <c r="Z145" s="37">
        <f t="shared" si="38"/>
        <v>0.80223699999999998</v>
      </c>
      <c r="AA145" s="61">
        <v>85125</v>
      </c>
      <c r="AB145" s="37">
        <f t="shared" si="39"/>
        <v>0.69373399999999996</v>
      </c>
      <c r="AC145" s="37">
        <f t="shared" si="58"/>
        <v>0.23031399999999999</v>
      </c>
      <c r="AD145" s="55">
        <f t="shared" si="50"/>
        <v>0.23031399999999999</v>
      </c>
      <c r="AE145" s="38">
        <f t="shared" si="62"/>
        <v>0</v>
      </c>
      <c r="AF145" s="58">
        <f t="shared" si="51"/>
        <v>0.23031399999999999</v>
      </c>
      <c r="AG145">
        <v>0</v>
      </c>
      <c r="AH145" s="61">
        <v>0</v>
      </c>
      <c r="AI145" s="11">
        <f t="shared" si="52"/>
        <v>0</v>
      </c>
      <c r="AJ145">
        <v>0</v>
      </c>
      <c r="AK145" s="67"/>
      <c r="AL145" s="11">
        <f t="shared" si="53"/>
        <v>0</v>
      </c>
      <c r="AM145" s="11">
        <f t="shared" si="63"/>
        <v>7604024</v>
      </c>
      <c r="AN145" s="11">
        <f t="shared" si="54"/>
        <v>7604024</v>
      </c>
      <c r="AO145" s="61">
        <v>5413831</v>
      </c>
      <c r="AP145" s="11">
        <f t="shared" si="55"/>
        <v>2190193</v>
      </c>
      <c r="AQ145" s="56" t="str">
        <f t="shared" si="56"/>
        <v>Yes</v>
      </c>
      <c r="AR145" s="35">
        <f>IF(AQ145="Yes",+AP145*$I$9,0)</f>
        <v>365105.17309999996</v>
      </c>
      <c r="AS145" s="35">
        <f t="shared" si="57"/>
        <v>5778936.1731000002</v>
      </c>
      <c r="AT145"/>
      <c r="AU145" s="35"/>
      <c r="AV145" s="53"/>
      <c r="AW145" s="35"/>
      <c r="AX145" s="21"/>
      <c r="AZ145" s="21"/>
      <c r="BA145" s="21"/>
      <c r="BE145" s="21"/>
      <c r="BF145" s="21"/>
      <c r="BG145" s="21"/>
      <c r="BH145" s="21"/>
      <c r="BI145" s="21"/>
    </row>
    <row r="146" spans="1:61" ht="14.35" x14ac:dyDescent="0.5">
      <c r="A146" s="8"/>
      <c r="B146" s="25"/>
      <c r="C146" s="25"/>
      <c r="D146">
        <v>165</v>
      </c>
      <c r="E146" s="8">
        <v>120</v>
      </c>
      <c r="F146" s="3" t="s">
        <v>207</v>
      </c>
      <c r="G146" s="54"/>
      <c r="H146">
        <v>168.69</v>
      </c>
      <c r="I146" s="62"/>
      <c r="J146">
        <v>37</v>
      </c>
      <c r="K146" s="60">
        <f t="shared" si="42"/>
        <v>11.1</v>
      </c>
      <c r="L146" s="60">
        <f t="shared" si="43"/>
        <v>101.21</v>
      </c>
      <c r="M146" s="60">
        <f t="shared" si="44"/>
        <v>0</v>
      </c>
      <c r="N146" s="60">
        <f t="shared" si="45"/>
        <v>0</v>
      </c>
      <c r="O146" s="51">
        <f t="shared" si="46"/>
        <v>0.22</v>
      </c>
      <c r="P146" s="51">
        <f t="shared" si="59"/>
        <v>0</v>
      </c>
      <c r="Q146" s="34">
        <f t="shared" si="60"/>
        <v>0</v>
      </c>
      <c r="R146" s="34">
        <f t="shared" si="47"/>
        <v>0</v>
      </c>
      <c r="S146">
        <v>0</v>
      </c>
      <c r="T146" s="60">
        <f t="shared" si="48"/>
        <v>0</v>
      </c>
      <c r="U146" s="36">
        <f t="shared" si="61"/>
        <v>11.1</v>
      </c>
      <c r="V146" s="9">
        <f t="shared" si="49"/>
        <v>179.79</v>
      </c>
      <c r="W146" s="60">
        <v>924230745</v>
      </c>
      <c r="X146" s="61">
        <v>2152</v>
      </c>
      <c r="Y146" s="17">
        <f t="shared" si="37"/>
        <v>429475.25</v>
      </c>
      <c r="Z146" s="37">
        <f t="shared" si="38"/>
        <v>2.166474</v>
      </c>
      <c r="AA146" s="61">
        <v>118971</v>
      </c>
      <c r="AB146" s="37">
        <f t="shared" si="39"/>
        <v>0.96956500000000001</v>
      </c>
      <c r="AC146" s="37">
        <f t="shared" si="58"/>
        <v>-0.80740100000000004</v>
      </c>
      <c r="AD146" s="55">
        <f t="shared" si="50"/>
        <v>0.01</v>
      </c>
      <c r="AE146" s="38">
        <f t="shared" si="62"/>
        <v>0</v>
      </c>
      <c r="AF146" s="58">
        <f t="shared" si="51"/>
        <v>0.01</v>
      </c>
      <c r="AG146">
        <v>168</v>
      </c>
      <c r="AH146" s="61">
        <v>13</v>
      </c>
      <c r="AI146" s="11">
        <f t="shared" si="52"/>
        <v>218400</v>
      </c>
      <c r="AJ146">
        <v>0</v>
      </c>
      <c r="AK146" s="67"/>
      <c r="AL146" s="11">
        <f t="shared" si="53"/>
        <v>0</v>
      </c>
      <c r="AM146" s="11">
        <f t="shared" si="63"/>
        <v>20721</v>
      </c>
      <c r="AN146" s="11">
        <f t="shared" si="54"/>
        <v>239121</v>
      </c>
      <c r="AO146" s="61">
        <v>61595</v>
      </c>
      <c r="AP146" s="11">
        <f t="shared" si="55"/>
        <v>177526</v>
      </c>
      <c r="AQ146" s="56" t="str">
        <f t="shared" si="56"/>
        <v>Yes</v>
      </c>
      <c r="AR146" s="35">
        <f>IF(AQ146="Yes",+AP146*$I$9,0)</f>
        <v>29593.584199999998</v>
      </c>
      <c r="AS146" s="35">
        <f t="shared" si="57"/>
        <v>91188.584199999998</v>
      </c>
      <c r="AT146"/>
      <c r="AU146" s="35"/>
      <c r="AV146" s="53"/>
      <c r="AW146" s="35"/>
      <c r="AX146" s="21"/>
      <c r="AZ146" s="21"/>
      <c r="BA146" s="21"/>
      <c r="BE146" s="21"/>
      <c r="BF146" s="21"/>
      <c r="BG146" s="21"/>
      <c r="BH146" s="21"/>
      <c r="BI146" s="21"/>
    </row>
    <row r="147" spans="1:61" ht="14.35" x14ac:dyDescent="0.5">
      <c r="A147" s="8"/>
      <c r="B147" s="25"/>
      <c r="C147" s="25"/>
      <c r="D147">
        <v>50</v>
      </c>
      <c r="E147" s="8">
        <v>121</v>
      </c>
      <c r="F147" s="3" t="s">
        <v>208</v>
      </c>
      <c r="G147" s="54"/>
      <c r="H147">
        <v>571.9</v>
      </c>
      <c r="I147" s="62"/>
      <c r="J147">
        <v>104</v>
      </c>
      <c r="K147" s="60">
        <f t="shared" si="42"/>
        <v>31.2</v>
      </c>
      <c r="L147" s="60">
        <f t="shared" si="43"/>
        <v>343.14</v>
      </c>
      <c r="M147" s="60">
        <f t="shared" si="44"/>
        <v>0</v>
      </c>
      <c r="N147" s="60">
        <f t="shared" si="45"/>
        <v>0</v>
      </c>
      <c r="O147" s="51">
        <f t="shared" si="46"/>
        <v>0.18</v>
      </c>
      <c r="P147" s="51">
        <f t="shared" si="59"/>
        <v>0</v>
      </c>
      <c r="Q147" s="34">
        <f t="shared" si="60"/>
        <v>0</v>
      </c>
      <c r="R147" s="34">
        <f t="shared" si="47"/>
        <v>0</v>
      </c>
      <c r="S147">
        <v>3</v>
      </c>
      <c r="T147" s="60">
        <f t="shared" si="48"/>
        <v>0.75</v>
      </c>
      <c r="U147" s="36">
        <f t="shared" si="61"/>
        <v>31.2</v>
      </c>
      <c r="V147" s="9">
        <f t="shared" si="49"/>
        <v>603.85</v>
      </c>
      <c r="W147" s="60">
        <v>574028368.33000004</v>
      </c>
      <c r="X147" s="61">
        <v>4083</v>
      </c>
      <c r="Y147" s="17">
        <f t="shared" si="37"/>
        <v>140589.85</v>
      </c>
      <c r="Z147" s="37">
        <f t="shared" si="38"/>
        <v>0.70920099999999997</v>
      </c>
      <c r="AA147" s="61">
        <v>109460</v>
      </c>
      <c r="AB147" s="37">
        <f t="shared" si="39"/>
        <v>0.89205400000000001</v>
      </c>
      <c r="AC147" s="37">
        <f t="shared" si="58"/>
        <v>0.23594300000000001</v>
      </c>
      <c r="AD147" s="55">
        <f t="shared" si="50"/>
        <v>0.23594300000000001</v>
      </c>
      <c r="AE147" s="38">
        <f t="shared" si="62"/>
        <v>0</v>
      </c>
      <c r="AF147" s="58">
        <f t="shared" si="51"/>
        <v>0.23594300000000001</v>
      </c>
      <c r="AG147">
        <v>0</v>
      </c>
      <c r="AH147" s="61">
        <v>0</v>
      </c>
      <c r="AI147" s="11">
        <f t="shared" si="52"/>
        <v>0</v>
      </c>
      <c r="AJ147">
        <v>0</v>
      </c>
      <c r="AK147" s="67"/>
      <c r="AL147" s="11">
        <f t="shared" si="53"/>
        <v>0</v>
      </c>
      <c r="AM147" s="11">
        <f t="shared" si="63"/>
        <v>1642015</v>
      </c>
      <c r="AN147" s="11">
        <f t="shared" si="54"/>
        <v>1642015</v>
      </c>
      <c r="AO147" s="61">
        <v>2525078</v>
      </c>
      <c r="AP147" s="11">
        <f t="shared" si="55"/>
        <v>0</v>
      </c>
      <c r="AQ147" s="56" t="str">
        <f t="shared" si="56"/>
        <v>No</v>
      </c>
      <c r="AR147" s="35">
        <f>IF(AQ147="Yes",+AP147*$I$9,0)</f>
        <v>0</v>
      </c>
      <c r="AS147" s="35">
        <f t="shared" si="57"/>
        <v>2525078</v>
      </c>
      <c r="AT147"/>
      <c r="AU147" s="35"/>
      <c r="AV147" s="53"/>
      <c r="AW147" s="35"/>
      <c r="AX147" s="21"/>
      <c r="AZ147" s="21"/>
      <c r="BA147" s="21"/>
      <c r="BE147" s="21"/>
      <c r="BF147" s="21"/>
      <c r="BG147" s="21"/>
      <c r="BH147" s="21"/>
      <c r="BI147" s="21"/>
    </row>
    <row r="148" spans="1:61" ht="14.35" x14ac:dyDescent="0.5">
      <c r="A148" s="8"/>
      <c r="B148" s="25"/>
      <c r="C148" s="25"/>
      <c r="D148">
        <v>162</v>
      </c>
      <c r="E148" s="8">
        <v>122</v>
      </c>
      <c r="F148" s="3" t="s">
        <v>209</v>
      </c>
      <c r="G148" s="54"/>
      <c r="H148">
        <v>349.54</v>
      </c>
      <c r="I148" s="62"/>
      <c r="J148">
        <v>66</v>
      </c>
      <c r="K148" s="60">
        <f t="shared" si="42"/>
        <v>19.8</v>
      </c>
      <c r="L148" s="60">
        <f t="shared" si="43"/>
        <v>209.72</v>
      </c>
      <c r="M148" s="60">
        <f t="shared" si="44"/>
        <v>0</v>
      </c>
      <c r="N148" s="60">
        <f t="shared" si="45"/>
        <v>0</v>
      </c>
      <c r="O148" s="51">
        <f t="shared" si="46"/>
        <v>0.19</v>
      </c>
      <c r="P148" s="51">
        <f t="shared" si="59"/>
        <v>0</v>
      </c>
      <c r="Q148" s="34">
        <f t="shared" si="60"/>
        <v>0</v>
      </c>
      <c r="R148" s="34">
        <f t="shared" si="47"/>
        <v>0</v>
      </c>
      <c r="S148">
        <v>9</v>
      </c>
      <c r="T148" s="60">
        <f t="shared" si="48"/>
        <v>2.25</v>
      </c>
      <c r="U148" s="36">
        <f t="shared" si="61"/>
        <v>19.8</v>
      </c>
      <c r="V148" s="9">
        <f t="shared" si="49"/>
        <v>371.59000000000003</v>
      </c>
      <c r="W148" s="60">
        <v>1837133325.6700001</v>
      </c>
      <c r="X148" s="61">
        <v>3600</v>
      </c>
      <c r="Y148" s="17">
        <f t="shared" si="37"/>
        <v>510314.81</v>
      </c>
      <c r="Z148" s="37">
        <f t="shared" si="38"/>
        <v>2.5742669999999999</v>
      </c>
      <c r="AA148" s="61">
        <v>72658</v>
      </c>
      <c r="AB148" s="37">
        <f t="shared" si="39"/>
        <v>0.59213300000000002</v>
      </c>
      <c r="AC148" s="37">
        <f t="shared" si="58"/>
        <v>-0.97962700000000003</v>
      </c>
      <c r="AD148" s="55">
        <f t="shared" si="50"/>
        <v>0.01</v>
      </c>
      <c r="AE148" s="38">
        <f t="shared" si="62"/>
        <v>0</v>
      </c>
      <c r="AF148" s="58">
        <f t="shared" si="51"/>
        <v>0.01</v>
      </c>
      <c r="AG148">
        <v>68</v>
      </c>
      <c r="AH148" s="61">
        <v>4</v>
      </c>
      <c r="AI148" s="11">
        <f t="shared" si="52"/>
        <v>27200</v>
      </c>
      <c r="AJ148">
        <v>0</v>
      </c>
      <c r="AK148" s="67"/>
      <c r="AL148" s="11">
        <f t="shared" si="53"/>
        <v>0</v>
      </c>
      <c r="AM148" s="11">
        <f t="shared" si="63"/>
        <v>42826</v>
      </c>
      <c r="AN148" s="11">
        <f t="shared" si="54"/>
        <v>70026</v>
      </c>
      <c r="AO148" s="61">
        <v>25502</v>
      </c>
      <c r="AP148" s="11">
        <f t="shared" si="55"/>
        <v>44524</v>
      </c>
      <c r="AQ148" s="56" t="str">
        <f t="shared" si="56"/>
        <v>Yes</v>
      </c>
      <c r="AR148" s="35">
        <f>IF(AQ148="Yes",+AP148*$I$9,0)</f>
        <v>7422.1507999999994</v>
      </c>
      <c r="AS148" s="35">
        <f t="shared" si="57"/>
        <v>32924.150800000003</v>
      </c>
      <c r="AT148"/>
      <c r="AU148" s="35"/>
      <c r="AV148" s="53"/>
      <c r="AW148" s="35"/>
      <c r="AX148" s="21"/>
      <c r="AZ148" s="21"/>
      <c r="BA148" s="21"/>
      <c r="BE148" s="21"/>
      <c r="BF148" s="21"/>
      <c r="BG148" s="21"/>
      <c r="BH148" s="21"/>
      <c r="BI148" s="21"/>
    </row>
    <row r="149" spans="1:61" ht="14.35" x14ac:dyDescent="0.5">
      <c r="A149" s="8"/>
      <c r="B149" s="25"/>
      <c r="C149" s="25"/>
      <c r="D149">
        <v>41</v>
      </c>
      <c r="E149" s="8">
        <v>123</v>
      </c>
      <c r="F149" s="3" t="s">
        <v>210</v>
      </c>
      <c r="G149" s="54"/>
      <c r="H149">
        <v>165.21</v>
      </c>
      <c r="I149" s="63"/>
      <c r="J149">
        <v>64</v>
      </c>
      <c r="K149" s="60">
        <f t="shared" si="42"/>
        <v>19.2</v>
      </c>
      <c r="L149" s="60">
        <f t="shared" si="43"/>
        <v>99.13</v>
      </c>
      <c r="M149" s="60">
        <f t="shared" si="44"/>
        <v>0</v>
      </c>
      <c r="N149" s="60">
        <f t="shared" si="45"/>
        <v>0</v>
      </c>
      <c r="O149" s="51">
        <f t="shared" si="46"/>
        <v>0.39</v>
      </c>
      <c r="P149" s="51">
        <f t="shared" si="59"/>
        <v>0</v>
      </c>
      <c r="Q149" s="34">
        <f t="shared" si="60"/>
        <v>0</v>
      </c>
      <c r="R149" s="34">
        <f t="shared" si="47"/>
        <v>0</v>
      </c>
      <c r="S149">
        <v>2</v>
      </c>
      <c r="T149" s="60">
        <f t="shared" si="48"/>
        <v>0.5</v>
      </c>
      <c r="U149" s="36">
        <f t="shared" si="61"/>
        <v>19.2</v>
      </c>
      <c r="V149" s="9">
        <f t="shared" si="49"/>
        <v>184.91</v>
      </c>
      <c r="W149" s="60">
        <v>168716947</v>
      </c>
      <c r="X149" s="61">
        <v>1672</v>
      </c>
      <c r="Y149" s="17">
        <f t="shared" si="37"/>
        <v>100907.26</v>
      </c>
      <c r="Z149" s="37">
        <f t="shared" si="38"/>
        <v>0.509023</v>
      </c>
      <c r="AA149" s="61">
        <v>86053</v>
      </c>
      <c r="AB149" s="37">
        <f t="shared" si="39"/>
        <v>0.70129699999999995</v>
      </c>
      <c r="AC149" s="37">
        <f t="shared" si="58"/>
        <v>0.43329499999999999</v>
      </c>
      <c r="AD149" s="55">
        <f t="shared" si="50"/>
        <v>0.43329499999999999</v>
      </c>
      <c r="AE149" s="38">
        <f t="shared" si="62"/>
        <v>0</v>
      </c>
      <c r="AF149" s="58">
        <f t="shared" si="51"/>
        <v>0.43329499999999999</v>
      </c>
      <c r="AG149">
        <v>73</v>
      </c>
      <c r="AH149" s="61">
        <v>6</v>
      </c>
      <c r="AI149" s="11">
        <f t="shared" si="52"/>
        <v>43800</v>
      </c>
      <c r="AJ149">
        <v>0</v>
      </c>
      <c r="AK149" s="67"/>
      <c r="AL149" s="11">
        <f t="shared" si="53"/>
        <v>0</v>
      </c>
      <c r="AM149" s="11">
        <f t="shared" si="63"/>
        <v>923390</v>
      </c>
      <c r="AN149" s="11">
        <f t="shared" si="54"/>
        <v>967190</v>
      </c>
      <c r="AO149" s="61">
        <v>1274671</v>
      </c>
      <c r="AP149" s="11">
        <f t="shared" si="55"/>
        <v>0</v>
      </c>
      <c r="AQ149" s="56" t="str">
        <f t="shared" si="56"/>
        <v>No</v>
      </c>
      <c r="AR149" s="35">
        <f>IF(AQ149="Yes",+AP149*$I$9,0)</f>
        <v>0</v>
      </c>
      <c r="AS149" s="35">
        <f t="shared" si="57"/>
        <v>1274671</v>
      </c>
      <c r="AT149"/>
      <c r="AU149" s="35"/>
      <c r="AV149" s="53"/>
      <c r="AW149" s="35"/>
      <c r="AX149" s="21"/>
      <c r="AZ149" s="21"/>
      <c r="BA149" s="21"/>
      <c r="BE149" s="21"/>
      <c r="BF149" s="21"/>
      <c r="BG149" s="21"/>
      <c r="BH149" s="21"/>
      <c r="BI149" s="21"/>
    </row>
    <row r="150" spans="1:61" ht="14.35" x14ac:dyDescent="0.5">
      <c r="A150" s="8"/>
      <c r="B150" s="25"/>
      <c r="C150" s="25"/>
      <c r="D150">
        <v>35</v>
      </c>
      <c r="E150" s="8">
        <v>124</v>
      </c>
      <c r="F150" s="3" t="s">
        <v>211</v>
      </c>
      <c r="G150" s="54"/>
      <c r="H150">
        <v>2153.63</v>
      </c>
      <c r="I150" s="63"/>
      <c r="J150">
        <v>792</v>
      </c>
      <c r="K150" s="60">
        <f t="shared" si="42"/>
        <v>237.6</v>
      </c>
      <c r="L150" s="60">
        <f t="shared" si="43"/>
        <v>1292.18</v>
      </c>
      <c r="M150" s="60">
        <f t="shared" si="44"/>
        <v>0</v>
      </c>
      <c r="N150" s="60">
        <f t="shared" si="45"/>
        <v>0</v>
      </c>
      <c r="O150" s="51">
        <f t="shared" si="46"/>
        <v>0.37</v>
      </c>
      <c r="P150" s="51">
        <f t="shared" si="59"/>
        <v>0</v>
      </c>
      <c r="Q150" s="34">
        <f t="shared" si="60"/>
        <v>0</v>
      </c>
      <c r="R150" s="34">
        <f t="shared" si="47"/>
        <v>0</v>
      </c>
      <c r="S150">
        <v>111</v>
      </c>
      <c r="T150" s="60">
        <f t="shared" si="48"/>
        <v>27.75</v>
      </c>
      <c r="U150" s="36">
        <f t="shared" si="61"/>
        <v>237.6</v>
      </c>
      <c r="V150" s="9">
        <f t="shared" si="49"/>
        <v>2418.98</v>
      </c>
      <c r="W150" s="60">
        <v>1879311125.3299999</v>
      </c>
      <c r="X150" s="61">
        <v>16437</v>
      </c>
      <c r="Y150" s="17">
        <f t="shared" si="37"/>
        <v>114334.19</v>
      </c>
      <c r="Z150" s="37">
        <f t="shared" si="38"/>
        <v>0.57675500000000002</v>
      </c>
      <c r="AA150" s="61">
        <v>76195</v>
      </c>
      <c r="AB150" s="37">
        <f t="shared" si="39"/>
        <v>0.62095800000000001</v>
      </c>
      <c r="AC150" s="37">
        <f t="shared" si="58"/>
        <v>0.40998400000000002</v>
      </c>
      <c r="AD150" s="55">
        <f t="shared" si="50"/>
        <v>0.40998400000000002</v>
      </c>
      <c r="AE150" s="38">
        <f t="shared" si="62"/>
        <v>0</v>
      </c>
      <c r="AF150" s="58">
        <f t="shared" si="51"/>
        <v>0.40998400000000002</v>
      </c>
      <c r="AG150">
        <v>0</v>
      </c>
      <c r="AH150" s="61">
        <v>0</v>
      </c>
      <c r="AI150" s="11">
        <f t="shared" si="52"/>
        <v>0</v>
      </c>
      <c r="AJ150">
        <v>0</v>
      </c>
      <c r="AK150" s="67"/>
      <c r="AL150" s="11">
        <f t="shared" si="53"/>
        <v>0</v>
      </c>
      <c r="AM150" s="11">
        <f t="shared" si="63"/>
        <v>11429839</v>
      </c>
      <c r="AN150" s="11">
        <f t="shared" si="54"/>
        <v>11429839</v>
      </c>
      <c r="AO150" s="61">
        <v>10636930</v>
      </c>
      <c r="AP150" s="11">
        <f t="shared" si="55"/>
        <v>792909</v>
      </c>
      <c r="AQ150" s="56" t="str">
        <f t="shared" si="56"/>
        <v>Yes</v>
      </c>
      <c r="AR150" s="35">
        <f>IF(AQ150="Yes",+AP150*$I$9,0)</f>
        <v>132177.93029999998</v>
      </c>
      <c r="AS150" s="35">
        <f t="shared" si="57"/>
        <v>10769107.930299999</v>
      </c>
      <c r="AT150"/>
      <c r="AU150" s="35"/>
      <c r="AV150" s="53"/>
      <c r="AW150" s="35"/>
      <c r="AX150" s="21"/>
      <c r="AZ150" s="21"/>
      <c r="BA150" s="21"/>
      <c r="BE150" s="21"/>
      <c r="BF150" s="21"/>
      <c r="BG150" s="21"/>
      <c r="BH150" s="21"/>
      <c r="BI150" s="21"/>
    </row>
    <row r="151" spans="1:61" ht="14.35" x14ac:dyDescent="0.5">
      <c r="A151" s="8"/>
      <c r="B151" s="25"/>
      <c r="C151" s="25"/>
      <c r="D151">
        <v>163</v>
      </c>
      <c r="E151" s="8">
        <v>125</v>
      </c>
      <c r="F151" s="3" t="s">
        <v>212</v>
      </c>
      <c r="G151" s="54"/>
      <c r="H151">
        <v>128.09</v>
      </c>
      <c r="I151" s="62"/>
      <c r="J151">
        <v>47</v>
      </c>
      <c r="K151" s="60">
        <f t="shared" si="42"/>
        <v>14.1</v>
      </c>
      <c r="L151" s="60">
        <f t="shared" si="43"/>
        <v>76.849999999999994</v>
      </c>
      <c r="M151" s="60">
        <f t="shared" si="44"/>
        <v>0</v>
      </c>
      <c r="N151" s="60">
        <f t="shared" si="45"/>
        <v>0</v>
      </c>
      <c r="O151" s="51">
        <f t="shared" si="46"/>
        <v>0.37</v>
      </c>
      <c r="P151" s="51">
        <f t="shared" si="59"/>
        <v>0</v>
      </c>
      <c r="Q151" s="34">
        <f t="shared" si="60"/>
        <v>0</v>
      </c>
      <c r="R151" s="34">
        <f t="shared" si="47"/>
        <v>0</v>
      </c>
      <c r="S151">
        <v>6</v>
      </c>
      <c r="T151" s="60">
        <f t="shared" si="48"/>
        <v>1.5</v>
      </c>
      <c r="U151" s="36">
        <f t="shared" si="61"/>
        <v>14.1</v>
      </c>
      <c r="V151" s="9">
        <f t="shared" si="49"/>
        <v>143.69</v>
      </c>
      <c r="W151" s="60">
        <v>1067612664.67</v>
      </c>
      <c r="X151" s="61">
        <v>2689</v>
      </c>
      <c r="Y151" s="17">
        <f t="shared" si="37"/>
        <v>397029.63</v>
      </c>
      <c r="Z151" s="37">
        <f t="shared" si="38"/>
        <v>2.0028030000000001</v>
      </c>
      <c r="AA151" s="61">
        <v>81919</v>
      </c>
      <c r="AB151" s="37">
        <f t="shared" si="39"/>
        <v>0.66760600000000003</v>
      </c>
      <c r="AC151" s="37">
        <f t="shared" si="58"/>
        <v>-0.602244</v>
      </c>
      <c r="AD151" s="55">
        <f t="shared" si="50"/>
        <v>0.01</v>
      </c>
      <c r="AE151" s="38">
        <f t="shared" si="62"/>
        <v>0</v>
      </c>
      <c r="AF151" s="58">
        <f t="shared" si="51"/>
        <v>0.01</v>
      </c>
      <c r="AG151">
        <v>36</v>
      </c>
      <c r="AH151" s="61">
        <v>4</v>
      </c>
      <c r="AI151" s="11">
        <f t="shared" si="52"/>
        <v>14400</v>
      </c>
      <c r="AJ151">
        <v>0</v>
      </c>
      <c r="AK151" s="67"/>
      <c r="AL151" s="11">
        <f t="shared" si="53"/>
        <v>0</v>
      </c>
      <c r="AM151" s="11">
        <f t="shared" si="63"/>
        <v>16560</v>
      </c>
      <c r="AN151" s="11">
        <f t="shared" si="54"/>
        <v>30960</v>
      </c>
      <c r="AO151" s="61">
        <v>16220</v>
      </c>
      <c r="AP151" s="11">
        <f t="shared" si="55"/>
        <v>14740</v>
      </c>
      <c r="AQ151" s="56" t="str">
        <f t="shared" si="56"/>
        <v>Yes</v>
      </c>
      <c r="AR151" s="35">
        <f>IF(AQ151="Yes",+AP151*$I$9,0)</f>
        <v>2457.1579999999999</v>
      </c>
      <c r="AS151" s="35">
        <f t="shared" si="57"/>
        <v>18677.157999999999</v>
      </c>
      <c r="AT151"/>
      <c r="AU151" s="35"/>
      <c r="AV151" s="53"/>
      <c r="AW151" s="35"/>
      <c r="AX151" s="21"/>
      <c r="AZ151" s="21"/>
      <c r="BA151" s="21"/>
      <c r="BE151" s="21"/>
      <c r="BF151" s="21"/>
      <c r="BG151" s="21"/>
      <c r="BH151" s="21"/>
      <c r="BI151" s="21"/>
    </row>
    <row r="152" spans="1:61" ht="14.35" x14ac:dyDescent="0.5">
      <c r="A152" s="8"/>
      <c r="B152" s="25"/>
      <c r="C152" s="25"/>
      <c r="D152">
        <v>111</v>
      </c>
      <c r="E152" s="8">
        <v>126</v>
      </c>
      <c r="F152" s="3" t="s">
        <v>213</v>
      </c>
      <c r="G152" s="54"/>
      <c r="H152">
        <v>4589.17</v>
      </c>
      <c r="I152" s="62"/>
      <c r="J152">
        <v>1346</v>
      </c>
      <c r="K152" s="60">
        <f t="shared" si="42"/>
        <v>403.8</v>
      </c>
      <c r="L152" s="60">
        <f t="shared" si="43"/>
        <v>2753.5</v>
      </c>
      <c r="M152" s="60">
        <f t="shared" si="44"/>
        <v>0</v>
      </c>
      <c r="N152" s="60">
        <f t="shared" si="45"/>
        <v>0</v>
      </c>
      <c r="O152" s="51">
        <f t="shared" si="46"/>
        <v>0.28999999999999998</v>
      </c>
      <c r="P152" s="51">
        <f t="shared" si="59"/>
        <v>0</v>
      </c>
      <c r="Q152" s="34">
        <f t="shared" si="60"/>
        <v>0</v>
      </c>
      <c r="R152" s="34">
        <f t="shared" si="47"/>
        <v>0</v>
      </c>
      <c r="S152">
        <v>302</v>
      </c>
      <c r="T152" s="60">
        <f t="shared" si="48"/>
        <v>75.5</v>
      </c>
      <c r="U152" s="36">
        <f t="shared" si="61"/>
        <v>403.8</v>
      </c>
      <c r="V152" s="9">
        <f t="shared" si="49"/>
        <v>5068.47</v>
      </c>
      <c r="W152" s="60">
        <v>7360210345</v>
      </c>
      <c r="X152" s="61">
        <v>41129</v>
      </c>
      <c r="Y152" s="17">
        <f t="shared" si="37"/>
        <v>178954.27</v>
      </c>
      <c r="Z152" s="37">
        <f t="shared" si="38"/>
        <v>0.902729</v>
      </c>
      <c r="AA152" s="61">
        <v>97131</v>
      </c>
      <c r="AB152" s="37">
        <f t="shared" si="39"/>
        <v>0.791578</v>
      </c>
      <c r="AC152" s="37">
        <f t="shared" si="58"/>
        <v>0.13061600000000001</v>
      </c>
      <c r="AD152" s="55">
        <f t="shared" si="50"/>
        <v>0.13061600000000001</v>
      </c>
      <c r="AE152" s="38">
        <f t="shared" si="62"/>
        <v>0</v>
      </c>
      <c r="AF152" s="58">
        <f t="shared" si="51"/>
        <v>0.13061600000000001</v>
      </c>
      <c r="AG152">
        <v>0</v>
      </c>
      <c r="AH152" s="61">
        <v>0</v>
      </c>
      <c r="AI152" s="11">
        <f t="shared" si="52"/>
        <v>0</v>
      </c>
      <c r="AJ152">
        <v>0</v>
      </c>
      <c r="AK152" s="67"/>
      <c r="AL152" s="11">
        <f t="shared" si="53"/>
        <v>0</v>
      </c>
      <c r="AM152" s="11">
        <f t="shared" si="63"/>
        <v>7629818</v>
      </c>
      <c r="AN152" s="11">
        <f t="shared" si="54"/>
        <v>7629818</v>
      </c>
      <c r="AO152" s="61">
        <v>6851370</v>
      </c>
      <c r="AP152" s="11">
        <f t="shared" si="55"/>
        <v>778448</v>
      </c>
      <c r="AQ152" s="56" t="str">
        <f t="shared" si="56"/>
        <v>Yes</v>
      </c>
      <c r="AR152" s="35">
        <f>IF(AQ152="Yes",+AP152*$I$9,0)</f>
        <v>129767.28159999999</v>
      </c>
      <c r="AS152" s="35">
        <f t="shared" si="57"/>
        <v>6981137.2816000003</v>
      </c>
      <c r="AT152"/>
      <c r="AU152" s="35"/>
      <c r="AV152" s="53"/>
      <c r="AW152" s="35"/>
      <c r="AX152" s="21"/>
      <c r="AZ152" s="21"/>
      <c r="BA152" s="21"/>
      <c r="BE152" s="21"/>
      <c r="BF152" s="21"/>
      <c r="BG152" s="21"/>
      <c r="BH152" s="21"/>
      <c r="BI152" s="21"/>
    </row>
    <row r="153" spans="1:61" ht="14.35" x14ac:dyDescent="0.5">
      <c r="A153" s="8"/>
      <c r="B153" s="25"/>
      <c r="C153" s="25"/>
      <c r="D153">
        <v>157</v>
      </c>
      <c r="E153" s="8">
        <v>127</v>
      </c>
      <c r="F153" s="3" t="s">
        <v>214</v>
      </c>
      <c r="G153" s="54"/>
      <c r="H153">
        <v>387.44</v>
      </c>
      <c r="I153" s="62"/>
      <c r="J153">
        <v>29</v>
      </c>
      <c r="K153" s="60">
        <f t="shared" si="42"/>
        <v>8.6999999999999993</v>
      </c>
      <c r="L153" s="60">
        <f t="shared" si="43"/>
        <v>232.46</v>
      </c>
      <c r="M153" s="60">
        <f t="shared" si="44"/>
        <v>0</v>
      </c>
      <c r="N153" s="60">
        <f t="shared" si="45"/>
        <v>0</v>
      </c>
      <c r="O153" s="51">
        <f t="shared" si="46"/>
        <v>7.0000000000000007E-2</v>
      </c>
      <c r="P153" s="51">
        <f t="shared" si="59"/>
        <v>0</v>
      </c>
      <c r="Q153" s="34">
        <f t="shared" si="60"/>
        <v>0</v>
      </c>
      <c r="R153" s="34">
        <f t="shared" si="47"/>
        <v>0</v>
      </c>
      <c r="S153">
        <v>1</v>
      </c>
      <c r="T153" s="60">
        <f t="shared" si="48"/>
        <v>0.25</v>
      </c>
      <c r="U153" s="36">
        <f t="shared" si="61"/>
        <v>8.6999999999999993</v>
      </c>
      <c r="V153" s="9">
        <f t="shared" si="49"/>
        <v>396.39</v>
      </c>
      <c r="W153" s="60">
        <v>1023071846.33</v>
      </c>
      <c r="X153" s="61">
        <v>3630</v>
      </c>
      <c r="Y153" s="17">
        <f t="shared" si="37"/>
        <v>281837.96999999997</v>
      </c>
      <c r="Z153" s="37">
        <f t="shared" si="38"/>
        <v>1.4217230000000001</v>
      </c>
      <c r="AA153" s="61">
        <v>101818</v>
      </c>
      <c r="AB153" s="37">
        <f t="shared" si="39"/>
        <v>0.82977500000000004</v>
      </c>
      <c r="AC153" s="37">
        <f t="shared" si="58"/>
        <v>-0.24413899999999999</v>
      </c>
      <c r="AD153" s="55">
        <f t="shared" si="50"/>
        <v>0.01</v>
      </c>
      <c r="AE153" s="38">
        <f t="shared" si="62"/>
        <v>0</v>
      </c>
      <c r="AF153" s="58">
        <f t="shared" si="51"/>
        <v>0.01</v>
      </c>
      <c r="AG153">
        <v>0</v>
      </c>
      <c r="AH153" s="61">
        <v>0</v>
      </c>
      <c r="AI153" s="11">
        <f t="shared" si="52"/>
        <v>0</v>
      </c>
      <c r="AJ153">
        <v>0</v>
      </c>
      <c r="AK153" s="67"/>
      <c r="AL153" s="11">
        <f t="shared" si="53"/>
        <v>0</v>
      </c>
      <c r="AM153" s="11">
        <f t="shared" si="63"/>
        <v>45684</v>
      </c>
      <c r="AN153" s="11">
        <f t="shared" si="54"/>
        <v>45684</v>
      </c>
      <c r="AO153" s="61">
        <v>46995</v>
      </c>
      <c r="AP153" s="11">
        <f t="shared" si="55"/>
        <v>0</v>
      </c>
      <c r="AQ153" s="56" t="str">
        <f t="shared" si="56"/>
        <v>No</v>
      </c>
      <c r="AR153" s="35">
        <f>IF(AQ153="Yes",+AP153*$I$9,0)</f>
        <v>0</v>
      </c>
      <c r="AS153" s="35">
        <f t="shared" si="57"/>
        <v>46995</v>
      </c>
      <c r="AT153"/>
      <c r="AU153" s="35"/>
      <c r="AV153" s="53"/>
      <c r="AW153" s="35"/>
      <c r="AX153" s="21"/>
      <c r="AZ153" s="21"/>
      <c r="BA153" s="21"/>
      <c r="BE153" s="21"/>
      <c r="BF153" s="21"/>
      <c r="BG153" s="21"/>
      <c r="BH153" s="21"/>
      <c r="BI153" s="21"/>
    </row>
    <row r="154" spans="1:61" ht="14.35" x14ac:dyDescent="0.5">
      <c r="A154" s="8"/>
      <c r="B154" s="25"/>
      <c r="C154" s="25"/>
      <c r="D154">
        <v>128</v>
      </c>
      <c r="E154" s="8">
        <v>128</v>
      </c>
      <c r="F154" s="3" t="s">
        <v>215</v>
      </c>
      <c r="G154" s="54"/>
      <c r="H154">
        <v>4093.61</v>
      </c>
      <c r="I154" s="62"/>
      <c r="J154">
        <v>489</v>
      </c>
      <c r="K154" s="60">
        <f t="shared" si="42"/>
        <v>146.69999999999999</v>
      </c>
      <c r="L154" s="60">
        <f t="shared" si="43"/>
        <v>2456.17</v>
      </c>
      <c r="M154" s="60">
        <f t="shared" si="44"/>
        <v>0</v>
      </c>
      <c r="N154" s="60">
        <f t="shared" si="45"/>
        <v>0</v>
      </c>
      <c r="O154" s="51">
        <f t="shared" si="46"/>
        <v>0.12</v>
      </c>
      <c r="P154" s="51">
        <f t="shared" si="59"/>
        <v>0</v>
      </c>
      <c r="Q154" s="34">
        <f t="shared" si="60"/>
        <v>0</v>
      </c>
      <c r="R154" s="34">
        <f t="shared" si="47"/>
        <v>0</v>
      </c>
      <c r="S154">
        <v>72</v>
      </c>
      <c r="T154" s="60">
        <f t="shared" si="48"/>
        <v>18</v>
      </c>
      <c r="U154" s="36">
        <f t="shared" si="61"/>
        <v>146.69999999999999</v>
      </c>
      <c r="V154" s="9">
        <f t="shared" si="49"/>
        <v>4258.3100000000004</v>
      </c>
      <c r="W154" s="60">
        <v>3642846556</v>
      </c>
      <c r="X154" s="61">
        <v>25395</v>
      </c>
      <c r="Y154" s="17">
        <f t="shared" si="37"/>
        <v>143447.39000000001</v>
      </c>
      <c r="Z154" s="37">
        <f t="shared" si="38"/>
        <v>0.72361600000000004</v>
      </c>
      <c r="AA154" s="61">
        <v>123905</v>
      </c>
      <c r="AB154" s="37">
        <f t="shared" si="39"/>
        <v>1.0097750000000001</v>
      </c>
      <c r="AC154" s="37">
        <f t="shared" si="58"/>
        <v>0.19053600000000001</v>
      </c>
      <c r="AD154" s="55">
        <f t="shared" si="50"/>
        <v>0.19053600000000001</v>
      </c>
      <c r="AE154" s="38">
        <f t="shared" si="62"/>
        <v>0</v>
      </c>
      <c r="AF154" s="58">
        <f t="shared" si="51"/>
        <v>0.19053600000000001</v>
      </c>
      <c r="AG154">
        <v>0</v>
      </c>
      <c r="AH154" s="61">
        <v>0</v>
      </c>
      <c r="AI154" s="11">
        <f t="shared" si="52"/>
        <v>0</v>
      </c>
      <c r="AJ154">
        <v>0</v>
      </c>
      <c r="AK154" s="67"/>
      <c r="AL154" s="11">
        <f t="shared" si="53"/>
        <v>0</v>
      </c>
      <c r="AM154" s="11">
        <f t="shared" si="63"/>
        <v>9350940</v>
      </c>
      <c r="AN154" s="11">
        <f t="shared" si="54"/>
        <v>9350940</v>
      </c>
      <c r="AO154" s="61">
        <v>6530198</v>
      </c>
      <c r="AP154" s="11">
        <f t="shared" si="55"/>
        <v>2820742</v>
      </c>
      <c r="AQ154" s="56" t="str">
        <f t="shared" si="56"/>
        <v>Yes</v>
      </c>
      <c r="AR154" s="35">
        <f>IF(AQ154="Yes",+AP154*$I$9,0)</f>
        <v>470217.69139999995</v>
      </c>
      <c r="AS154" s="35">
        <f t="shared" si="57"/>
        <v>7000415.6913999999</v>
      </c>
      <c r="AT154"/>
      <c r="AU154" s="35"/>
      <c r="AV154" s="53"/>
      <c r="AW154" s="35"/>
      <c r="AX154" s="21"/>
      <c r="AZ154" s="21"/>
      <c r="BA154" s="21"/>
      <c r="BE154" s="21"/>
      <c r="BF154" s="21"/>
      <c r="BG154" s="21"/>
      <c r="BH154" s="21"/>
      <c r="BI154" s="21"/>
    </row>
    <row r="155" spans="1:61" ht="14.35" x14ac:dyDescent="0.5">
      <c r="A155" s="8"/>
      <c r="B155" s="25"/>
      <c r="C155" s="25"/>
      <c r="D155">
        <v>103</v>
      </c>
      <c r="E155" s="8">
        <v>129</v>
      </c>
      <c r="F155" s="3" t="s">
        <v>216</v>
      </c>
      <c r="G155" s="54"/>
      <c r="H155">
        <v>1360.1</v>
      </c>
      <c r="I155" s="62"/>
      <c r="J155">
        <v>74</v>
      </c>
      <c r="K155" s="60">
        <f t="shared" si="42"/>
        <v>22.2</v>
      </c>
      <c r="L155" s="60">
        <f t="shared" si="43"/>
        <v>816.06</v>
      </c>
      <c r="M155" s="60">
        <f t="shared" si="44"/>
        <v>0</v>
      </c>
      <c r="N155" s="60">
        <f t="shared" si="45"/>
        <v>0</v>
      </c>
      <c r="O155" s="51">
        <f t="shared" si="46"/>
        <v>0.05</v>
      </c>
      <c r="P155" s="51">
        <f t="shared" ref="P155:P186" si="65">IF(O155&gt;0.6,+O155-0.6,0)</f>
        <v>0</v>
      </c>
      <c r="Q155" s="34">
        <f t="shared" ref="Q155:Q186" si="66">ROUND(P155*H155,2)</f>
        <v>0</v>
      </c>
      <c r="R155" s="34">
        <f t="shared" si="47"/>
        <v>0</v>
      </c>
      <c r="S155">
        <v>8</v>
      </c>
      <c r="T155" s="60">
        <f t="shared" si="48"/>
        <v>2</v>
      </c>
      <c r="U155" s="36">
        <f t="shared" ref="U155:U186" si="67">ROUND(J155*$U$2,2)</f>
        <v>22.2</v>
      </c>
      <c r="V155" s="9">
        <f t="shared" si="49"/>
        <v>1384.3</v>
      </c>
      <c r="W155" s="60">
        <v>1328857735</v>
      </c>
      <c r="X155" s="61">
        <v>10784</v>
      </c>
      <c r="Y155" s="17">
        <f t="shared" ref="Y155:Y195" si="68">ROUND(W155/X155,2)</f>
        <v>123224.94</v>
      </c>
      <c r="Z155" s="37">
        <f t="shared" ref="Z155:Z195" si="69">(ROUND(Y155/$Z$21,6))</f>
        <v>0.62160400000000005</v>
      </c>
      <c r="AA155" s="61">
        <v>108560</v>
      </c>
      <c r="AB155" s="37">
        <f t="shared" ref="AB155:AB195" si="70">(ROUND(AA155/$AB$21,6))</f>
        <v>0.88471999999999995</v>
      </c>
      <c r="AC155" s="37">
        <f t="shared" si="58"/>
        <v>0.29946099999999998</v>
      </c>
      <c r="AD155" s="55">
        <f t="shared" si="50"/>
        <v>0.29946099999999998</v>
      </c>
      <c r="AE155" s="38">
        <f t="shared" ref="AE155:AE186" si="71">IF(D155&gt;=1,IF(D155&lt;=5,0.06,IF(D155&lt;=10,0.05,IF(D155&lt;=15,0.04,IF(D155&lt;=19,0.03,0)))),0)</f>
        <v>0</v>
      </c>
      <c r="AF155" s="58">
        <f t="shared" si="51"/>
        <v>0.29946099999999998</v>
      </c>
      <c r="AG155">
        <v>0</v>
      </c>
      <c r="AH155" s="61">
        <v>0</v>
      </c>
      <c r="AI155" s="11">
        <f t="shared" si="52"/>
        <v>0</v>
      </c>
      <c r="AJ155">
        <v>0</v>
      </c>
      <c r="AK155" s="67"/>
      <c r="AL155" s="11">
        <f t="shared" si="53"/>
        <v>0</v>
      </c>
      <c r="AM155" s="11">
        <f t="shared" ref="AM155:AM186" si="72">ROUND(V155*AF155*$AM$21,0)</f>
        <v>4777618</v>
      </c>
      <c r="AN155" s="11">
        <f t="shared" si="54"/>
        <v>4777618</v>
      </c>
      <c r="AO155" s="61">
        <v>5692630</v>
      </c>
      <c r="AP155" s="11">
        <f t="shared" si="55"/>
        <v>0</v>
      </c>
      <c r="AQ155" s="56" t="str">
        <f t="shared" si="56"/>
        <v>No</v>
      </c>
      <c r="AR155" s="35">
        <f>IF(AQ155="Yes",+AP155*$I$9,0)</f>
        <v>0</v>
      </c>
      <c r="AS155" s="35">
        <f t="shared" si="57"/>
        <v>5692630</v>
      </c>
      <c r="AT155"/>
      <c r="AU155" s="35"/>
      <c r="AV155" s="53"/>
      <c r="AW155" s="35"/>
      <c r="AX155" s="21"/>
      <c r="AZ155" s="21"/>
      <c r="BA155" s="21"/>
      <c r="BE155" s="21"/>
      <c r="BF155" s="21"/>
      <c r="BG155" s="21"/>
      <c r="BH155" s="21"/>
      <c r="BI155" s="21"/>
    </row>
    <row r="156" spans="1:61" ht="14.35" x14ac:dyDescent="0.5">
      <c r="A156" s="8"/>
      <c r="B156" s="25"/>
      <c r="C156" s="25"/>
      <c r="D156">
        <v>93</v>
      </c>
      <c r="E156" s="8">
        <v>130</v>
      </c>
      <c r="F156" s="3" t="s">
        <v>217</v>
      </c>
      <c r="G156" s="54"/>
      <c r="H156">
        <v>2354.8200000000002</v>
      </c>
      <c r="I156" s="62"/>
      <c r="J156">
        <v>243</v>
      </c>
      <c r="K156" s="60">
        <f t="shared" ref="K156:K195" si="73">ROUND(J156*0.3,2)</f>
        <v>72.900000000000006</v>
      </c>
      <c r="L156" s="60">
        <f t="shared" ref="L156:L195" si="74">ROUND(H156*0.6,2)</f>
        <v>1412.89</v>
      </c>
      <c r="M156" s="60">
        <f t="shared" ref="M156:M195" si="75">MAX(J156-L156,0)</f>
        <v>0</v>
      </c>
      <c r="N156" s="60">
        <f t="shared" ref="N156:N195" si="76">ROUND(M156*0.15,2)</f>
        <v>0</v>
      </c>
      <c r="O156" s="51">
        <f t="shared" ref="O156:O195" si="77">ROUND(J156/H156,2)</f>
        <v>0.1</v>
      </c>
      <c r="P156" s="51">
        <f t="shared" si="65"/>
        <v>0</v>
      </c>
      <c r="Q156" s="34">
        <f t="shared" si="66"/>
        <v>0</v>
      </c>
      <c r="R156" s="34">
        <f t="shared" ref="R156:R195" si="78">ROUND(Q156*0.15,2)</f>
        <v>0</v>
      </c>
      <c r="S156">
        <v>19</v>
      </c>
      <c r="T156" s="60">
        <f t="shared" ref="T156:T195" si="79">ROUND(S156*0.25,2)</f>
        <v>4.75</v>
      </c>
      <c r="U156" s="36">
        <f t="shared" si="67"/>
        <v>72.900000000000006</v>
      </c>
      <c r="V156" s="9">
        <f t="shared" ref="V156:V195" si="80">+H156+K156+N156+T156</f>
        <v>2432.4700000000003</v>
      </c>
      <c r="W156" s="60">
        <v>3168388991.3299999</v>
      </c>
      <c r="X156" s="61">
        <v>19571</v>
      </c>
      <c r="Y156" s="17">
        <f t="shared" si="68"/>
        <v>161892.03</v>
      </c>
      <c r="Z156" s="37">
        <f t="shared" si="69"/>
        <v>0.81665900000000002</v>
      </c>
      <c r="AA156" s="61">
        <v>98790</v>
      </c>
      <c r="AB156" s="37">
        <f t="shared" si="70"/>
        <v>0.80509799999999998</v>
      </c>
      <c r="AC156" s="37">
        <f t="shared" si="58"/>
        <v>0.186809</v>
      </c>
      <c r="AD156" s="55">
        <f t="shared" ref="AD156:AD195" si="81">IF(C156&gt;=1,MAX($I$7,AC156),MAX($I$6,AC156))</f>
        <v>0.186809</v>
      </c>
      <c r="AE156" s="38">
        <f t="shared" si="71"/>
        <v>0</v>
      </c>
      <c r="AF156" s="58">
        <f t="shared" ref="AF156:AF195" si="82">+AE156+AD156</f>
        <v>0.186809</v>
      </c>
      <c r="AG156">
        <v>2368</v>
      </c>
      <c r="AH156" s="61">
        <v>13</v>
      </c>
      <c r="AI156" s="11">
        <f t="shared" ref="AI156:AI195" si="83">ROUND(AG156*AH156*100,0)</f>
        <v>3078400</v>
      </c>
      <c r="AJ156">
        <v>0</v>
      </c>
      <c r="AK156" s="67"/>
      <c r="AL156" s="11">
        <f t="shared" ref="AL156:AL195" si="84">ROUND(AJ156*AK156*100,0)</f>
        <v>0</v>
      </c>
      <c r="AM156" s="11">
        <f t="shared" si="72"/>
        <v>5237044</v>
      </c>
      <c r="AN156" s="11">
        <f t="shared" ref="AN156:AN195" si="85">SUM(AI156+AL156+AM156)</f>
        <v>8315444</v>
      </c>
      <c r="AO156" s="61">
        <v>4290927</v>
      </c>
      <c r="AP156" s="11">
        <f t="shared" ref="AP156:AP195" si="86">MAX(0,SUM(AN156,-AO156))</f>
        <v>4024517</v>
      </c>
      <c r="AQ156" s="56" t="str">
        <f t="shared" ref="AQ156:AQ195" si="87">IF(AN156&gt;AO156,"Yes","No")</f>
        <v>Yes</v>
      </c>
      <c r="AR156" s="35">
        <f>IF(AQ156="Yes",+AP156*$I$9,0)</f>
        <v>670886.98389999999</v>
      </c>
      <c r="AS156" s="35">
        <f t="shared" ref="AS156:AS195" si="88">SUM(AO156,AR156)</f>
        <v>4961813.9839000003</v>
      </c>
      <c r="AT156"/>
      <c r="AU156" s="35"/>
      <c r="AV156" s="53"/>
      <c r="AW156" s="35"/>
      <c r="AX156" s="21"/>
      <c r="AZ156" s="21"/>
      <c r="BA156" s="21"/>
      <c r="BE156" s="21"/>
      <c r="BF156" s="21"/>
      <c r="BG156" s="21"/>
      <c r="BH156" s="21"/>
      <c r="BI156" s="21"/>
    </row>
    <row r="157" spans="1:61" ht="14.35" x14ac:dyDescent="0.5">
      <c r="A157" s="8"/>
      <c r="B157" s="25"/>
      <c r="C157" s="25"/>
      <c r="D157">
        <v>79</v>
      </c>
      <c r="E157" s="8">
        <v>131</v>
      </c>
      <c r="F157" s="3" t="s">
        <v>218</v>
      </c>
      <c r="G157" s="54"/>
      <c r="H157">
        <v>6149.04</v>
      </c>
      <c r="I157" s="62"/>
      <c r="J157">
        <v>1371</v>
      </c>
      <c r="K157" s="60">
        <f t="shared" si="73"/>
        <v>411.3</v>
      </c>
      <c r="L157" s="60">
        <f t="shared" si="74"/>
        <v>3689.42</v>
      </c>
      <c r="M157" s="60">
        <f t="shared" si="75"/>
        <v>0</v>
      </c>
      <c r="N157" s="60">
        <f t="shared" si="76"/>
        <v>0</v>
      </c>
      <c r="O157" s="51">
        <f t="shared" si="77"/>
        <v>0.22</v>
      </c>
      <c r="P157" s="51">
        <f t="shared" si="65"/>
        <v>0</v>
      </c>
      <c r="Q157" s="34">
        <f t="shared" si="66"/>
        <v>0</v>
      </c>
      <c r="R157" s="34">
        <f t="shared" si="78"/>
        <v>0</v>
      </c>
      <c r="S157">
        <v>139</v>
      </c>
      <c r="T157" s="60">
        <f t="shared" si="79"/>
        <v>34.75</v>
      </c>
      <c r="U157" s="36">
        <f t="shared" si="67"/>
        <v>411.3</v>
      </c>
      <c r="V157" s="9">
        <f t="shared" si="80"/>
        <v>6595.09</v>
      </c>
      <c r="W157" s="60">
        <v>6243483620.6700001</v>
      </c>
      <c r="X157" s="61">
        <v>43834</v>
      </c>
      <c r="Y157" s="17">
        <f t="shared" si="68"/>
        <v>142434.72</v>
      </c>
      <c r="Z157" s="37">
        <f t="shared" si="69"/>
        <v>0.71850700000000001</v>
      </c>
      <c r="AA157" s="61">
        <v>94463</v>
      </c>
      <c r="AB157" s="37">
        <f t="shared" si="70"/>
        <v>0.76983500000000005</v>
      </c>
      <c r="AC157" s="37">
        <f t="shared" ref="AC157:AC195" si="89">ROUND(1-((Z157*$I$4)+(AB157*$I$5)),6)</f>
        <v>0.26609500000000003</v>
      </c>
      <c r="AD157" s="55">
        <f t="shared" si="81"/>
        <v>0.26609500000000003</v>
      </c>
      <c r="AE157" s="38">
        <f t="shared" si="71"/>
        <v>0</v>
      </c>
      <c r="AF157" s="58">
        <f t="shared" si="82"/>
        <v>0.26609500000000003</v>
      </c>
      <c r="AG157">
        <v>0</v>
      </c>
      <c r="AH157" s="61">
        <v>0</v>
      </c>
      <c r="AI157" s="11">
        <f t="shared" si="83"/>
        <v>0</v>
      </c>
      <c r="AJ157">
        <v>0</v>
      </c>
      <c r="AK157" s="67"/>
      <c r="AL157" s="11">
        <f t="shared" si="84"/>
        <v>0</v>
      </c>
      <c r="AM157" s="11">
        <f t="shared" si="72"/>
        <v>20225458</v>
      </c>
      <c r="AN157" s="11">
        <f t="shared" si="85"/>
        <v>20225458</v>
      </c>
      <c r="AO157" s="61">
        <v>20466417</v>
      </c>
      <c r="AP157" s="11">
        <f t="shared" si="86"/>
        <v>0</v>
      </c>
      <c r="AQ157" s="56" t="str">
        <f t="shared" si="87"/>
        <v>No</v>
      </c>
      <c r="AR157" s="35">
        <f>IF(AQ157="Yes",+AP157*$I$9,0)</f>
        <v>0</v>
      </c>
      <c r="AS157" s="35">
        <f t="shared" si="88"/>
        <v>20466417</v>
      </c>
      <c r="AT157"/>
      <c r="AU157" s="35"/>
      <c r="AV157" s="53"/>
      <c r="AW157" s="35"/>
      <c r="AX157" s="21"/>
      <c r="AZ157" s="21"/>
      <c r="BA157" s="21"/>
      <c r="BE157" s="21"/>
      <c r="BF157" s="21"/>
      <c r="BG157" s="21"/>
      <c r="BH157" s="21"/>
      <c r="BI157" s="21"/>
    </row>
    <row r="158" spans="1:61" ht="14.35" x14ac:dyDescent="0.5">
      <c r="A158" s="8"/>
      <c r="B158" s="25"/>
      <c r="C158" s="25"/>
      <c r="D158">
        <v>64</v>
      </c>
      <c r="E158" s="8">
        <v>132</v>
      </c>
      <c r="F158" s="3" t="s">
        <v>219</v>
      </c>
      <c r="G158" s="54"/>
      <c r="H158">
        <v>4894.42</v>
      </c>
      <c r="I158" s="62"/>
      <c r="J158">
        <v>757</v>
      </c>
      <c r="K158" s="60">
        <f t="shared" si="73"/>
        <v>227.1</v>
      </c>
      <c r="L158" s="60">
        <f t="shared" si="74"/>
        <v>2936.65</v>
      </c>
      <c r="M158" s="60">
        <f t="shared" si="75"/>
        <v>0</v>
      </c>
      <c r="N158" s="60">
        <f t="shared" si="76"/>
        <v>0</v>
      </c>
      <c r="O158" s="51">
        <f t="shared" si="77"/>
        <v>0.15</v>
      </c>
      <c r="P158" s="51">
        <f t="shared" si="65"/>
        <v>0</v>
      </c>
      <c r="Q158" s="34">
        <f t="shared" si="66"/>
        <v>0</v>
      </c>
      <c r="R158" s="34">
        <f t="shared" si="78"/>
        <v>0</v>
      </c>
      <c r="S158">
        <v>360</v>
      </c>
      <c r="T158" s="60">
        <f t="shared" si="79"/>
        <v>90</v>
      </c>
      <c r="U158" s="36">
        <f t="shared" si="67"/>
        <v>227.1</v>
      </c>
      <c r="V158" s="9">
        <f t="shared" si="80"/>
        <v>5211.5200000000004</v>
      </c>
      <c r="W158" s="60">
        <v>4224767929.3299999</v>
      </c>
      <c r="X158" s="61">
        <v>26162</v>
      </c>
      <c r="Y158" s="17">
        <f t="shared" si="68"/>
        <v>161484.9</v>
      </c>
      <c r="Z158" s="37">
        <f t="shared" si="69"/>
        <v>0.81460500000000002</v>
      </c>
      <c r="AA158" s="61">
        <v>107374</v>
      </c>
      <c r="AB158" s="37">
        <f t="shared" si="70"/>
        <v>0.875054</v>
      </c>
      <c r="AC158" s="37">
        <f t="shared" si="89"/>
        <v>0.16725999999999999</v>
      </c>
      <c r="AD158" s="55">
        <f t="shared" si="81"/>
        <v>0.16725999999999999</v>
      </c>
      <c r="AE158" s="38">
        <f t="shared" si="71"/>
        <v>0</v>
      </c>
      <c r="AF158" s="58">
        <f t="shared" si="82"/>
        <v>0.16725999999999999</v>
      </c>
      <c r="AG158">
        <v>0</v>
      </c>
      <c r="AH158" s="61">
        <v>0</v>
      </c>
      <c r="AI158" s="11">
        <f t="shared" si="83"/>
        <v>0</v>
      </c>
      <c r="AJ158">
        <v>0</v>
      </c>
      <c r="AK158" s="67"/>
      <c r="AL158" s="11">
        <f t="shared" si="84"/>
        <v>0</v>
      </c>
      <c r="AM158" s="11">
        <f t="shared" si="72"/>
        <v>10046099</v>
      </c>
      <c r="AN158" s="11">
        <f t="shared" si="85"/>
        <v>10046099</v>
      </c>
      <c r="AO158" s="61">
        <v>11408078</v>
      </c>
      <c r="AP158" s="11">
        <f t="shared" si="86"/>
        <v>0</v>
      </c>
      <c r="AQ158" s="56" t="str">
        <f t="shared" si="87"/>
        <v>No</v>
      </c>
      <c r="AR158" s="35">
        <f>IF(AQ158="Yes",+AP158*$I$9,0)</f>
        <v>0</v>
      </c>
      <c r="AS158" s="35">
        <f t="shared" si="88"/>
        <v>11408078</v>
      </c>
      <c r="AT158"/>
      <c r="AU158" s="35"/>
      <c r="AV158" s="53"/>
      <c r="AW158" s="35"/>
      <c r="AX158" s="21"/>
      <c r="AZ158" s="21"/>
      <c r="BA158" s="21"/>
      <c r="BE158" s="21"/>
      <c r="BF158" s="21"/>
      <c r="BG158" s="21"/>
      <c r="BH158" s="21"/>
      <c r="BI158" s="21"/>
    </row>
    <row r="159" spans="1:61" ht="14.35" x14ac:dyDescent="0.5">
      <c r="A159" s="8"/>
      <c r="B159" s="25"/>
      <c r="C159" s="25"/>
      <c r="D159">
        <v>18</v>
      </c>
      <c r="E159" s="8">
        <v>133</v>
      </c>
      <c r="F159" s="3" t="s">
        <v>220</v>
      </c>
      <c r="G159" s="54"/>
      <c r="H159">
        <v>376.16</v>
      </c>
      <c r="I159" s="63"/>
      <c r="J159">
        <v>214</v>
      </c>
      <c r="K159" s="60">
        <f t="shared" si="73"/>
        <v>64.2</v>
      </c>
      <c r="L159" s="60">
        <f t="shared" si="74"/>
        <v>225.7</v>
      </c>
      <c r="M159" s="60">
        <f t="shared" si="75"/>
        <v>0</v>
      </c>
      <c r="N159" s="60">
        <f t="shared" si="76"/>
        <v>0</v>
      </c>
      <c r="O159" s="51">
        <f t="shared" si="77"/>
        <v>0.56999999999999995</v>
      </c>
      <c r="P159" s="51">
        <f t="shared" si="65"/>
        <v>0</v>
      </c>
      <c r="Q159" s="34">
        <f t="shared" si="66"/>
        <v>0</v>
      </c>
      <c r="R159" s="34">
        <f t="shared" si="78"/>
        <v>0</v>
      </c>
      <c r="S159">
        <v>12</v>
      </c>
      <c r="T159" s="60">
        <f t="shared" si="79"/>
        <v>3</v>
      </c>
      <c r="U159" s="36">
        <f t="shared" si="67"/>
        <v>64.2</v>
      </c>
      <c r="V159" s="9">
        <f t="shared" si="80"/>
        <v>443.36</v>
      </c>
      <c r="W159" s="60">
        <v>262517260.33000001</v>
      </c>
      <c r="X159" s="61">
        <v>2859</v>
      </c>
      <c r="Y159" s="17">
        <f t="shared" si="68"/>
        <v>91821.36</v>
      </c>
      <c r="Z159" s="37">
        <f t="shared" si="69"/>
        <v>0.46318999999999999</v>
      </c>
      <c r="AA159" s="61">
        <v>68301</v>
      </c>
      <c r="AB159" s="37">
        <f t="shared" si="70"/>
        <v>0.55662500000000004</v>
      </c>
      <c r="AC159" s="37">
        <f t="shared" si="89"/>
        <v>0.50878000000000001</v>
      </c>
      <c r="AD159" s="55">
        <f t="shared" si="81"/>
        <v>0.50878000000000001</v>
      </c>
      <c r="AE159" s="38">
        <f t="shared" si="71"/>
        <v>0.03</v>
      </c>
      <c r="AF159" s="58">
        <f t="shared" si="82"/>
        <v>0.53878000000000004</v>
      </c>
      <c r="AG159">
        <v>0</v>
      </c>
      <c r="AH159" s="65">
        <v>0</v>
      </c>
      <c r="AI159" s="11">
        <f t="shared" si="83"/>
        <v>0</v>
      </c>
      <c r="AJ159">
        <v>73</v>
      </c>
      <c r="AK159" s="67">
        <v>4</v>
      </c>
      <c r="AL159" s="11">
        <f t="shared" si="84"/>
        <v>29200</v>
      </c>
      <c r="AM159" s="11">
        <f t="shared" si="72"/>
        <v>2753017</v>
      </c>
      <c r="AN159" s="11">
        <f t="shared" si="85"/>
        <v>2782217</v>
      </c>
      <c r="AO159" s="61">
        <v>2675264</v>
      </c>
      <c r="AP159" s="11">
        <f t="shared" si="86"/>
        <v>106953</v>
      </c>
      <c r="AQ159" s="56" t="str">
        <f t="shared" si="87"/>
        <v>Yes</v>
      </c>
      <c r="AR159" s="35">
        <f>IF(AQ159="Yes",+AP159*$I$9,0)</f>
        <v>17829.0651</v>
      </c>
      <c r="AS159" s="35">
        <f t="shared" si="88"/>
        <v>2693093.0650999998</v>
      </c>
      <c r="AT159"/>
      <c r="AU159" s="35"/>
      <c r="AV159" s="53"/>
      <c r="AW159" s="35"/>
      <c r="AX159" s="21"/>
      <c r="AZ159" s="21"/>
      <c r="BA159" s="21"/>
      <c r="BE159" s="21"/>
      <c r="BF159" s="21"/>
      <c r="BG159" s="21"/>
      <c r="BH159" s="21"/>
      <c r="BI159" s="21"/>
    </row>
    <row r="160" spans="1:61" ht="14.35" x14ac:dyDescent="0.5">
      <c r="A160" s="8"/>
      <c r="B160" s="25"/>
      <c r="C160" s="25"/>
      <c r="D160">
        <v>43</v>
      </c>
      <c r="E160" s="8">
        <v>134</v>
      </c>
      <c r="F160" s="3" t="s">
        <v>221</v>
      </c>
      <c r="G160" s="54"/>
      <c r="H160">
        <v>1392.97</v>
      </c>
      <c r="I160" s="63"/>
      <c r="J160">
        <v>413</v>
      </c>
      <c r="K160" s="60">
        <f t="shared" si="73"/>
        <v>123.9</v>
      </c>
      <c r="L160" s="60">
        <f t="shared" si="74"/>
        <v>835.78</v>
      </c>
      <c r="M160" s="60">
        <f t="shared" si="75"/>
        <v>0</v>
      </c>
      <c r="N160" s="60">
        <f t="shared" si="76"/>
        <v>0</v>
      </c>
      <c r="O160" s="51">
        <f t="shared" si="77"/>
        <v>0.3</v>
      </c>
      <c r="P160" s="51">
        <f t="shared" si="65"/>
        <v>0</v>
      </c>
      <c r="Q160" s="34">
        <f t="shared" si="66"/>
        <v>0</v>
      </c>
      <c r="R160" s="34">
        <f t="shared" si="78"/>
        <v>0</v>
      </c>
      <c r="S160">
        <v>11</v>
      </c>
      <c r="T160" s="60">
        <f t="shared" si="79"/>
        <v>2.75</v>
      </c>
      <c r="U160" s="36">
        <f t="shared" si="67"/>
        <v>123.9</v>
      </c>
      <c r="V160" s="9">
        <f t="shared" si="80"/>
        <v>1519.6200000000001</v>
      </c>
      <c r="W160" s="60">
        <v>1158629630</v>
      </c>
      <c r="X160" s="61">
        <v>11893</v>
      </c>
      <c r="Y160" s="17">
        <f t="shared" si="68"/>
        <v>97421.14</v>
      </c>
      <c r="Z160" s="37">
        <f t="shared" si="69"/>
        <v>0.49143799999999999</v>
      </c>
      <c r="AA160" s="61">
        <v>74386</v>
      </c>
      <c r="AB160" s="37">
        <f t="shared" si="70"/>
        <v>0.60621499999999995</v>
      </c>
      <c r="AC160" s="37">
        <f t="shared" si="89"/>
        <v>0.47412900000000002</v>
      </c>
      <c r="AD160" s="55">
        <f t="shared" si="81"/>
        <v>0.47412900000000002</v>
      </c>
      <c r="AE160" s="38">
        <f t="shared" si="71"/>
        <v>0</v>
      </c>
      <c r="AF160" s="58">
        <f t="shared" si="82"/>
        <v>0.47412900000000002</v>
      </c>
      <c r="AG160">
        <v>0</v>
      </c>
      <c r="AH160" s="61">
        <v>0</v>
      </c>
      <c r="AI160" s="11">
        <f t="shared" si="83"/>
        <v>0</v>
      </c>
      <c r="AJ160">
        <v>0</v>
      </c>
      <c r="AK160" s="67"/>
      <c r="AL160" s="11">
        <f t="shared" si="84"/>
        <v>0</v>
      </c>
      <c r="AM160" s="11">
        <f t="shared" si="72"/>
        <v>8303715</v>
      </c>
      <c r="AN160" s="11">
        <f t="shared" si="85"/>
        <v>8303715</v>
      </c>
      <c r="AO160" s="61">
        <v>9551487</v>
      </c>
      <c r="AP160" s="11">
        <f t="shared" si="86"/>
        <v>0</v>
      </c>
      <c r="AQ160" s="56" t="str">
        <f t="shared" si="87"/>
        <v>No</v>
      </c>
      <c r="AR160" s="35">
        <f>IF(AQ160="Yes",+AP160*$I$9,0)</f>
        <v>0</v>
      </c>
      <c r="AS160" s="35">
        <f t="shared" si="88"/>
        <v>9551487</v>
      </c>
      <c r="AT160"/>
      <c r="AU160" s="35"/>
      <c r="AV160" s="53"/>
      <c r="AW160" s="35"/>
      <c r="AX160" s="21"/>
      <c r="AZ160" s="21"/>
      <c r="BA160" s="21"/>
      <c r="BE160" s="21"/>
      <c r="BF160" s="21"/>
      <c r="BG160" s="21"/>
      <c r="BH160" s="21"/>
      <c r="BI160" s="21"/>
    </row>
    <row r="161" spans="1:61" ht="14.35" x14ac:dyDescent="0.5">
      <c r="A161" s="8">
        <v>1</v>
      </c>
      <c r="B161" s="25">
        <v>1</v>
      </c>
      <c r="C161" s="25">
        <f>+A161+B161</f>
        <v>2</v>
      </c>
      <c r="D161">
        <v>99</v>
      </c>
      <c r="E161" s="8">
        <v>135</v>
      </c>
      <c r="F161" s="3" t="s">
        <v>222</v>
      </c>
      <c r="G161" s="54"/>
      <c r="H161">
        <v>15948.17</v>
      </c>
      <c r="I161" s="62"/>
      <c r="J161">
        <v>8572</v>
      </c>
      <c r="K161" s="60">
        <f t="shared" si="73"/>
        <v>2571.6</v>
      </c>
      <c r="L161" s="60">
        <f t="shared" si="74"/>
        <v>9568.9</v>
      </c>
      <c r="M161" s="60">
        <f t="shared" si="75"/>
        <v>0</v>
      </c>
      <c r="N161" s="60">
        <f t="shared" si="76"/>
        <v>0</v>
      </c>
      <c r="O161" s="51">
        <f t="shared" si="77"/>
        <v>0.54</v>
      </c>
      <c r="P161" s="51">
        <f t="shared" si="65"/>
        <v>0</v>
      </c>
      <c r="Q161" s="34">
        <f t="shared" si="66"/>
        <v>0</v>
      </c>
      <c r="R161" s="34">
        <f t="shared" si="78"/>
        <v>0</v>
      </c>
      <c r="S161">
        <v>2184</v>
      </c>
      <c r="T161" s="60">
        <f t="shared" si="79"/>
        <v>546</v>
      </c>
      <c r="U161" s="36">
        <f t="shared" si="67"/>
        <v>2571.6</v>
      </c>
      <c r="V161" s="9">
        <f t="shared" si="80"/>
        <v>19065.77</v>
      </c>
      <c r="W161" s="60">
        <v>32343685058</v>
      </c>
      <c r="X161" s="61">
        <v>129638</v>
      </c>
      <c r="Y161" s="17">
        <f t="shared" si="68"/>
        <v>249492.32</v>
      </c>
      <c r="Z161" s="37">
        <f t="shared" si="69"/>
        <v>1.258556</v>
      </c>
      <c r="AA161" s="61">
        <v>93059</v>
      </c>
      <c r="AB161" s="37">
        <f t="shared" si="70"/>
        <v>0.75839299999999998</v>
      </c>
      <c r="AC161" s="37">
        <f t="shared" si="89"/>
        <v>-0.10850700000000001</v>
      </c>
      <c r="AD161" s="55">
        <f t="shared" si="81"/>
        <v>0.1</v>
      </c>
      <c r="AE161" s="38">
        <f t="shared" si="71"/>
        <v>0</v>
      </c>
      <c r="AF161" s="58">
        <f t="shared" si="82"/>
        <v>0.1</v>
      </c>
      <c r="AG161">
        <v>0</v>
      </c>
      <c r="AH161" s="61">
        <v>0</v>
      </c>
      <c r="AI161" s="11">
        <f t="shared" si="83"/>
        <v>0</v>
      </c>
      <c r="AJ161">
        <v>0</v>
      </c>
      <c r="AK161" s="67"/>
      <c r="AL161" s="11">
        <f t="shared" si="84"/>
        <v>0</v>
      </c>
      <c r="AM161" s="11">
        <f t="shared" si="72"/>
        <v>21973300</v>
      </c>
      <c r="AN161" s="11">
        <f t="shared" si="85"/>
        <v>21973300</v>
      </c>
      <c r="AO161" s="61">
        <v>14780084</v>
      </c>
      <c r="AP161" s="11">
        <f t="shared" si="86"/>
        <v>7193216</v>
      </c>
      <c r="AQ161" s="56" t="str">
        <f t="shared" si="87"/>
        <v>Yes</v>
      </c>
      <c r="AR161" s="35">
        <f>IF(AQ161="Yes",+AP161*$I$9,0)</f>
        <v>1199109.1072</v>
      </c>
      <c r="AS161" s="35">
        <f t="shared" si="88"/>
        <v>15979193.1072</v>
      </c>
      <c r="AT161"/>
      <c r="AU161" s="35"/>
      <c r="AV161" s="53"/>
      <c r="AW161" s="35"/>
      <c r="AX161" s="21"/>
      <c r="AZ161" s="21"/>
      <c r="BA161" s="21"/>
      <c r="BE161" s="21"/>
      <c r="BF161" s="21"/>
      <c r="BG161" s="21"/>
      <c r="BH161" s="21"/>
      <c r="BI161" s="21"/>
    </row>
    <row r="162" spans="1:61" ht="14.35" x14ac:dyDescent="0.5">
      <c r="A162" s="8"/>
      <c r="B162" s="25"/>
      <c r="C162" s="25"/>
      <c r="D162">
        <v>33</v>
      </c>
      <c r="E162" s="8">
        <v>136</v>
      </c>
      <c r="F162" s="3" t="s">
        <v>223</v>
      </c>
      <c r="G162" s="54"/>
      <c r="H162">
        <v>430.39</v>
      </c>
      <c r="I162" s="63"/>
      <c r="J162">
        <v>139</v>
      </c>
      <c r="K162" s="60">
        <f t="shared" si="73"/>
        <v>41.7</v>
      </c>
      <c r="L162" s="60">
        <f t="shared" si="74"/>
        <v>258.23</v>
      </c>
      <c r="M162" s="60">
        <f t="shared" si="75"/>
        <v>0</v>
      </c>
      <c r="N162" s="60">
        <f t="shared" si="76"/>
        <v>0</v>
      </c>
      <c r="O162" s="51">
        <f t="shared" si="77"/>
        <v>0.32</v>
      </c>
      <c r="P162" s="51">
        <f t="shared" si="65"/>
        <v>0</v>
      </c>
      <c r="Q162" s="34">
        <f t="shared" si="66"/>
        <v>0</v>
      </c>
      <c r="R162" s="34">
        <f t="shared" si="78"/>
        <v>0</v>
      </c>
      <c r="S162">
        <v>0</v>
      </c>
      <c r="T162" s="60">
        <f t="shared" si="79"/>
        <v>0</v>
      </c>
      <c r="U162" s="36">
        <f t="shared" si="67"/>
        <v>41.7</v>
      </c>
      <c r="V162" s="9">
        <f t="shared" si="80"/>
        <v>472.09</v>
      </c>
      <c r="W162" s="60">
        <v>371588506</v>
      </c>
      <c r="X162" s="61">
        <v>3782</v>
      </c>
      <c r="Y162" s="17">
        <f t="shared" si="68"/>
        <v>98251.85</v>
      </c>
      <c r="Z162" s="37">
        <f t="shared" si="69"/>
        <v>0.49562800000000001</v>
      </c>
      <c r="AA162" s="61">
        <v>78684</v>
      </c>
      <c r="AB162" s="37">
        <f t="shared" si="70"/>
        <v>0.64124199999999998</v>
      </c>
      <c r="AC162" s="37">
        <f t="shared" si="89"/>
        <v>0.46068799999999999</v>
      </c>
      <c r="AD162" s="55">
        <f t="shared" si="81"/>
        <v>0.46068799999999999</v>
      </c>
      <c r="AE162" s="38">
        <f t="shared" si="71"/>
        <v>0</v>
      </c>
      <c r="AF162" s="58">
        <f t="shared" si="82"/>
        <v>0.46068799999999999</v>
      </c>
      <c r="AG162">
        <v>0</v>
      </c>
      <c r="AH162" s="61">
        <v>0</v>
      </c>
      <c r="AI162" s="11">
        <f t="shared" si="83"/>
        <v>0</v>
      </c>
      <c r="AJ162">
        <v>1</v>
      </c>
      <c r="AK162" s="67">
        <v>4</v>
      </c>
      <c r="AL162" s="11">
        <f t="shared" si="84"/>
        <v>400</v>
      </c>
      <c r="AM162" s="11">
        <f t="shared" si="72"/>
        <v>2506528</v>
      </c>
      <c r="AN162" s="11">
        <f t="shared" si="85"/>
        <v>2506928</v>
      </c>
      <c r="AO162" s="61">
        <v>3174585</v>
      </c>
      <c r="AP162" s="11">
        <f t="shared" si="86"/>
        <v>0</v>
      </c>
      <c r="AQ162" s="56" t="str">
        <f t="shared" si="87"/>
        <v>No</v>
      </c>
      <c r="AR162" s="35">
        <f>IF(AQ162="Yes",+AP162*$I$9,0)</f>
        <v>0</v>
      </c>
      <c r="AS162" s="35">
        <f t="shared" si="88"/>
        <v>3174585</v>
      </c>
      <c r="AT162"/>
      <c r="AU162" s="35"/>
      <c r="AV162" s="53"/>
      <c r="AW162" s="35"/>
      <c r="AX162" s="21"/>
      <c r="AZ162" s="21"/>
      <c r="BA162" s="21"/>
      <c r="BE162" s="21"/>
      <c r="BF162" s="21"/>
      <c r="BG162" s="21"/>
      <c r="BH162" s="21"/>
      <c r="BI162" s="21"/>
    </row>
    <row r="163" spans="1:61" ht="14.35" x14ac:dyDescent="0.5">
      <c r="A163" s="8"/>
      <c r="B163" s="25"/>
      <c r="C163" s="25"/>
      <c r="D163">
        <v>109</v>
      </c>
      <c r="E163" s="8">
        <v>137</v>
      </c>
      <c r="F163" s="3" t="s">
        <v>224</v>
      </c>
      <c r="G163" s="54"/>
      <c r="H163">
        <v>1881.97</v>
      </c>
      <c r="I163" s="62"/>
      <c r="J163">
        <v>444</v>
      </c>
      <c r="K163" s="60">
        <f t="shared" si="73"/>
        <v>133.19999999999999</v>
      </c>
      <c r="L163" s="60">
        <f t="shared" si="74"/>
        <v>1129.18</v>
      </c>
      <c r="M163" s="60">
        <f t="shared" si="75"/>
        <v>0</v>
      </c>
      <c r="N163" s="60">
        <f t="shared" si="76"/>
        <v>0</v>
      </c>
      <c r="O163" s="51">
        <f t="shared" si="77"/>
        <v>0.24</v>
      </c>
      <c r="P163" s="51">
        <f t="shared" si="65"/>
        <v>0</v>
      </c>
      <c r="Q163" s="34">
        <f t="shared" si="66"/>
        <v>0</v>
      </c>
      <c r="R163" s="34">
        <f t="shared" si="78"/>
        <v>0</v>
      </c>
      <c r="S163">
        <v>11</v>
      </c>
      <c r="T163" s="60">
        <f t="shared" si="79"/>
        <v>2.75</v>
      </c>
      <c r="U163" s="36">
        <f t="shared" si="67"/>
        <v>133.19999999999999</v>
      </c>
      <c r="V163" s="9">
        <f t="shared" si="80"/>
        <v>2017.92</v>
      </c>
      <c r="W163" s="60">
        <v>4220649223.6700001</v>
      </c>
      <c r="X163" s="61">
        <v>18559</v>
      </c>
      <c r="Y163" s="17">
        <f t="shared" si="68"/>
        <v>227417.92</v>
      </c>
      <c r="Z163" s="37">
        <f t="shared" si="69"/>
        <v>1.147203</v>
      </c>
      <c r="AA163" s="61">
        <v>81667</v>
      </c>
      <c r="AB163" s="37">
        <f t="shared" si="70"/>
        <v>0.66555299999999995</v>
      </c>
      <c r="AC163" s="37">
        <f t="shared" si="89"/>
        <v>-2.7079999999999999E-3</v>
      </c>
      <c r="AD163" s="55">
        <f t="shared" si="81"/>
        <v>0.01</v>
      </c>
      <c r="AE163" s="38">
        <f t="shared" si="71"/>
        <v>0</v>
      </c>
      <c r="AF163" s="58">
        <f t="shared" si="82"/>
        <v>0.01</v>
      </c>
      <c r="AG163">
        <v>0</v>
      </c>
      <c r="AH163" s="61">
        <v>0</v>
      </c>
      <c r="AI163" s="11">
        <f t="shared" si="83"/>
        <v>0</v>
      </c>
      <c r="AJ163">
        <v>0</v>
      </c>
      <c r="AK163" s="67"/>
      <c r="AL163" s="11">
        <f t="shared" si="84"/>
        <v>0</v>
      </c>
      <c r="AM163" s="11">
        <f t="shared" si="72"/>
        <v>232565</v>
      </c>
      <c r="AN163" s="11">
        <f t="shared" si="85"/>
        <v>232565</v>
      </c>
      <c r="AO163" s="61">
        <v>1073011</v>
      </c>
      <c r="AP163" s="11">
        <f t="shared" si="86"/>
        <v>0</v>
      </c>
      <c r="AQ163" s="56" t="str">
        <f t="shared" si="87"/>
        <v>No</v>
      </c>
      <c r="AR163" s="35">
        <f>IF(AQ163="Yes",+AP163*$I$9,0)</f>
        <v>0</v>
      </c>
      <c r="AS163" s="35">
        <f t="shared" si="88"/>
        <v>1073011</v>
      </c>
      <c r="AT163"/>
      <c r="AU163" s="35"/>
      <c r="AV163" s="53"/>
      <c r="AW163" s="35"/>
      <c r="AX163" s="21"/>
      <c r="AZ163" s="21"/>
      <c r="BA163" s="21"/>
      <c r="BE163" s="21"/>
      <c r="BF163" s="21"/>
      <c r="BG163" s="21"/>
      <c r="BH163" s="21"/>
      <c r="BI163" s="21"/>
    </row>
    <row r="164" spans="1:61" ht="14.35" x14ac:dyDescent="0.5">
      <c r="A164" s="8"/>
      <c r="B164" s="25">
        <v>1</v>
      </c>
      <c r="C164" s="25">
        <f>+A164+B164</f>
        <v>1</v>
      </c>
      <c r="D164">
        <v>21</v>
      </c>
      <c r="E164" s="8">
        <v>138</v>
      </c>
      <c r="F164" s="3" t="s">
        <v>225</v>
      </c>
      <c r="G164" s="54"/>
      <c r="H164">
        <v>7068.02</v>
      </c>
      <c r="I164" s="63"/>
      <c r="J164">
        <v>3514</v>
      </c>
      <c r="K164" s="60">
        <f t="shared" si="73"/>
        <v>1054.2</v>
      </c>
      <c r="L164" s="60">
        <f t="shared" si="74"/>
        <v>4240.8100000000004</v>
      </c>
      <c r="M164" s="60">
        <f t="shared" si="75"/>
        <v>0</v>
      </c>
      <c r="N164" s="60">
        <f t="shared" si="76"/>
        <v>0</v>
      </c>
      <c r="O164" s="51">
        <f t="shared" si="77"/>
        <v>0.5</v>
      </c>
      <c r="P164" s="51">
        <f t="shared" si="65"/>
        <v>0</v>
      </c>
      <c r="Q164" s="34">
        <f t="shared" si="66"/>
        <v>0</v>
      </c>
      <c r="R164" s="34">
        <f t="shared" si="78"/>
        <v>0</v>
      </c>
      <c r="S164">
        <v>509</v>
      </c>
      <c r="T164" s="60">
        <f t="shared" si="79"/>
        <v>127.25</v>
      </c>
      <c r="U164" s="36">
        <f t="shared" si="67"/>
        <v>1054.2</v>
      </c>
      <c r="V164" s="9">
        <f t="shared" si="80"/>
        <v>8249.4700000000012</v>
      </c>
      <c r="W164" s="60">
        <v>6903624308.6700001</v>
      </c>
      <c r="X164" s="61">
        <v>51849</v>
      </c>
      <c r="Y164" s="17">
        <f t="shared" si="68"/>
        <v>133148.65</v>
      </c>
      <c r="Z164" s="37">
        <f t="shared" si="69"/>
        <v>0.67166400000000004</v>
      </c>
      <c r="AA164" s="61">
        <v>79430</v>
      </c>
      <c r="AB164" s="37">
        <f t="shared" si="70"/>
        <v>0.64732199999999995</v>
      </c>
      <c r="AC164" s="37">
        <f t="shared" si="89"/>
        <v>0.33563900000000002</v>
      </c>
      <c r="AD164" s="55">
        <f t="shared" si="81"/>
        <v>0.33563900000000002</v>
      </c>
      <c r="AE164" s="38">
        <f t="shared" si="71"/>
        <v>0</v>
      </c>
      <c r="AF164" s="58">
        <f t="shared" si="82"/>
        <v>0.33563900000000002</v>
      </c>
      <c r="AG164">
        <v>0</v>
      </c>
      <c r="AH164" s="61">
        <v>0</v>
      </c>
      <c r="AI164" s="11">
        <f t="shared" si="83"/>
        <v>0</v>
      </c>
      <c r="AJ164">
        <v>0</v>
      </c>
      <c r="AK164" s="67"/>
      <c r="AL164" s="11">
        <f t="shared" si="84"/>
        <v>0</v>
      </c>
      <c r="AM164" s="11">
        <f t="shared" si="72"/>
        <v>31910926</v>
      </c>
      <c r="AN164" s="11">
        <f t="shared" si="85"/>
        <v>31910926</v>
      </c>
      <c r="AO164" s="61">
        <v>25147955</v>
      </c>
      <c r="AP164" s="11">
        <f t="shared" si="86"/>
        <v>6762971</v>
      </c>
      <c r="AQ164" s="56" t="str">
        <f t="shared" si="87"/>
        <v>Yes</v>
      </c>
      <c r="AR164" s="35">
        <f>IF(AQ164="Yes",+AP164*$I$9,0)</f>
        <v>1127387.2656999999</v>
      </c>
      <c r="AS164" s="35">
        <f t="shared" si="88"/>
        <v>26275342.265700001</v>
      </c>
      <c r="AT164"/>
      <c r="AU164" s="35"/>
      <c r="AV164" s="53"/>
      <c r="AW164" s="35"/>
      <c r="AX164" s="21"/>
      <c r="AZ164" s="21"/>
      <c r="BA164" s="21"/>
      <c r="BE164" s="21"/>
      <c r="BF164" s="21"/>
      <c r="BG164" s="21"/>
      <c r="BH164" s="21"/>
      <c r="BI164" s="21"/>
    </row>
    <row r="165" spans="1:61" ht="14.35" x14ac:dyDescent="0.5">
      <c r="A165" s="8"/>
      <c r="B165" s="25"/>
      <c r="C165" s="25"/>
      <c r="D165">
        <v>101</v>
      </c>
      <c r="E165" s="8">
        <v>139</v>
      </c>
      <c r="F165" s="3" t="s">
        <v>226</v>
      </c>
      <c r="G165" s="54"/>
      <c r="H165">
        <v>1988</v>
      </c>
      <c r="I165" s="62"/>
      <c r="J165">
        <v>284</v>
      </c>
      <c r="K165" s="60">
        <f t="shared" si="73"/>
        <v>85.2</v>
      </c>
      <c r="L165" s="60">
        <f t="shared" si="74"/>
        <v>1192.8</v>
      </c>
      <c r="M165" s="60">
        <f t="shared" si="75"/>
        <v>0</v>
      </c>
      <c r="N165" s="60">
        <f t="shared" si="76"/>
        <v>0</v>
      </c>
      <c r="O165" s="51">
        <f t="shared" si="77"/>
        <v>0.14000000000000001</v>
      </c>
      <c r="P165" s="51">
        <f t="shared" si="65"/>
        <v>0</v>
      </c>
      <c r="Q165" s="34">
        <f t="shared" si="66"/>
        <v>0</v>
      </c>
      <c r="R165" s="34">
        <f t="shared" si="78"/>
        <v>0</v>
      </c>
      <c r="S165">
        <v>44</v>
      </c>
      <c r="T165" s="60">
        <f t="shared" si="79"/>
        <v>11</v>
      </c>
      <c r="U165" s="36">
        <f t="shared" si="67"/>
        <v>85.2</v>
      </c>
      <c r="V165" s="9">
        <f t="shared" si="80"/>
        <v>2084.1999999999998</v>
      </c>
      <c r="W165" s="60">
        <v>2142129038.6700001</v>
      </c>
      <c r="X165" s="61">
        <v>15814</v>
      </c>
      <c r="Y165" s="17">
        <f t="shared" si="68"/>
        <v>135457.76</v>
      </c>
      <c r="Z165" s="37">
        <f t="shared" si="69"/>
        <v>0.68331200000000003</v>
      </c>
      <c r="AA165" s="61">
        <v>114208</v>
      </c>
      <c r="AB165" s="37">
        <f t="shared" si="70"/>
        <v>0.93074800000000002</v>
      </c>
      <c r="AC165" s="37">
        <f t="shared" si="89"/>
        <v>0.24245700000000001</v>
      </c>
      <c r="AD165" s="55">
        <f t="shared" si="81"/>
        <v>0.24245700000000001</v>
      </c>
      <c r="AE165" s="38">
        <f t="shared" si="71"/>
        <v>0</v>
      </c>
      <c r="AF165" s="58">
        <f t="shared" si="82"/>
        <v>0.24245700000000001</v>
      </c>
      <c r="AG165">
        <v>0</v>
      </c>
      <c r="AH165" s="61">
        <v>0</v>
      </c>
      <c r="AI165" s="11">
        <f t="shared" si="83"/>
        <v>0</v>
      </c>
      <c r="AJ165">
        <v>0</v>
      </c>
      <c r="AK165" s="67"/>
      <c r="AL165" s="11">
        <f t="shared" si="84"/>
        <v>0</v>
      </c>
      <c r="AM165" s="11">
        <f t="shared" si="72"/>
        <v>5823915</v>
      </c>
      <c r="AN165" s="11">
        <f t="shared" si="85"/>
        <v>5823915</v>
      </c>
      <c r="AO165" s="61">
        <v>6148151</v>
      </c>
      <c r="AP165" s="11">
        <f t="shared" si="86"/>
        <v>0</v>
      </c>
      <c r="AQ165" s="56" t="str">
        <f t="shared" si="87"/>
        <v>No</v>
      </c>
      <c r="AR165" s="35">
        <f>IF(AQ165="Yes",+AP165*$I$9,0)</f>
        <v>0</v>
      </c>
      <c r="AS165" s="35">
        <f t="shared" si="88"/>
        <v>6148151</v>
      </c>
      <c r="AT165"/>
      <c r="AU165" s="35"/>
      <c r="AV165" s="53"/>
      <c r="AW165" s="35"/>
      <c r="AX165" s="21"/>
      <c r="AZ165" s="21"/>
      <c r="BA165" s="21"/>
      <c r="BE165" s="21"/>
      <c r="BF165" s="21"/>
      <c r="BG165" s="21"/>
      <c r="BH165" s="21"/>
      <c r="BI165" s="21"/>
    </row>
    <row r="166" spans="1:61" ht="14.35" x14ac:dyDescent="0.5">
      <c r="A166" s="8"/>
      <c r="B166" s="25"/>
      <c r="C166" s="25"/>
      <c r="D166">
        <v>44</v>
      </c>
      <c r="E166" s="8">
        <v>140</v>
      </c>
      <c r="F166" s="3" t="s">
        <v>227</v>
      </c>
      <c r="G166" s="54"/>
      <c r="H166">
        <v>944.27</v>
      </c>
      <c r="I166" s="64"/>
      <c r="J166">
        <v>306</v>
      </c>
      <c r="K166" s="60">
        <f t="shared" si="73"/>
        <v>91.8</v>
      </c>
      <c r="L166" s="60">
        <f t="shared" si="74"/>
        <v>566.55999999999995</v>
      </c>
      <c r="M166" s="60">
        <f t="shared" si="75"/>
        <v>0</v>
      </c>
      <c r="N166" s="60">
        <f t="shared" si="76"/>
        <v>0</v>
      </c>
      <c r="O166" s="51">
        <f t="shared" si="77"/>
        <v>0.32</v>
      </c>
      <c r="P166" s="51">
        <f t="shared" si="65"/>
        <v>0</v>
      </c>
      <c r="Q166" s="34">
        <f t="shared" si="66"/>
        <v>0</v>
      </c>
      <c r="R166" s="34">
        <f t="shared" si="78"/>
        <v>0</v>
      </c>
      <c r="S166">
        <v>23</v>
      </c>
      <c r="T166" s="60">
        <f t="shared" si="79"/>
        <v>5.75</v>
      </c>
      <c r="U166" s="36">
        <f t="shared" si="67"/>
        <v>91.8</v>
      </c>
      <c r="V166" s="9">
        <f t="shared" si="80"/>
        <v>1041.82</v>
      </c>
      <c r="W166" s="60">
        <v>838463135.66999996</v>
      </c>
      <c r="X166" s="61">
        <v>7535</v>
      </c>
      <c r="Y166" s="17">
        <f t="shared" si="68"/>
        <v>111275.8</v>
      </c>
      <c r="Z166" s="37">
        <f t="shared" si="69"/>
        <v>0.56132700000000002</v>
      </c>
      <c r="AA166" s="61">
        <v>68539</v>
      </c>
      <c r="AB166" s="37">
        <f t="shared" si="70"/>
        <v>0.55856499999999998</v>
      </c>
      <c r="AC166" s="37">
        <f t="shared" si="89"/>
        <v>0.439502</v>
      </c>
      <c r="AD166" s="55">
        <f t="shared" si="81"/>
        <v>0.439502</v>
      </c>
      <c r="AE166" s="38">
        <f t="shared" si="71"/>
        <v>0</v>
      </c>
      <c r="AF166" s="58">
        <f t="shared" si="82"/>
        <v>0.439502</v>
      </c>
      <c r="AG166">
        <v>0</v>
      </c>
      <c r="AH166" s="61">
        <v>0</v>
      </c>
      <c r="AI166" s="11">
        <f t="shared" si="83"/>
        <v>0</v>
      </c>
      <c r="AJ166">
        <v>0</v>
      </c>
      <c r="AK166" s="67"/>
      <c r="AL166" s="11">
        <f t="shared" si="84"/>
        <v>0</v>
      </c>
      <c r="AM166" s="11">
        <f t="shared" si="72"/>
        <v>5277090</v>
      </c>
      <c r="AN166" s="11">
        <f t="shared" si="85"/>
        <v>5277090</v>
      </c>
      <c r="AO166" s="61">
        <v>5481226</v>
      </c>
      <c r="AP166" s="11">
        <f t="shared" si="86"/>
        <v>0</v>
      </c>
      <c r="AQ166" s="56" t="str">
        <f t="shared" si="87"/>
        <v>No</v>
      </c>
      <c r="AR166" s="35">
        <f>IF(AQ166="Yes",+AP166*$I$9,0)</f>
        <v>0</v>
      </c>
      <c r="AS166" s="35">
        <f t="shared" si="88"/>
        <v>5481226</v>
      </c>
      <c r="AT166"/>
      <c r="AU166" s="35"/>
      <c r="AV166" s="53"/>
      <c r="AW166" s="35"/>
      <c r="AX166" s="21"/>
      <c r="AZ166" s="21"/>
      <c r="BA166" s="21"/>
      <c r="BE166" s="21"/>
      <c r="BF166" s="21"/>
      <c r="BG166" s="21"/>
      <c r="BH166" s="21"/>
      <c r="BI166" s="21"/>
    </row>
    <row r="167" spans="1:61" ht="14.35" x14ac:dyDescent="0.5">
      <c r="A167" s="8"/>
      <c r="B167" s="25">
        <v>1</v>
      </c>
      <c r="C167" s="25"/>
      <c r="D167">
        <v>56</v>
      </c>
      <c r="E167" s="8">
        <v>141</v>
      </c>
      <c r="F167" s="3" t="s">
        <v>228</v>
      </c>
      <c r="G167" s="54"/>
      <c r="H167">
        <v>957.91</v>
      </c>
      <c r="I167" s="62"/>
      <c r="J167">
        <v>403</v>
      </c>
      <c r="K167" s="60">
        <f t="shared" si="73"/>
        <v>120.9</v>
      </c>
      <c r="L167" s="60">
        <f t="shared" si="74"/>
        <v>574.75</v>
      </c>
      <c r="M167" s="60">
        <f t="shared" si="75"/>
        <v>0</v>
      </c>
      <c r="N167" s="60">
        <f t="shared" si="76"/>
        <v>0</v>
      </c>
      <c r="O167" s="51">
        <f t="shared" si="77"/>
        <v>0.42</v>
      </c>
      <c r="P167" s="51">
        <f t="shared" si="65"/>
        <v>0</v>
      </c>
      <c r="Q167" s="34">
        <f t="shared" si="66"/>
        <v>0</v>
      </c>
      <c r="R167" s="34">
        <f t="shared" si="78"/>
        <v>0</v>
      </c>
      <c r="S167">
        <v>2</v>
      </c>
      <c r="T167" s="60">
        <f t="shared" si="79"/>
        <v>0.5</v>
      </c>
      <c r="U167" s="36">
        <f t="shared" si="67"/>
        <v>120.9</v>
      </c>
      <c r="V167" s="9">
        <f t="shared" si="80"/>
        <v>1079.31</v>
      </c>
      <c r="W167" s="60">
        <v>1036019879.33</v>
      </c>
      <c r="X167" s="61">
        <v>9379</v>
      </c>
      <c r="Y167" s="17">
        <f t="shared" si="68"/>
        <v>110461.66</v>
      </c>
      <c r="Z167" s="37">
        <f t="shared" si="69"/>
        <v>0.55722000000000005</v>
      </c>
      <c r="AA167" s="61">
        <v>80125</v>
      </c>
      <c r="AB167" s="37">
        <f t="shared" si="70"/>
        <v>0.65298599999999996</v>
      </c>
      <c r="AC167" s="37">
        <f t="shared" si="89"/>
        <v>0.41404999999999997</v>
      </c>
      <c r="AD167" s="55">
        <f t="shared" si="81"/>
        <v>0.41404999999999997</v>
      </c>
      <c r="AE167" s="38">
        <f t="shared" si="71"/>
        <v>0</v>
      </c>
      <c r="AF167" s="58">
        <f t="shared" si="82"/>
        <v>0.41404999999999997</v>
      </c>
      <c r="AG167">
        <v>0</v>
      </c>
      <c r="AH167" s="61">
        <v>0</v>
      </c>
      <c r="AI167" s="11">
        <f t="shared" si="83"/>
        <v>0</v>
      </c>
      <c r="AJ167">
        <v>0</v>
      </c>
      <c r="AK167" s="67"/>
      <c r="AL167" s="11">
        <f t="shared" si="84"/>
        <v>0</v>
      </c>
      <c r="AM167" s="11">
        <f t="shared" si="72"/>
        <v>5150388</v>
      </c>
      <c r="AN167" s="11">
        <f t="shared" si="85"/>
        <v>5150388</v>
      </c>
      <c r="AO167" s="61">
        <v>7534704</v>
      </c>
      <c r="AP167" s="11">
        <f t="shared" si="86"/>
        <v>0</v>
      </c>
      <c r="AQ167" s="56" t="str">
        <f t="shared" si="87"/>
        <v>No</v>
      </c>
      <c r="AR167" s="35">
        <f>IF(AQ167="Yes",+AP167*$I$9,0)</f>
        <v>0</v>
      </c>
      <c r="AS167" s="35">
        <f t="shared" si="88"/>
        <v>7534704</v>
      </c>
      <c r="AT167"/>
      <c r="AU167" s="35"/>
      <c r="AV167" s="53"/>
      <c r="AW167" s="35"/>
      <c r="AX167" s="21"/>
      <c r="AZ167" s="21"/>
      <c r="BA167" s="21"/>
      <c r="BE167" s="21"/>
      <c r="BF167" s="21"/>
      <c r="BG167" s="21"/>
      <c r="BH167" s="21"/>
      <c r="BI167" s="21"/>
    </row>
    <row r="168" spans="1:61" ht="14.35" x14ac:dyDescent="0.5">
      <c r="A168" s="8"/>
      <c r="B168" s="25"/>
      <c r="C168" s="25"/>
      <c r="D168">
        <v>114</v>
      </c>
      <c r="E168" s="8">
        <v>142</v>
      </c>
      <c r="F168" s="3" t="s">
        <v>229</v>
      </c>
      <c r="G168" s="54"/>
      <c r="H168">
        <v>2283.63</v>
      </c>
      <c r="I168" s="62"/>
      <c r="J168">
        <v>330</v>
      </c>
      <c r="K168" s="60">
        <f t="shared" si="73"/>
        <v>99</v>
      </c>
      <c r="L168" s="60">
        <f t="shared" si="74"/>
        <v>1370.18</v>
      </c>
      <c r="M168" s="60">
        <f t="shared" si="75"/>
        <v>0</v>
      </c>
      <c r="N168" s="60">
        <f t="shared" si="76"/>
        <v>0</v>
      </c>
      <c r="O168" s="51">
        <f t="shared" si="77"/>
        <v>0.14000000000000001</v>
      </c>
      <c r="P168" s="51">
        <f t="shared" si="65"/>
        <v>0</v>
      </c>
      <c r="Q168" s="34">
        <f t="shared" si="66"/>
        <v>0</v>
      </c>
      <c r="R168" s="34">
        <f t="shared" si="78"/>
        <v>0</v>
      </c>
      <c r="S168">
        <v>24</v>
      </c>
      <c r="T168" s="60">
        <f t="shared" si="79"/>
        <v>6</v>
      </c>
      <c r="U168" s="36">
        <f t="shared" si="67"/>
        <v>99</v>
      </c>
      <c r="V168" s="9">
        <f t="shared" si="80"/>
        <v>2388.63</v>
      </c>
      <c r="W168" s="60">
        <v>1873320167.6700001</v>
      </c>
      <c r="X168" s="61">
        <v>14618</v>
      </c>
      <c r="Y168" s="17">
        <f t="shared" si="68"/>
        <v>128151.61</v>
      </c>
      <c r="Z168" s="37">
        <f t="shared" si="69"/>
        <v>0.64645699999999995</v>
      </c>
      <c r="AA168" s="61">
        <v>118194</v>
      </c>
      <c r="AB168" s="37">
        <f t="shared" si="70"/>
        <v>0.96323300000000001</v>
      </c>
      <c r="AC168" s="37">
        <f t="shared" si="89"/>
        <v>0.25851000000000002</v>
      </c>
      <c r="AD168" s="55">
        <f t="shared" si="81"/>
        <v>0.25851000000000002</v>
      </c>
      <c r="AE168" s="38">
        <f t="shared" si="71"/>
        <v>0</v>
      </c>
      <c r="AF168" s="58">
        <f t="shared" si="82"/>
        <v>0.25851000000000002</v>
      </c>
      <c r="AG168">
        <v>0</v>
      </c>
      <c r="AH168" s="61">
        <v>0</v>
      </c>
      <c r="AI168" s="11">
        <f t="shared" si="83"/>
        <v>0</v>
      </c>
      <c r="AJ168">
        <v>0</v>
      </c>
      <c r="AK168" s="67"/>
      <c r="AL168" s="11">
        <f t="shared" si="84"/>
        <v>0</v>
      </c>
      <c r="AM168" s="11">
        <f t="shared" si="72"/>
        <v>7116512</v>
      </c>
      <c r="AN168" s="11">
        <f t="shared" si="85"/>
        <v>7116512</v>
      </c>
      <c r="AO168" s="61">
        <v>9105528</v>
      </c>
      <c r="AP168" s="11">
        <f t="shared" si="86"/>
        <v>0</v>
      </c>
      <c r="AQ168" s="56" t="str">
        <f t="shared" si="87"/>
        <v>No</v>
      </c>
      <c r="AR168" s="35">
        <f>IF(AQ168="Yes",+AP168*$I$9,0)</f>
        <v>0</v>
      </c>
      <c r="AS168" s="35">
        <f t="shared" si="88"/>
        <v>9105528</v>
      </c>
      <c r="AT168"/>
      <c r="AU168" s="35"/>
      <c r="AV168" s="53"/>
      <c r="AW168" s="35"/>
      <c r="AX168" s="21"/>
      <c r="AZ168" s="21"/>
      <c r="BA168" s="21"/>
      <c r="BE168" s="21"/>
      <c r="BF168" s="21"/>
      <c r="BG168" s="21"/>
      <c r="BH168" s="21"/>
      <c r="BI168" s="21"/>
    </row>
    <row r="169" spans="1:61" ht="14.35" x14ac:dyDescent="0.5">
      <c r="A169" s="8"/>
      <c r="B169" s="25">
        <v>1</v>
      </c>
      <c r="C169" s="25"/>
      <c r="D169">
        <v>12</v>
      </c>
      <c r="E169" s="8">
        <v>143</v>
      </c>
      <c r="F169" s="3" t="s">
        <v>230</v>
      </c>
      <c r="G169" s="54"/>
      <c r="H169">
        <v>4180.67</v>
      </c>
      <c r="I169" s="63"/>
      <c r="J169">
        <v>2610</v>
      </c>
      <c r="K169" s="60">
        <f t="shared" si="73"/>
        <v>783</v>
      </c>
      <c r="L169" s="60">
        <f t="shared" si="74"/>
        <v>2508.4</v>
      </c>
      <c r="M169" s="60">
        <f t="shared" si="75"/>
        <v>101.59999999999991</v>
      </c>
      <c r="N169" s="60">
        <f t="shared" si="76"/>
        <v>15.24</v>
      </c>
      <c r="O169" s="51">
        <f t="shared" si="77"/>
        <v>0.62</v>
      </c>
      <c r="P169" s="51">
        <f t="shared" si="65"/>
        <v>2.0000000000000018E-2</v>
      </c>
      <c r="Q169" s="34">
        <f t="shared" si="66"/>
        <v>83.61</v>
      </c>
      <c r="R169" s="34">
        <f t="shared" si="78"/>
        <v>12.54</v>
      </c>
      <c r="S169">
        <v>441</v>
      </c>
      <c r="T169" s="60">
        <f t="shared" si="79"/>
        <v>110.25</v>
      </c>
      <c r="U169" s="36">
        <f t="shared" si="67"/>
        <v>783</v>
      </c>
      <c r="V169" s="9">
        <f t="shared" si="80"/>
        <v>5089.16</v>
      </c>
      <c r="W169" s="60">
        <v>2892988012.3299999</v>
      </c>
      <c r="X169" s="61">
        <v>34044</v>
      </c>
      <c r="Y169" s="17">
        <f t="shared" si="68"/>
        <v>84977.91</v>
      </c>
      <c r="Z169" s="37">
        <f t="shared" si="69"/>
        <v>0.42866799999999999</v>
      </c>
      <c r="AA169" s="61">
        <v>63172</v>
      </c>
      <c r="AB169" s="37">
        <f t="shared" si="70"/>
        <v>0.51482600000000001</v>
      </c>
      <c r="AC169" s="37">
        <f t="shared" si="89"/>
        <v>0.545485</v>
      </c>
      <c r="AD169" s="55">
        <f t="shared" si="81"/>
        <v>0.545485</v>
      </c>
      <c r="AE169" s="38">
        <f t="shared" si="71"/>
        <v>0.04</v>
      </c>
      <c r="AF169" s="58">
        <f t="shared" si="82"/>
        <v>0.58548500000000003</v>
      </c>
      <c r="AG169">
        <v>0</v>
      </c>
      <c r="AH169" s="61">
        <v>0</v>
      </c>
      <c r="AI169" s="11">
        <f t="shared" si="83"/>
        <v>0</v>
      </c>
      <c r="AJ169">
        <v>0</v>
      </c>
      <c r="AK169" s="67"/>
      <c r="AL169" s="11">
        <f t="shared" si="84"/>
        <v>0</v>
      </c>
      <c r="AM169" s="11">
        <f t="shared" si="72"/>
        <v>34340199</v>
      </c>
      <c r="AN169" s="11">
        <f t="shared" si="85"/>
        <v>34340199</v>
      </c>
      <c r="AO169" s="61">
        <v>27853655</v>
      </c>
      <c r="AP169" s="11">
        <f t="shared" si="86"/>
        <v>6486544</v>
      </c>
      <c r="AQ169" s="56" t="str">
        <f t="shared" si="87"/>
        <v>Yes</v>
      </c>
      <c r="AR169" s="35">
        <f>IF(AQ169="Yes",+AP169*$I$9,0)</f>
        <v>1081306.8847999999</v>
      </c>
      <c r="AS169" s="35">
        <f t="shared" si="88"/>
        <v>28934961.884799998</v>
      </c>
      <c r="AT169"/>
      <c r="AU169" s="35"/>
      <c r="AV169" s="53"/>
      <c r="AW169" s="35"/>
      <c r="AX169" s="21"/>
      <c r="AZ169" s="21"/>
      <c r="BA169" s="21"/>
      <c r="BE169" s="21"/>
      <c r="BF169" s="21"/>
      <c r="BG169" s="21"/>
      <c r="BH169" s="21"/>
      <c r="BI169" s="21"/>
    </row>
    <row r="170" spans="1:61" ht="14.35" x14ac:dyDescent="0.5">
      <c r="A170" s="8"/>
      <c r="B170" s="25"/>
      <c r="C170" s="25"/>
      <c r="D170">
        <v>83</v>
      </c>
      <c r="E170" s="8">
        <v>144</v>
      </c>
      <c r="F170" s="3" t="s">
        <v>231</v>
      </c>
      <c r="G170" s="54"/>
      <c r="H170">
        <v>6739.15</v>
      </c>
      <c r="I170" s="62"/>
      <c r="J170">
        <v>1157</v>
      </c>
      <c r="K170" s="60">
        <f t="shared" si="73"/>
        <v>347.1</v>
      </c>
      <c r="L170" s="60">
        <f t="shared" si="74"/>
        <v>4043.49</v>
      </c>
      <c r="M170" s="60">
        <f t="shared" si="75"/>
        <v>0</v>
      </c>
      <c r="N170" s="60">
        <f t="shared" si="76"/>
        <v>0</v>
      </c>
      <c r="O170" s="51">
        <f t="shared" si="77"/>
        <v>0.17</v>
      </c>
      <c r="P170" s="51">
        <f t="shared" si="65"/>
        <v>0</v>
      </c>
      <c r="Q170" s="34">
        <f t="shared" si="66"/>
        <v>0</v>
      </c>
      <c r="R170" s="34">
        <f t="shared" si="78"/>
        <v>0</v>
      </c>
      <c r="S170">
        <v>295</v>
      </c>
      <c r="T170" s="60">
        <f t="shared" si="79"/>
        <v>73.75</v>
      </c>
      <c r="U170" s="36">
        <f t="shared" si="67"/>
        <v>347.1</v>
      </c>
      <c r="V170" s="9">
        <f t="shared" si="80"/>
        <v>7160</v>
      </c>
      <c r="W170" s="60">
        <v>7043537940.6700001</v>
      </c>
      <c r="X170" s="61">
        <v>35673</v>
      </c>
      <c r="Y170" s="17">
        <f t="shared" si="68"/>
        <v>197447.31</v>
      </c>
      <c r="Z170" s="37">
        <f t="shared" si="69"/>
        <v>0.99601700000000004</v>
      </c>
      <c r="AA170" s="61">
        <v>122451</v>
      </c>
      <c r="AB170" s="37">
        <f t="shared" si="70"/>
        <v>0.99792599999999998</v>
      </c>
      <c r="AC170" s="37">
        <f t="shared" si="89"/>
        <v>3.4099999999999998E-3</v>
      </c>
      <c r="AD170" s="55">
        <f t="shared" si="81"/>
        <v>0.01</v>
      </c>
      <c r="AE170" s="38">
        <f t="shared" si="71"/>
        <v>0</v>
      </c>
      <c r="AF170" s="58">
        <f t="shared" si="82"/>
        <v>0.01</v>
      </c>
      <c r="AG170">
        <v>0</v>
      </c>
      <c r="AH170" s="61">
        <v>0</v>
      </c>
      <c r="AI170" s="11">
        <f t="shared" si="83"/>
        <v>0</v>
      </c>
      <c r="AJ170">
        <v>0</v>
      </c>
      <c r="AK170" s="67"/>
      <c r="AL170" s="11">
        <f t="shared" si="84"/>
        <v>0</v>
      </c>
      <c r="AM170" s="11">
        <f t="shared" si="72"/>
        <v>825190</v>
      </c>
      <c r="AN170" s="11">
        <f t="shared" si="85"/>
        <v>825190</v>
      </c>
      <c r="AO170" s="61">
        <v>2323541</v>
      </c>
      <c r="AP170" s="11">
        <f t="shared" si="86"/>
        <v>0</v>
      </c>
      <c r="AQ170" s="56" t="str">
        <f t="shared" si="87"/>
        <v>No</v>
      </c>
      <c r="AR170" s="35">
        <f>IF(AQ170="Yes",+AP170*$I$9,0)</f>
        <v>0</v>
      </c>
      <c r="AS170" s="35">
        <f t="shared" si="88"/>
        <v>2323541</v>
      </c>
      <c r="AT170"/>
      <c r="AU170" s="35"/>
      <c r="AV170" s="53"/>
      <c r="AW170" s="35"/>
      <c r="AX170" s="21"/>
      <c r="AZ170" s="21"/>
      <c r="BA170" s="21"/>
      <c r="BE170" s="21"/>
      <c r="BF170" s="21"/>
      <c r="BG170" s="21"/>
      <c r="BH170" s="21"/>
      <c r="BI170" s="21"/>
    </row>
    <row r="171" spans="1:61" ht="14.35" x14ac:dyDescent="0.5">
      <c r="A171" s="8"/>
      <c r="B171" s="25"/>
      <c r="C171" s="25"/>
      <c r="D171">
        <v>137</v>
      </c>
      <c r="E171" s="8">
        <v>145</v>
      </c>
      <c r="F171" s="3" t="s">
        <v>232</v>
      </c>
      <c r="G171" s="54"/>
      <c r="H171">
        <v>69</v>
      </c>
      <c r="I171" s="62"/>
      <c r="J171">
        <v>6</v>
      </c>
      <c r="K171" s="60">
        <f t="shared" si="73"/>
        <v>1.8</v>
      </c>
      <c r="L171" s="60">
        <f t="shared" si="74"/>
        <v>41.4</v>
      </c>
      <c r="M171" s="60">
        <f t="shared" si="75"/>
        <v>0</v>
      </c>
      <c r="N171" s="60">
        <f t="shared" si="76"/>
        <v>0</v>
      </c>
      <c r="O171" s="51">
        <f t="shared" si="77"/>
        <v>0.09</v>
      </c>
      <c r="P171" s="51">
        <f t="shared" si="65"/>
        <v>0</v>
      </c>
      <c r="Q171" s="34">
        <f t="shared" si="66"/>
        <v>0</v>
      </c>
      <c r="R171" s="34">
        <f t="shared" si="78"/>
        <v>0</v>
      </c>
      <c r="S171">
        <v>0</v>
      </c>
      <c r="T171" s="60">
        <f t="shared" si="79"/>
        <v>0</v>
      </c>
      <c r="U171" s="36">
        <f t="shared" si="67"/>
        <v>1.8</v>
      </c>
      <c r="V171" s="9">
        <f t="shared" si="80"/>
        <v>70.8</v>
      </c>
      <c r="W171" s="60">
        <v>136544460.33000001</v>
      </c>
      <c r="X171" s="61">
        <v>839</v>
      </c>
      <c r="Y171" s="17">
        <f t="shared" si="68"/>
        <v>162746.68</v>
      </c>
      <c r="Z171" s="37">
        <f t="shared" si="69"/>
        <v>0.82097100000000001</v>
      </c>
      <c r="AA171" s="61">
        <v>87083</v>
      </c>
      <c r="AB171" s="37">
        <f t="shared" si="70"/>
        <v>0.70969099999999996</v>
      </c>
      <c r="AC171" s="37">
        <f t="shared" si="89"/>
        <v>0.21241299999999999</v>
      </c>
      <c r="AD171" s="55">
        <f t="shared" si="81"/>
        <v>0.21241299999999999</v>
      </c>
      <c r="AE171" s="38">
        <f t="shared" si="71"/>
        <v>0</v>
      </c>
      <c r="AF171" s="58">
        <f t="shared" si="82"/>
        <v>0.21241299999999999</v>
      </c>
      <c r="AG171">
        <v>0</v>
      </c>
      <c r="AH171" s="65">
        <v>0</v>
      </c>
      <c r="AI171" s="11">
        <f t="shared" si="83"/>
        <v>0</v>
      </c>
      <c r="AJ171">
        <v>28</v>
      </c>
      <c r="AK171" s="67">
        <v>4</v>
      </c>
      <c r="AL171" s="11">
        <f t="shared" si="84"/>
        <v>11200</v>
      </c>
      <c r="AM171" s="11">
        <f t="shared" si="72"/>
        <v>173323</v>
      </c>
      <c r="AN171" s="11">
        <f t="shared" si="85"/>
        <v>184523</v>
      </c>
      <c r="AO171" s="61">
        <v>211728</v>
      </c>
      <c r="AP171" s="11">
        <f t="shared" si="86"/>
        <v>0</v>
      </c>
      <c r="AQ171" s="56" t="str">
        <f t="shared" si="87"/>
        <v>No</v>
      </c>
      <c r="AR171" s="35">
        <f>IF(AQ171="Yes",+AP171*$I$9,0)</f>
        <v>0</v>
      </c>
      <c r="AS171" s="35">
        <f t="shared" si="88"/>
        <v>211728</v>
      </c>
      <c r="AT171"/>
      <c r="AU171" s="35"/>
      <c r="AV171" s="53"/>
      <c r="AW171" s="35"/>
      <c r="AX171" s="21"/>
      <c r="AZ171" s="21"/>
      <c r="BA171" s="21"/>
      <c r="BE171" s="21"/>
      <c r="BF171" s="21"/>
      <c r="BG171" s="21"/>
      <c r="BH171" s="21"/>
      <c r="BI171" s="21"/>
    </row>
    <row r="172" spans="1:61" ht="14.35" x14ac:dyDescent="0.5">
      <c r="A172" s="8"/>
      <c r="B172" s="25">
        <v>1</v>
      </c>
      <c r="C172" s="25"/>
      <c r="D172">
        <v>20</v>
      </c>
      <c r="E172" s="8">
        <v>146</v>
      </c>
      <c r="F172" s="3" t="s">
        <v>233</v>
      </c>
      <c r="G172" s="54"/>
      <c r="H172">
        <v>3377.74</v>
      </c>
      <c r="I172" s="63"/>
      <c r="J172">
        <v>1809</v>
      </c>
      <c r="K172" s="60">
        <f t="shared" si="73"/>
        <v>542.70000000000005</v>
      </c>
      <c r="L172" s="60">
        <f t="shared" si="74"/>
        <v>2026.64</v>
      </c>
      <c r="M172" s="60">
        <f t="shared" si="75"/>
        <v>0</v>
      </c>
      <c r="N172" s="60">
        <f t="shared" si="76"/>
        <v>0</v>
      </c>
      <c r="O172" s="51">
        <f t="shared" si="77"/>
        <v>0.54</v>
      </c>
      <c r="P172" s="51">
        <f t="shared" si="65"/>
        <v>0</v>
      </c>
      <c r="Q172" s="34">
        <f t="shared" si="66"/>
        <v>0</v>
      </c>
      <c r="R172" s="34">
        <f t="shared" si="78"/>
        <v>0</v>
      </c>
      <c r="S172">
        <v>129</v>
      </c>
      <c r="T172" s="60">
        <f t="shared" si="79"/>
        <v>32.25</v>
      </c>
      <c r="U172" s="36">
        <f t="shared" si="67"/>
        <v>542.70000000000005</v>
      </c>
      <c r="V172" s="9">
        <f t="shared" si="80"/>
        <v>3952.6899999999996</v>
      </c>
      <c r="W172" s="60">
        <v>2878084312</v>
      </c>
      <c r="X172" s="61">
        <v>29359</v>
      </c>
      <c r="Y172" s="17">
        <f t="shared" si="68"/>
        <v>98030.73</v>
      </c>
      <c r="Z172" s="37">
        <f t="shared" si="69"/>
        <v>0.49451299999999998</v>
      </c>
      <c r="AA172" s="61">
        <v>64587</v>
      </c>
      <c r="AB172" s="37">
        <f t="shared" si="70"/>
        <v>0.52635799999999999</v>
      </c>
      <c r="AC172" s="37">
        <f t="shared" si="89"/>
        <v>0.49593399999999999</v>
      </c>
      <c r="AD172" s="55">
        <f t="shared" si="81"/>
        <v>0.49593399999999999</v>
      </c>
      <c r="AE172" s="38">
        <f t="shared" si="71"/>
        <v>0</v>
      </c>
      <c r="AF172" s="58">
        <f t="shared" si="82"/>
        <v>0.49593399999999999</v>
      </c>
      <c r="AG172">
        <v>0</v>
      </c>
      <c r="AH172" s="61">
        <v>0</v>
      </c>
      <c r="AI172" s="11">
        <f t="shared" si="83"/>
        <v>0</v>
      </c>
      <c r="AJ172">
        <v>0</v>
      </c>
      <c r="AK172" s="67"/>
      <c r="AL172" s="11">
        <f t="shared" si="84"/>
        <v>0</v>
      </c>
      <c r="AM172" s="11">
        <f t="shared" si="72"/>
        <v>22592151</v>
      </c>
      <c r="AN172" s="11">
        <f t="shared" si="85"/>
        <v>22592151</v>
      </c>
      <c r="AO172" s="61">
        <v>20592781</v>
      </c>
      <c r="AP172" s="11">
        <f t="shared" si="86"/>
        <v>1999370</v>
      </c>
      <c r="AQ172" s="56" t="str">
        <f t="shared" si="87"/>
        <v>Yes</v>
      </c>
      <c r="AR172" s="35">
        <f>IF(AQ172="Yes",+AP172*$I$9,0)</f>
        <v>333294.97899999999</v>
      </c>
      <c r="AS172" s="35">
        <f t="shared" si="88"/>
        <v>20926075.978999998</v>
      </c>
      <c r="AT172"/>
      <c r="AU172" s="35"/>
      <c r="AV172" s="53"/>
      <c r="AW172" s="35"/>
      <c r="AX172" s="21"/>
      <c r="AZ172" s="21"/>
      <c r="BA172" s="21"/>
      <c r="BE172" s="21"/>
      <c r="BF172" s="21"/>
      <c r="BG172" s="21"/>
      <c r="BH172" s="21"/>
      <c r="BI172" s="21"/>
    </row>
    <row r="173" spans="1:61" ht="14.35" x14ac:dyDescent="0.5">
      <c r="A173" s="8"/>
      <c r="B173" s="25"/>
      <c r="C173" s="25"/>
      <c r="D173">
        <v>46</v>
      </c>
      <c r="E173" s="8">
        <v>147</v>
      </c>
      <c r="F173" s="3" t="s">
        <v>234</v>
      </c>
      <c r="G173" s="54"/>
      <c r="H173">
        <v>311.67</v>
      </c>
      <c r="I173" s="63"/>
      <c r="J173">
        <v>93</v>
      </c>
      <c r="K173" s="60">
        <f t="shared" si="73"/>
        <v>27.9</v>
      </c>
      <c r="L173" s="60">
        <f t="shared" si="74"/>
        <v>187</v>
      </c>
      <c r="M173" s="60">
        <f t="shared" si="75"/>
        <v>0</v>
      </c>
      <c r="N173" s="60">
        <f t="shared" si="76"/>
        <v>0</v>
      </c>
      <c r="O173" s="51">
        <f t="shared" si="77"/>
        <v>0.3</v>
      </c>
      <c r="P173" s="51">
        <f t="shared" si="65"/>
        <v>0</v>
      </c>
      <c r="Q173" s="34">
        <f t="shared" si="66"/>
        <v>0</v>
      </c>
      <c r="R173" s="34">
        <f t="shared" si="78"/>
        <v>0</v>
      </c>
      <c r="S173">
        <v>0</v>
      </c>
      <c r="T173" s="60">
        <f t="shared" si="79"/>
        <v>0</v>
      </c>
      <c r="U173" s="36">
        <f t="shared" si="67"/>
        <v>27.9</v>
      </c>
      <c r="V173" s="9">
        <f t="shared" si="80"/>
        <v>339.57</v>
      </c>
      <c r="W173" s="60">
        <v>334862950.32999998</v>
      </c>
      <c r="X173" s="61">
        <v>2510</v>
      </c>
      <c r="Y173" s="17">
        <f t="shared" si="68"/>
        <v>133411.53</v>
      </c>
      <c r="Z173" s="37">
        <f t="shared" si="69"/>
        <v>0.67298999999999998</v>
      </c>
      <c r="AA173" s="61">
        <v>85052</v>
      </c>
      <c r="AB173" s="37">
        <f t="shared" si="70"/>
        <v>0.69313899999999995</v>
      </c>
      <c r="AC173" s="37">
        <f t="shared" si="89"/>
        <v>0.320965</v>
      </c>
      <c r="AD173" s="55">
        <f t="shared" si="81"/>
        <v>0.320965</v>
      </c>
      <c r="AE173" s="38">
        <f t="shared" si="71"/>
        <v>0</v>
      </c>
      <c r="AF173" s="58">
        <f t="shared" si="82"/>
        <v>0.320965</v>
      </c>
      <c r="AG173">
        <v>0</v>
      </c>
      <c r="AH173" s="65">
        <v>0</v>
      </c>
      <c r="AI173" s="11">
        <f t="shared" si="83"/>
        <v>0</v>
      </c>
      <c r="AJ173">
        <v>59</v>
      </c>
      <c r="AK173" s="67">
        <v>4</v>
      </c>
      <c r="AL173" s="11">
        <f t="shared" si="84"/>
        <v>23600</v>
      </c>
      <c r="AM173" s="11">
        <f t="shared" si="72"/>
        <v>1256111</v>
      </c>
      <c r="AN173" s="11">
        <f t="shared" si="85"/>
        <v>1279711</v>
      </c>
      <c r="AO173" s="61">
        <v>2117243</v>
      </c>
      <c r="AP173" s="11">
        <f t="shared" si="86"/>
        <v>0</v>
      </c>
      <c r="AQ173" s="56" t="str">
        <f t="shared" si="87"/>
        <v>No</v>
      </c>
      <c r="AR173" s="35">
        <f>IF(AQ173="Yes",+AP173*$I$9,0)</f>
        <v>0</v>
      </c>
      <c r="AS173" s="35">
        <f t="shared" si="88"/>
        <v>2117243</v>
      </c>
      <c r="AT173"/>
      <c r="AU173" s="35"/>
      <c r="AV173" s="53"/>
      <c r="AW173" s="35"/>
      <c r="AX173" s="21"/>
      <c r="AZ173" s="21"/>
      <c r="BA173" s="21"/>
      <c r="BE173" s="21"/>
      <c r="BF173" s="21"/>
      <c r="BG173" s="21"/>
      <c r="BH173" s="21"/>
      <c r="BI173" s="21"/>
    </row>
    <row r="174" spans="1:61" ht="14.35" x14ac:dyDescent="0.5">
      <c r="A174" s="8"/>
      <c r="B174" s="25"/>
      <c r="C174" s="25"/>
      <c r="D174">
        <v>87</v>
      </c>
      <c r="E174" s="8">
        <v>148</v>
      </c>
      <c r="F174" s="3" t="s">
        <v>235</v>
      </c>
      <c r="G174" s="54"/>
      <c r="H174">
        <v>5351.58</v>
      </c>
      <c r="I174" s="62"/>
      <c r="J174">
        <v>1688</v>
      </c>
      <c r="K174" s="60">
        <f t="shared" si="73"/>
        <v>506.4</v>
      </c>
      <c r="L174" s="60">
        <f t="shared" si="74"/>
        <v>3210.95</v>
      </c>
      <c r="M174" s="60">
        <f t="shared" si="75"/>
        <v>0</v>
      </c>
      <c r="N174" s="60">
        <f t="shared" si="76"/>
        <v>0</v>
      </c>
      <c r="O174" s="51">
        <f t="shared" si="77"/>
        <v>0.32</v>
      </c>
      <c r="P174" s="51">
        <f t="shared" si="65"/>
        <v>0</v>
      </c>
      <c r="Q174" s="34">
        <f t="shared" si="66"/>
        <v>0</v>
      </c>
      <c r="R174" s="34">
        <f t="shared" si="78"/>
        <v>0</v>
      </c>
      <c r="S174">
        <v>349</v>
      </c>
      <c r="T174" s="60">
        <f t="shared" si="79"/>
        <v>87.25</v>
      </c>
      <c r="U174" s="36">
        <f t="shared" si="67"/>
        <v>506.4</v>
      </c>
      <c r="V174" s="9">
        <f t="shared" si="80"/>
        <v>5945.23</v>
      </c>
      <c r="W174" s="60">
        <v>6513474782.3299999</v>
      </c>
      <c r="X174" s="61">
        <v>44326</v>
      </c>
      <c r="Y174" s="17">
        <f t="shared" si="68"/>
        <v>146944.79</v>
      </c>
      <c r="Z174" s="37">
        <f t="shared" si="69"/>
        <v>0.74125799999999997</v>
      </c>
      <c r="AA174" s="61">
        <v>80793</v>
      </c>
      <c r="AB174" s="37">
        <f t="shared" si="70"/>
        <v>0.65842999999999996</v>
      </c>
      <c r="AC174" s="37">
        <f t="shared" si="89"/>
        <v>0.28359000000000001</v>
      </c>
      <c r="AD174" s="55">
        <f t="shared" si="81"/>
        <v>0.28359000000000001</v>
      </c>
      <c r="AE174" s="38">
        <f t="shared" si="71"/>
        <v>0</v>
      </c>
      <c r="AF174" s="58">
        <f t="shared" si="82"/>
        <v>0.28359000000000001</v>
      </c>
      <c r="AG174">
        <v>0</v>
      </c>
      <c r="AH174" s="61">
        <v>0</v>
      </c>
      <c r="AI174" s="11">
        <f t="shared" si="83"/>
        <v>0</v>
      </c>
      <c r="AJ174">
        <v>0</v>
      </c>
      <c r="AK174" s="67"/>
      <c r="AL174" s="11">
        <f t="shared" si="84"/>
        <v>0</v>
      </c>
      <c r="AM174" s="11">
        <f t="shared" si="72"/>
        <v>19431240</v>
      </c>
      <c r="AN174" s="11">
        <f t="shared" si="85"/>
        <v>19431240</v>
      </c>
      <c r="AO174" s="61">
        <v>20855570</v>
      </c>
      <c r="AP174" s="11">
        <f t="shared" si="86"/>
        <v>0</v>
      </c>
      <c r="AQ174" s="56" t="str">
        <f t="shared" si="87"/>
        <v>No</v>
      </c>
      <c r="AR174" s="35">
        <f>IF(AQ174="Yes",+AP174*$I$9,0)</f>
        <v>0</v>
      </c>
      <c r="AS174" s="35">
        <f t="shared" si="88"/>
        <v>20855570</v>
      </c>
      <c r="AT174"/>
      <c r="AU174" s="35"/>
      <c r="AV174" s="53"/>
      <c r="AW174" s="35"/>
      <c r="AX174" s="21"/>
      <c r="AZ174" s="21"/>
      <c r="BA174" s="21"/>
      <c r="BE174" s="21"/>
      <c r="BF174" s="21"/>
      <c r="BG174" s="21"/>
      <c r="BH174" s="21"/>
      <c r="BI174" s="21"/>
    </row>
    <row r="175" spans="1:61" ht="14.35" x14ac:dyDescent="0.5">
      <c r="A175" s="8"/>
      <c r="B175" s="25"/>
      <c r="C175" s="25"/>
      <c r="D175">
        <v>155</v>
      </c>
      <c r="E175" s="8">
        <v>149</v>
      </c>
      <c r="F175" s="3" t="s">
        <v>236</v>
      </c>
      <c r="G175" s="54"/>
      <c r="H175">
        <v>133.38999999999999</v>
      </c>
      <c r="I175" s="62"/>
      <c r="J175">
        <v>24</v>
      </c>
      <c r="K175" s="60">
        <f t="shared" si="73"/>
        <v>7.2</v>
      </c>
      <c r="L175" s="60">
        <f t="shared" si="74"/>
        <v>80.03</v>
      </c>
      <c r="M175" s="60">
        <f t="shared" si="75"/>
        <v>0</v>
      </c>
      <c r="N175" s="60">
        <f t="shared" si="76"/>
        <v>0</v>
      </c>
      <c r="O175" s="51">
        <f t="shared" si="77"/>
        <v>0.18</v>
      </c>
      <c r="P175" s="51">
        <f t="shared" si="65"/>
        <v>0</v>
      </c>
      <c r="Q175" s="34">
        <f t="shared" si="66"/>
        <v>0</v>
      </c>
      <c r="R175" s="34">
        <f t="shared" si="78"/>
        <v>0</v>
      </c>
      <c r="S175">
        <v>0</v>
      </c>
      <c r="T175" s="60">
        <f t="shared" si="79"/>
        <v>0</v>
      </c>
      <c r="U175" s="36">
        <f t="shared" si="67"/>
        <v>7.2</v>
      </c>
      <c r="V175" s="9">
        <f t="shared" si="80"/>
        <v>140.58999999999997</v>
      </c>
      <c r="W175" s="60">
        <v>622191359</v>
      </c>
      <c r="X175" s="61">
        <v>1395</v>
      </c>
      <c r="Y175" s="17">
        <f t="shared" si="68"/>
        <v>446015.31</v>
      </c>
      <c r="Z175" s="37">
        <f t="shared" si="69"/>
        <v>2.2499099999999999</v>
      </c>
      <c r="AA175" s="61">
        <v>104375</v>
      </c>
      <c r="AB175" s="37">
        <f t="shared" si="70"/>
        <v>0.85061399999999998</v>
      </c>
      <c r="AC175" s="37">
        <f t="shared" si="89"/>
        <v>-0.830121</v>
      </c>
      <c r="AD175" s="55">
        <f t="shared" si="81"/>
        <v>0.01</v>
      </c>
      <c r="AE175" s="38">
        <f t="shared" si="71"/>
        <v>0</v>
      </c>
      <c r="AF175" s="58">
        <f t="shared" si="82"/>
        <v>0.01</v>
      </c>
      <c r="AG175">
        <v>135</v>
      </c>
      <c r="AH175" s="61">
        <v>13</v>
      </c>
      <c r="AI175" s="11">
        <f t="shared" si="83"/>
        <v>175500</v>
      </c>
      <c r="AJ175">
        <v>0</v>
      </c>
      <c r="AK175" s="67"/>
      <c r="AL175" s="11">
        <f t="shared" si="84"/>
        <v>0</v>
      </c>
      <c r="AM175" s="11">
        <f t="shared" si="72"/>
        <v>16203</v>
      </c>
      <c r="AN175" s="11">
        <f t="shared" si="85"/>
        <v>191703</v>
      </c>
      <c r="AO175" s="61">
        <v>46910</v>
      </c>
      <c r="AP175" s="11">
        <f t="shared" si="86"/>
        <v>144793</v>
      </c>
      <c r="AQ175" s="56" t="str">
        <f t="shared" si="87"/>
        <v>Yes</v>
      </c>
      <c r="AR175" s="35">
        <f>IF(AQ175="Yes",+AP175*$I$9,0)</f>
        <v>24136.9931</v>
      </c>
      <c r="AS175" s="35">
        <f t="shared" si="88"/>
        <v>71046.993099999992</v>
      </c>
      <c r="AT175"/>
      <c r="AU175" s="35"/>
      <c r="AV175" s="53"/>
      <c r="AW175" s="35"/>
      <c r="AX175" s="21"/>
      <c r="AZ175" s="21"/>
      <c r="BA175" s="21"/>
      <c r="BE175" s="21"/>
      <c r="BF175" s="21"/>
      <c r="BG175" s="21"/>
      <c r="BH175" s="21"/>
      <c r="BI175" s="21"/>
    </row>
    <row r="176" spans="1:61" ht="14.35" x14ac:dyDescent="0.5">
      <c r="A176" s="8"/>
      <c r="B176" s="25"/>
      <c r="C176" s="25"/>
      <c r="D176">
        <v>164</v>
      </c>
      <c r="E176" s="8">
        <v>150</v>
      </c>
      <c r="F176" s="3" t="s">
        <v>237</v>
      </c>
      <c r="G176" s="54"/>
      <c r="H176">
        <v>274.94</v>
      </c>
      <c r="I176" s="62"/>
      <c r="J176">
        <v>82</v>
      </c>
      <c r="K176" s="60">
        <f t="shared" si="73"/>
        <v>24.6</v>
      </c>
      <c r="L176" s="60">
        <f t="shared" si="74"/>
        <v>164.96</v>
      </c>
      <c r="M176" s="60">
        <f t="shared" si="75"/>
        <v>0</v>
      </c>
      <c r="N176" s="60">
        <f t="shared" si="76"/>
        <v>0</v>
      </c>
      <c r="O176" s="51">
        <f t="shared" si="77"/>
        <v>0.3</v>
      </c>
      <c r="P176" s="51">
        <f t="shared" si="65"/>
        <v>0</v>
      </c>
      <c r="Q176" s="34">
        <f t="shared" si="66"/>
        <v>0</v>
      </c>
      <c r="R176" s="34">
        <f t="shared" si="78"/>
        <v>0</v>
      </c>
      <c r="S176">
        <v>8</v>
      </c>
      <c r="T176" s="60">
        <f t="shared" si="79"/>
        <v>2</v>
      </c>
      <c r="U176" s="36">
        <f t="shared" si="67"/>
        <v>24.6</v>
      </c>
      <c r="V176" s="9">
        <f t="shared" si="80"/>
        <v>301.54000000000002</v>
      </c>
      <c r="W176" s="60">
        <v>1712567318.3299999</v>
      </c>
      <c r="X176" s="61">
        <v>3428</v>
      </c>
      <c r="Y176" s="17">
        <f t="shared" si="68"/>
        <v>499582.06</v>
      </c>
      <c r="Z176" s="37">
        <f t="shared" si="69"/>
        <v>2.5201259999999999</v>
      </c>
      <c r="AA176" s="61">
        <v>108250</v>
      </c>
      <c r="AB176" s="37">
        <f t="shared" si="70"/>
        <v>0.882193</v>
      </c>
      <c r="AC176" s="37">
        <f t="shared" si="89"/>
        <v>-1.0287459999999999</v>
      </c>
      <c r="AD176" s="55">
        <f t="shared" si="81"/>
        <v>0.01</v>
      </c>
      <c r="AE176" s="38">
        <f t="shared" si="71"/>
        <v>0</v>
      </c>
      <c r="AF176" s="58">
        <f t="shared" si="82"/>
        <v>0.01</v>
      </c>
      <c r="AG176">
        <v>274</v>
      </c>
      <c r="AH176" s="61">
        <v>13</v>
      </c>
      <c r="AI176" s="11">
        <f t="shared" si="83"/>
        <v>356200</v>
      </c>
      <c r="AJ176">
        <v>0</v>
      </c>
      <c r="AK176" s="67"/>
      <c r="AL176" s="11">
        <f t="shared" si="84"/>
        <v>0</v>
      </c>
      <c r="AM176" s="11">
        <f t="shared" si="72"/>
        <v>34752</v>
      </c>
      <c r="AN176" s="11">
        <f t="shared" si="85"/>
        <v>390952</v>
      </c>
      <c r="AO176" s="61">
        <v>86666</v>
      </c>
      <c r="AP176" s="11">
        <f t="shared" si="86"/>
        <v>304286</v>
      </c>
      <c r="AQ176" s="56" t="str">
        <f t="shared" si="87"/>
        <v>Yes</v>
      </c>
      <c r="AR176" s="35">
        <f>IF(AQ176="Yes",+AP176*$I$9,0)</f>
        <v>50724.476199999997</v>
      </c>
      <c r="AS176" s="35">
        <f t="shared" si="88"/>
        <v>137390.4762</v>
      </c>
      <c r="AT176"/>
      <c r="AU176" s="35"/>
      <c r="AV176" s="53"/>
      <c r="AW176" s="35"/>
      <c r="AX176" s="21"/>
      <c r="AZ176" s="21"/>
      <c r="BA176" s="21"/>
      <c r="BE176" s="21"/>
      <c r="BF176" s="21"/>
      <c r="BG176" s="21"/>
      <c r="BH176" s="21"/>
      <c r="BI176" s="21"/>
    </row>
    <row r="177" spans="1:61" ht="14.35" x14ac:dyDescent="0.5">
      <c r="A177" s="8">
        <v>1</v>
      </c>
      <c r="B177" s="25">
        <v>1</v>
      </c>
      <c r="C177" s="25"/>
      <c r="D177">
        <v>2</v>
      </c>
      <c r="E177" s="8">
        <v>151</v>
      </c>
      <c r="F177" s="3" t="s">
        <v>238</v>
      </c>
      <c r="G177" s="54"/>
      <c r="H177">
        <v>18355.28</v>
      </c>
      <c r="I177" s="63"/>
      <c r="J177">
        <v>13344</v>
      </c>
      <c r="K177" s="60">
        <f t="shared" si="73"/>
        <v>4003.2</v>
      </c>
      <c r="L177" s="60">
        <f t="shared" si="74"/>
        <v>11013.17</v>
      </c>
      <c r="M177" s="60">
        <f t="shared" si="75"/>
        <v>2330.83</v>
      </c>
      <c r="N177" s="60">
        <f t="shared" si="76"/>
        <v>349.62</v>
      </c>
      <c r="O177" s="51">
        <f t="shared" si="77"/>
        <v>0.73</v>
      </c>
      <c r="P177" s="51">
        <f t="shared" si="65"/>
        <v>0.13</v>
      </c>
      <c r="Q177" s="34">
        <f t="shared" si="66"/>
        <v>2386.19</v>
      </c>
      <c r="R177" s="34">
        <f t="shared" si="78"/>
        <v>357.93</v>
      </c>
      <c r="S177">
        <v>3185</v>
      </c>
      <c r="T177" s="60">
        <f t="shared" si="79"/>
        <v>796.25</v>
      </c>
      <c r="U177" s="36">
        <f t="shared" si="67"/>
        <v>4003.2</v>
      </c>
      <c r="V177" s="9">
        <f t="shared" si="80"/>
        <v>23504.35</v>
      </c>
      <c r="W177" s="60">
        <v>6807108124.3299999</v>
      </c>
      <c r="X177" s="61">
        <v>107568</v>
      </c>
      <c r="Y177" s="17">
        <f t="shared" si="68"/>
        <v>63281.91</v>
      </c>
      <c r="Z177" s="37">
        <f t="shared" si="69"/>
        <v>0.31922400000000001</v>
      </c>
      <c r="AA177" s="61">
        <v>42401</v>
      </c>
      <c r="AB177" s="37">
        <f t="shared" si="70"/>
        <v>0.345551</v>
      </c>
      <c r="AC177" s="37">
        <f t="shared" si="89"/>
        <v>0.67287799999999998</v>
      </c>
      <c r="AD177" s="55">
        <f t="shared" si="81"/>
        <v>0.67287799999999998</v>
      </c>
      <c r="AE177" s="38">
        <f t="shared" si="71"/>
        <v>0.06</v>
      </c>
      <c r="AF177" s="58">
        <f t="shared" si="82"/>
        <v>0.73287799999999992</v>
      </c>
      <c r="AG177">
        <v>0</v>
      </c>
      <c r="AH177" s="61">
        <v>0</v>
      </c>
      <c r="AI177" s="11">
        <f t="shared" si="83"/>
        <v>0</v>
      </c>
      <c r="AJ177">
        <v>0</v>
      </c>
      <c r="AK177" s="67"/>
      <c r="AL177" s="11">
        <f t="shared" si="84"/>
        <v>0</v>
      </c>
      <c r="AM177" s="11">
        <f t="shared" si="72"/>
        <v>198527587</v>
      </c>
      <c r="AN177" s="11">
        <f t="shared" si="85"/>
        <v>198527587</v>
      </c>
      <c r="AO177" s="61">
        <v>157222797</v>
      </c>
      <c r="AP177" s="11">
        <f t="shared" si="86"/>
        <v>41304790</v>
      </c>
      <c r="AQ177" s="56" t="str">
        <f t="shared" si="87"/>
        <v>Yes</v>
      </c>
      <c r="AR177" s="35">
        <f>IF(AQ177="Yes",+AP177*$I$9,0)</f>
        <v>6885508.4929999998</v>
      </c>
      <c r="AS177" s="35">
        <f t="shared" si="88"/>
        <v>164108305.493</v>
      </c>
      <c r="AT177"/>
      <c r="AU177" s="35"/>
      <c r="AV177" s="53"/>
      <c r="AW177" s="35"/>
      <c r="AX177" s="21"/>
      <c r="AZ177" s="21"/>
      <c r="BA177" s="21"/>
      <c r="BE177" s="21"/>
      <c r="BF177" s="21"/>
      <c r="BG177" s="21"/>
      <c r="BH177" s="21"/>
      <c r="BI177" s="21"/>
    </row>
    <row r="178" spans="1:61" ht="14.35" x14ac:dyDescent="0.5">
      <c r="A178" s="8"/>
      <c r="B178" s="25"/>
      <c r="C178" s="25"/>
      <c r="D178">
        <v>63</v>
      </c>
      <c r="E178" s="8">
        <v>152</v>
      </c>
      <c r="F178" s="3" t="s">
        <v>239</v>
      </c>
      <c r="G178" s="54"/>
      <c r="H178">
        <v>2527.2399999999998</v>
      </c>
      <c r="I178" s="62"/>
      <c r="J178">
        <v>728</v>
      </c>
      <c r="K178" s="60">
        <f t="shared" si="73"/>
        <v>218.4</v>
      </c>
      <c r="L178" s="60">
        <f t="shared" si="74"/>
        <v>1516.34</v>
      </c>
      <c r="M178" s="60">
        <f t="shared" si="75"/>
        <v>0</v>
      </c>
      <c r="N178" s="60">
        <f t="shared" si="76"/>
        <v>0</v>
      </c>
      <c r="O178" s="51">
        <f t="shared" si="77"/>
        <v>0.28999999999999998</v>
      </c>
      <c r="P178" s="51">
        <f t="shared" si="65"/>
        <v>0</v>
      </c>
      <c r="Q178" s="34">
        <f t="shared" si="66"/>
        <v>0</v>
      </c>
      <c r="R178" s="34">
        <f t="shared" si="78"/>
        <v>0</v>
      </c>
      <c r="S178">
        <v>94</v>
      </c>
      <c r="T178" s="60">
        <f t="shared" si="79"/>
        <v>23.5</v>
      </c>
      <c r="U178" s="36">
        <f t="shared" si="67"/>
        <v>218.4</v>
      </c>
      <c r="V178" s="9">
        <f t="shared" si="80"/>
        <v>2769.14</v>
      </c>
      <c r="W178" s="60">
        <v>4972888216.6700001</v>
      </c>
      <c r="X178" s="61">
        <v>18746</v>
      </c>
      <c r="Y178" s="17">
        <f t="shared" si="68"/>
        <v>265277.3</v>
      </c>
      <c r="Z178" s="37">
        <f t="shared" si="69"/>
        <v>1.3381829999999999</v>
      </c>
      <c r="AA178" s="61">
        <v>90893</v>
      </c>
      <c r="AB178" s="37">
        <f t="shared" si="70"/>
        <v>0.74074099999999998</v>
      </c>
      <c r="AC178" s="37">
        <f t="shared" si="89"/>
        <v>-0.15895000000000001</v>
      </c>
      <c r="AD178" s="55">
        <f t="shared" si="81"/>
        <v>0.01</v>
      </c>
      <c r="AE178" s="38">
        <f t="shared" si="71"/>
        <v>0</v>
      </c>
      <c r="AF178" s="58">
        <f t="shared" si="82"/>
        <v>0.01</v>
      </c>
      <c r="AG178">
        <v>0</v>
      </c>
      <c r="AH178" s="61">
        <v>0</v>
      </c>
      <c r="AI178" s="11">
        <f t="shared" si="83"/>
        <v>0</v>
      </c>
      <c r="AJ178">
        <v>2</v>
      </c>
      <c r="AK178" s="67">
        <v>4</v>
      </c>
      <c r="AL178" s="11">
        <f t="shared" si="84"/>
        <v>800</v>
      </c>
      <c r="AM178" s="11">
        <f t="shared" si="72"/>
        <v>319143</v>
      </c>
      <c r="AN178" s="11">
        <f t="shared" si="85"/>
        <v>319943</v>
      </c>
      <c r="AO178" s="61">
        <v>326444</v>
      </c>
      <c r="AP178" s="11">
        <f t="shared" si="86"/>
        <v>0</v>
      </c>
      <c r="AQ178" s="56" t="str">
        <f t="shared" si="87"/>
        <v>No</v>
      </c>
      <c r="AR178" s="35">
        <f>IF(AQ178="Yes",+AP178*$I$9,0)</f>
        <v>0</v>
      </c>
      <c r="AS178" s="35">
        <f t="shared" si="88"/>
        <v>326444</v>
      </c>
      <c r="AT178"/>
      <c r="AU178" s="35"/>
      <c r="AV178" s="53"/>
      <c r="AW178" s="35"/>
      <c r="AX178" s="21"/>
      <c r="AZ178" s="21"/>
      <c r="BA178" s="21"/>
      <c r="BE178" s="21"/>
      <c r="BF178" s="21"/>
      <c r="BG178" s="21"/>
      <c r="BH178" s="21"/>
      <c r="BI178" s="21"/>
    </row>
    <row r="179" spans="1:61" ht="14.35" x14ac:dyDescent="0.5">
      <c r="A179" s="8"/>
      <c r="B179" s="25"/>
      <c r="C179" s="25"/>
      <c r="D179">
        <v>55</v>
      </c>
      <c r="E179" s="8">
        <v>153</v>
      </c>
      <c r="F179" s="3" t="s">
        <v>240</v>
      </c>
      <c r="G179" s="54"/>
      <c r="H179">
        <v>2677.17</v>
      </c>
      <c r="I179" s="62"/>
      <c r="J179">
        <v>941</v>
      </c>
      <c r="K179" s="60">
        <f t="shared" si="73"/>
        <v>282.3</v>
      </c>
      <c r="L179" s="60">
        <f t="shared" si="74"/>
        <v>1606.3</v>
      </c>
      <c r="M179" s="60">
        <f t="shared" si="75"/>
        <v>0</v>
      </c>
      <c r="N179" s="60">
        <f t="shared" si="76"/>
        <v>0</v>
      </c>
      <c r="O179" s="51">
        <f t="shared" si="77"/>
        <v>0.35</v>
      </c>
      <c r="P179" s="51">
        <f t="shared" si="65"/>
        <v>0</v>
      </c>
      <c r="Q179" s="34">
        <f t="shared" si="66"/>
        <v>0</v>
      </c>
      <c r="R179" s="34">
        <f t="shared" si="78"/>
        <v>0</v>
      </c>
      <c r="S179">
        <v>128</v>
      </c>
      <c r="T179" s="60">
        <f t="shared" si="79"/>
        <v>32</v>
      </c>
      <c r="U179" s="36">
        <f t="shared" si="67"/>
        <v>282.3</v>
      </c>
      <c r="V179" s="9">
        <f t="shared" si="80"/>
        <v>2991.4700000000003</v>
      </c>
      <c r="W179" s="60">
        <v>2681800812.6700001</v>
      </c>
      <c r="X179" s="61">
        <v>21578</v>
      </c>
      <c r="Y179" s="17">
        <f t="shared" si="68"/>
        <v>124284.03</v>
      </c>
      <c r="Z179" s="37">
        <f t="shared" si="69"/>
        <v>0.62694700000000003</v>
      </c>
      <c r="AA179" s="61">
        <v>79576</v>
      </c>
      <c r="AB179" s="37">
        <f t="shared" si="70"/>
        <v>0.64851199999999998</v>
      </c>
      <c r="AC179" s="37">
        <f t="shared" si="89"/>
        <v>0.36658400000000002</v>
      </c>
      <c r="AD179" s="55">
        <f t="shared" si="81"/>
        <v>0.36658400000000002</v>
      </c>
      <c r="AE179" s="38">
        <f t="shared" si="71"/>
        <v>0</v>
      </c>
      <c r="AF179" s="58">
        <f t="shared" si="82"/>
        <v>0.36658400000000002</v>
      </c>
      <c r="AG179">
        <v>0</v>
      </c>
      <c r="AH179" s="61">
        <v>0</v>
      </c>
      <c r="AI179" s="11">
        <f t="shared" si="83"/>
        <v>0</v>
      </c>
      <c r="AJ179">
        <v>0</v>
      </c>
      <c r="AK179" s="67"/>
      <c r="AL179" s="11">
        <f t="shared" si="84"/>
        <v>0</v>
      </c>
      <c r="AM179" s="11">
        <f t="shared" si="72"/>
        <v>12638604</v>
      </c>
      <c r="AN179" s="11">
        <f t="shared" si="85"/>
        <v>12638604</v>
      </c>
      <c r="AO179" s="61">
        <v>11879281</v>
      </c>
      <c r="AP179" s="11">
        <f t="shared" si="86"/>
        <v>759323</v>
      </c>
      <c r="AQ179" s="56" t="str">
        <f t="shared" si="87"/>
        <v>Yes</v>
      </c>
      <c r="AR179" s="35">
        <f>IF(AQ179="Yes",+AP179*$I$9,0)</f>
        <v>126579.14409999999</v>
      </c>
      <c r="AS179" s="35">
        <f t="shared" si="88"/>
        <v>12005860.144099999</v>
      </c>
      <c r="AT179"/>
      <c r="AU179" s="35"/>
      <c r="AV179" s="53"/>
      <c r="AW179" s="35"/>
      <c r="AX179" s="21"/>
      <c r="AZ179" s="21"/>
      <c r="BA179" s="21"/>
      <c r="BE179" s="21"/>
      <c r="BF179" s="21"/>
      <c r="BG179" s="21"/>
      <c r="BH179" s="21"/>
      <c r="BI179" s="21"/>
    </row>
    <row r="180" spans="1:61" ht="14.35" x14ac:dyDescent="0.5">
      <c r="A180" s="8"/>
      <c r="B180" s="25"/>
      <c r="C180" s="25"/>
      <c r="D180">
        <v>147</v>
      </c>
      <c r="E180" s="8">
        <v>154</v>
      </c>
      <c r="F180" s="3" t="s">
        <v>241</v>
      </c>
      <c r="G180" s="54"/>
      <c r="H180">
        <v>643.71</v>
      </c>
      <c r="I180" s="62"/>
      <c r="J180">
        <v>232</v>
      </c>
      <c r="K180" s="60">
        <f t="shared" si="73"/>
        <v>69.599999999999994</v>
      </c>
      <c r="L180" s="60">
        <f t="shared" si="74"/>
        <v>386.23</v>
      </c>
      <c r="M180" s="60">
        <f t="shared" si="75"/>
        <v>0</v>
      </c>
      <c r="N180" s="60">
        <f t="shared" si="76"/>
        <v>0</v>
      </c>
      <c r="O180" s="51">
        <f t="shared" si="77"/>
        <v>0.36</v>
      </c>
      <c r="P180" s="51">
        <f t="shared" si="65"/>
        <v>0</v>
      </c>
      <c r="Q180" s="34">
        <f t="shared" si="66"/>
        <v>0</v>
      </c>
      <c r="R180" s="34">
        <f t="shared" si="78"/>
        <v>0</v>
      </c>
      <c r="S180">
        <v>79</v>
      </c>
      <c r="T180" s="60">
        <f t="shared" si="79"/>
        <v>19.75</v>
      </c>
      <c r="U180" s="36">
        <f t="shared" si="67"/>
        <v>69.599999999999994</v>
      </c>
      <c r="V180" s="9">
        <f t="shared" si="80"/>
        <v>733.06000000000006</v>
      </c>
      <c r="W180" s="60">
        <v>1741258147.3299999</v>
      </c>
      <c r="X180" s="61">
        <v>6869</v>
      </c>
      <c r="Y180" s="17">
        <f t="shared" si="68"/>
        <v>253495.14</v>
      </c>
      <c r="Z180" s="37">
        <f t="shared" si="69"/>
        <v>1.278748</v>
      </c>
      <c r="AA180" s="61">
        <v>79707</v>
      </c>
      <c r="AB180" s="37">
        <f t="shared" si="70"/>
        <v>0.64957900000000002</v>
      </c>
      <c r="AC180" s="37">
        <f t="shared" si="89"/>
        <v>-8.9996999999999994E-2</v>
      </c>
      <c r="AD180" s="55">
        <f t="shared" si="81"/>
        <v>0.01</v>
      </c>
      <c r="AE180" s="38">
        <f t="shared" si="71"/>
        <v>0</v>
      </c>
      <c r="AF180" s="58">
        <f t="shared" si="82"/>
        <v>0.01</v>
      </c>
      <c r="AG180">
        <v>0</v>
      </c>
      <c r="AH180" s="61">
        <v>0</v>
      </c>
      <c r="AI180" s="11">
        <f t="shared" si="83"/>
        <v>0</v>
      </c>
      <c r="AJ180">
        <v>0</v>
      </c>
      <c r="AK180" s="67"/>
      <c r="AL180" s="11">
        <f t="shared" si="84"/>
        <v>0</v>
      </c>
      <c r="AM180" s="11">
        <f t="shared" si="72"/>
        <v>84485</v>
      </c>
      <c r="AN180" s="11">
        <f t="shared" si="85"/>
        <v>84485</v>
      </c>
      <c r="AO180" s="61">
        <v>76675</v>
      </c>
      <c r="AP180" s="11">
        <f t="shared" si="86"/>
        <v>7810</v>
      </c>
      <c r="AQ180" s="56" t="str">
        <f t="shared" si="87"/>
        <v>Yes</v>
      </c>
      <c r="AR180" s="35">
        <f>IF(AQ180="Yes",+AP180*$I$9,0)</f>
        <v>1301.9269999999999</v>
      </c>
      <c r="AS180" s="35">
        <f t="shared" si="88"/>
        <v>77976.926999999996</v>
      </c>
      <c r="AT180"/>
      <c r="AU180" s="35"/>
      <c r="AV180" s="53"/>
      <c r="AW180" s="35"/>
      <c r="AX180" s="21"/>
      <c r="AZ180" s="21"/>
      <c r="BA180" s="21"/>
      <c r="BE180" s="21"/>
      <c r="BF180" s="21"/>
      <c r="BG180" s="21"/>
      <c r="BH180" s="21"/>
      <c r="BI180" s="21"/>
    </row>
    <row r="181" spans="1:61" ht="14.35" x14ac:dyDescent="0.5">
      <c r="A181" s="8"/>
      <c r="B181" s="25"/>
      <c r="C181" s="25"/>
      <c r="D181">
        <v>74</v>
      </c>
      <c r="E181" s="8">
        <v>155</v>
      </c>
      <c r="F181" s="3" t="s">
        <v>242</v>
      </c>
      <c r="G181" s="54"/>
      <c r="H181">
        <v>9271.17</v>
      </c>
      <c r="I181" s="62"/>
      <c r="J181">
        <v>2214</v>
      </c>
      <c r="K181" s="60">
        <f t="shared" si="73"/>
        <v>664.2</v>
      </c>
      <c r="L181" s="60">
        <f t="shared" si="74"/>
        <v>5562.7</v>
      </c>
      <c r="M181" s="60">
        <f t="shared" si="75"/>
        <v>0</v>
      </c>
      <c r="N181" s="60">
        <f t="shared" si="76"/>
        <v>0</v>
      </c>
      <c r="O181" s="51">
        <f t="shared" si="77"/>
        <v>0.24</v>
      </c>
      <c r="P181" s="51">
        <f t="shared" si="65"/>
        <v>0</v>
      </c>
      <c r="Q181" s="34">
        <f t="shared" si="66"/>
        <v>0</v>
      </c>
      <c r="R181" s="34">
        <f t="shared" si="78"/>
        <v>0</v>
      </c>
      <c r="S181">
        <v>577</v>
      </c>
      <c r="T181" s="60">
        <f t="shared" si="79"/>
        <v>144.25</v>
      </c>
      <c r="U181" s="36">
        <f t="shared" si="67"/>
        <v>664.2</v>
      </c>
      <c r="V181" s="9">
        <f t="shared" si="80"/>
        <v>10079.620000000001</v>
      </c>
      <c r="W181" s="60">
        <v>9863262141.3299999</v>
      </c>
      <c r="X181" s="61">
        <v>62965</v>
      </c>
      <c r="Y181" s="17">
        <f t="shared" si="68"/>
        <v>156646.74</v>
      </c>
      <c r="Z181" s="37">
        <f t="shared" si="69"/>
        <v>0.79020000000000001</v>
      </c>
      <c r="AA181" s="61">
        <v>104281</v>
      </c>
      <c r="AB181" s="37">
        <f t="shared" si="70"/>
        <v>0.84984700000000002</v>
      </c>
      <c r="AC181" s="37">
        <f t="shared" si="89"/>
        <v>0.19190599999999999</v>
      </c>
      <c r="AD181" s="55">
        <f t="shared" si="81"/>
        <v>0.19190599999999999</v>
      </c>
      <c r="AE181" s="38">
        <f t="shared" si="71"/>
        <v>0</v>
      </c>
      <c r="AF181" s="58">
        <f t="shared" si="82"/>
        <v>0.19190599999999999</v>
      </c>
      <c r="AG181">
        <v>0</v>
      </c>
      <c r="AH181" s="61">
        <v>0</v>
      </c>
      <c r="AI181" s="11">
        <f t="shared" si="83"/>
        <v>0</v>
      </c>
      <c r="AJ181">
        <v>0</v>
      </c>
      <c r="AK181" s="67"/>
      <c r="AL181" s="11">
        <f t="shared" si="84"/>
        <v>0</v>
      </c>
      <c r="AM181" s="11">
        <f t="shared" si="72"/>
        <v>22293263</v>
      </c>
      <c r="AN181" s="11">
        <f t="shared" si="85"/>
        <v>22293263</v>
      </c>
      <c r="AO181" s="61">
        <v>22245747</v>
      </c>
      <c r="AP181" s="11">
        <f t="shared" si="86"/>
        <v>47516</v>
      </c>
      <c r="AQ181" s="56" t="str">
        <f t="shared" si="87"/>
        <v>Yes</v>
      </c>
      <c r="AR181" s="35">
        <f>IF(AQ181="Yes",+AP181*$I$9,0)</f>
        <v>7920.917199999999</v>
      </c>
      <c r="AS181" s="35">
        <f t="shared" si="88"/>
        <v>22253667.917199999</v>
      </c>
      <c r="AT181"/>
      <c r="AU181" s="35"/>
      <c r="AV181" s="53"/>
      <c r="AW181" s="35"/>
      <c r="AX181" s="21"/>
      <c r="AZ181" s="21"/>
      <c r="BA181" s="21"/>
      <c r="BE181" s="21"/>
      <c r="BF181" s="21"/>
      <c r="BG181" s="21"/>
      <c r="BH181" s="21"/>
      <c r="BI181" s="21"/>
    </row>
    <row r="182" spans="1:61" ht="14.35" x14ac:dyDescent="0.5">
      <c r="A182" s="8"/>
      <c r="B182" s="25">
        <v>1</v>
      </c>
      <c r="C182" s="25"/>
      <c r="D182">
        <v>14</v>
      </c>
      <c r="E182" s="8">
        <v>156</v>
      </c>
      <c r="F182" s="3" t="s">
        <v>243</v>
      </c>
      <c r="G182" s="54"/>
      <c r="H182">
        <v>6727.98</v>
      </c>
      <c r="I182" s="63"/>
      <c r="J182">
        <v>3750</v>
      </c>
      <c r="K182" s="60">
        <f t="shared" si="73"/>
        <v>1125</v>
      </c>
      <c r="L182" s="60">
        <f t="shared" si="74"/>
        <v>4036.79</v>
      </c>
      <c r="M182" s="60">
        <f t="shared" si="75"/>
        <v>0</v>
      </c>
      <c r="N182" s="60">
        <f t="shared" si="76"/>
        <v>0</v>
      </c>
      <c r="O182" s="51">
        <f t="shared" si="77"/>
        <v>0.56000000000000005</v>
      </c>
      <c r="P182" s="51">
        <f t="shared" si="65"/>
        <v>0</v>
      </c>
      <c r="Q182" s="34">
        <f t="shared" si="66"/>
        <v>0</v>
      </c>
      <c r="R182" s="34">
        <f t="shared" si="78"/>
        <v>0</v>
      </c>
      <c r="S182">
        <v>1070</v>
      </c>
      <c r="T182" s="60">
        <f t="shared" si="79"/>
        <v>267.5</v>
      </c>
      <c r="U182" s="36">
        <f t="shared" si="67"/>
        <v>1125</v>
      </c>
      <c r="V182" s="9">
        <f t="shared" si="80"/>
        <v>8120.48</v>
      </c>
      <c r="W182" s="60">
        <v>4433904017.3299999</v>
      </c>
      <c r="X182" s="61">
        <v>54620</v>
      </c>
      <c r="Y182" s="17">
        <f t="shared" si="68"/>
        <v>81177.3</v>
      </c>
      <c r="Z182" s="37">
        <f t="shared" si="69"/>
        <v>0.40949600000000003</v>
      </c>
      <c r="AA182" s="61">
        <v>62985</v>
      </c>
      <c r="AB182" s="37">
        <f t="shared" si="70"/>
        <v>0.51330200000000004</v>
      </c>
      <c r="AC182" s="37">
        <f t="shared" si="89"/>
        <v>0.55936200000000003</v>
      </c>
      <c r="AD182" s="55">
        <f t="shared" si="81"/>
        <v>0.55936200000000003</v>
      </c>
      <c r="AE182" s="38">
        <f t="shared" si="71"/>
        <v>0.04</v>
      </c>
      <c r="AF182" s="58">
        <f t="shared" si="82"/>
        <v>0.59936200000000006</v>
      </c>
      <c r="AG182">
        <v>0</v>
      </c>
      <c r="AH182" s="61">
        <v>0</v>
      </c>
      <c r="AI182" s="11">
        <f t="shared" si="83"/>
        <v>0</v>
      </c>
      <c r="AJ182">
        <v>0</v>
      </c>
      <c r="AK182" s="67"/>
      <c r="AL182" s="11">
        <f t="shared" si="84"/>
        <v>0</v>
      </c>
      <c r="AM182" s="11">
        <f t="shared" si="72"/>
        <v>56093410</v>
      </c>
      <c r="AN182" s="11">
        <f t="shared" si="85"/>
        <v>56093410</v>
      </c>
      <c r="AO182" s="61">
        <v>50339504</v>
      </c>
      <c r="AP182" s="11">
        <f t="shared" si="86"/>
        <v>5753906</v>
      </c>
      <c r="AQ182" s="56" t="str">
        <f t="shared" si="87"/>
        <v>Yes</v>
      </c>
      <c r="AR182" s="35">
        <f>IF(AQ182="Yes",+AP182*$I$9,0)</f>
        <v>959176.1301999999</v>
      </c>
      <c r="AS182" s="35">
        <f t="shared" si="88"/>
        <v>51298680.130199999</v>
      </c>
      <c r="AT182"/>
      <c r="AU182" s="35"/>
      <c r="AV182" s="53"/>
      <c r="AW182" s="35"/>
      <c r="AX182" s="21"/>
      <c r="AZ182" s="21"/>
      <c r="BA182" s="21"/>
      <c r="BE182" s="21"/>
      <c r="BF182" s="21"/>
      <c r="BG182" s="21"/>
      <c r="BH182" s="21"/>
      <c r="BI182" s="21"/>
    </row>
    <row r="183" spans="1:61" ht="14.35" x14ac:dyDescent="0.5">
      <c r="A183" s="8"/>
      <c r="B183" s="25"/>
      <c r="C183" s="25"/>
      <c r="D183">
        <v>161</v>
      </c>
      <c r="E183" s="8">
        <v>157</v>
      </c>
      <c r="F183" s="3" t="s">
        <v>244</v>
      </c>
      <c r="G183" s="54"/>
      <c r="H183">
        <v>2208.33</v>
      </c>
      <c r="I183" s="62"/>
      <c r="J183">
        <v>30</v>
      </c>
      <c r="K183" s="60">
        <f t="shared" si="73"/>
        <v>9</v>
      </c>
      <c r="L183" s="60">
        <f t="shared" si="74"/>
        <v>1325</v>
      </c>
      <c r="M183" s="60">
        <f t="shared" si="75"/>
        <v>0</v>
      </c>
      <c r="N183" s="60">
        <f t="shared" si="76"/>
        <v>0</v>
      </c>
      <c r="O183" s="51">
        <f t="shared" si="77"/>
        <v>0.01</v>
      </c>
      <c r="P183" s="51">
        <f t="shared" si="65"/>
        <v>0</v>
      </c>
      <c r="Q183" s="34">
        <f t="shared" si="66"/>
        <v>0</v>
      </c>
      <c r="R183" s="34">
        <f t="shared" si="78"/>
        <v>0</v>
      </c>
      <c r="S183">
        <v>19</v>
      </c>
      <c r="T183" s="60">
        <f t="shared" si="79"/>
        <v>4.75</v>
      </c>
      <c r="U183" s="36">
        <f t="shared" si="67"/>
        <v>9</v>
      </c>
      <c r="V183" s="9">
        <f t="shared" si="80"/>
        <v>2222.08</v>
      </c>
      <c r="W183" s="60">
        <v>3266966872.3299999</v>
      </c>
      <c r="X183" s="61">
        <v>10252</v>
      </c>
      <c r="Y183" s="17">
        <f t="shared" si="68"/>
        <v>318666.3</v>
      </c>
      <c r="Z183" s="37">
        <f t="shared" si="69"/>
        <v>1.607502</v>
      </c>
      <c r="AA183" s="61">
        <v>222535</v>
      </c>
      <c r="AB183" s="37">
        <f t="shared" si="70"/>
        <v>1.813569</v>
      </c>
      <c r="AC183" s="37">
        <f t="shared" si="89"/>
        <v>-0.66932199999999997</v>
      </c>
      <c r="AD183" s="55">
        <f t="shared" si="81"/>
        <v>0.01</v>
      </c>
      <c r="AE183" s="38">
        <f t="shared" si="71"/>
        <v>0</v>
      </c>
      <c r="AF183" s="58">
        <f t="shared" si="82"/>
        <v>0.01</v>
      </c>
      <c r="AG183">
        <v>0</v>
      </c>
      <c r="AH183" s="61">
        <v>0</v>
      </c>
      <c r="AI183" s="11">
        <f t="shared" si="83"/>
        <v>0</v>
      </c>
      <c r="AJ183">
        <v>0</v>
      </c>
      <c r="AK183" s="67"/>
      <c r="AL183" s="11">
        <f t="shared" si="84"/>
        <v>0</v>
      </c>
      <c r="AM183" s="11">
        <f t="shared" si="72"/>
        <v>256095</v>
      </c>
      <c r="AN183" s="11">
        <f t="shared" si="85"/>
        <v>256095</v>
      </c>
      <c r="AO183" s="61">
        <v>263792</v>
      </c>
      <c r="AP183" s="11">
        <f t="shared" si="86"/>
        <v>0</v>
      </c>
      <c r="AQ183" s="56" t="str">
        <f t="shared" si="87"/>
        <v>No</v>
      </c>
      <c r="AR183" s="35">
        <f>IF(AQ183="Yes",+AP183*$I$9,0)</f>
        <v>0</v>
      </c>
      <c r="AS183" s="35">
        <f t="shared" si="88"/>
        <v>263792</v>
      </c>
      <c r="AT183"/>
      <c r="AU183" s="35"/>
      <c r="AV183" s="53"/>
      <c r="AW183" s="35"/>
      <c r="AX183" s="21"/>
      <c r="AZ183" s="21"/>
      <c r="BA183" s="21"/>
      <c r="BE183" s="21"/>
      <c r="BF183" s="21"/>
      <c r="BG183" s="21"/>
      <c r="BH183" s="21"/>
      <c r="BI183" s="21"/>
    </row>
    <row r="184" spans="1:61" ht="14.35" x14ac:dyDescent="0.5">
      <c r="A184" s="8"/>
      <c r="B184" s="25"/>
      <c r="C184" s="25"/>
      <c r="D184">
        <v>166</v>
      </c>
      <c r="E184" s="8">
        <v>158</v>
      </c>
      <c r="F184" s="3" t="s">
        <v>245</v>
      </c>
      <c r="G184" s="54"/>
      <c r="H184">
        <v>5249.16</v>
      </c>
      <c r="I184" s="62"/>
      <c r="J184">
        <v>120</v>
      </c>
      <c r="K184" s="60">
        <f t="shared" si="73"/>
        <v>36</v>
      </c>
      <c r="L184" s="60">
        <f t="shared" si="74"/>
        <v>3149.5</v>
      </c>
      <c r="M184" s="60">
        <f t="shared" si="75"/>
        <v>0</v>
      </c>
      <c r="N184" s="60">
        <f t="shared" si="76"/>
        <v>0</v>
      </c>
      <c r="O184" s="51">
        <f t="shared" si="77"/>
        <v>0.02</v>
      </c>
      <c r="P184" s="51">
        <f t="shared" si="65"/>
        <v>0</v>
      </c>
      <c r="Q184" s="34">
        <f t="shared" si="66"/>
        <v>0</v>
      </c>
      <c r="R184" s="34">
        <f t="shared" si="78"/>
        <v>0</v>
      </c>
      <c r="S184">
        <v>50</v>
      </c>
      <c r="T184" s="60">
        <f t="shared" si="79"/>
        <v>12.5</v>
      </c>
      <c r="U184" s="36">
        <f t="shared" si="67"/>
        <v>36</v>
      </c>
      <c r="V184" s="9">
        <f t="shared" si="80"/>
        <v>5297.66</v>
      </c>
      <c r="W184" s="60">
        <v>16157932667</v>
      </c>
      <c r="X184" s="61">
        <v>28491</v>
      </c>
      <c r="Y184" s="17">
        <f t="shared" si="68"/>
        <v>567124.1</v>
      </c>
      <c r="Z184" s="37">
        <f t="shared" si="69"/>
        <v>2.86084</v>
      </c>
      <c r="AA184" s="61">
        <v>206466</v>
      </c>
      <c r="AB184" s="37">
        <f t="shared" si="70"/>
        <v>1.6826129999999999</v>
      </c>
      <c r="AC184" s="37">
        <f t="shared" si="89"/>
        <v>-1.5073719999999999</v>
      </c>
      <c r="AD184" s="55">
        <f t="shared" si="81"/>
        <v>0.01</v>
      </c>
      <c r="AE184" s="38">
        <f t="shared" si="71"/>
        <v>0</v>
      </c>
      <c r="AF184" s="58">
        <f t="shared" si="82"/>
        <v>0.01</v>
      </c>
      <c r="AG184">
        <v>0</v>
      </c>
      <c r="AH184" s="61">
        <v>0</v>
      </c>
      <c r="AI184" s="11">
        <f t="shared" si="83"/>
        <v>0</v>
      </c>
      <c r="AJ184">
        <v>0</v>
      </c>
      <c r="AK184" s="67"/>
      <c r="AL184" s="11">
        <f t="shared" si="84"/>
        <v>0</v>
      </c>
      <c r="AM184" s="11">
        <f t="shared" si="72"/>
        <v>610555</v>
      </c>
      <c r="AN184" s="11">
        <f t="shared" si="85"/>
        <v>610555</v>
      </c>
      <c r="AO184" s="61">
        <v>523496</v>
      </c>
      <c r="AP184" s="11">
        <f t="shared" si="86"/>
        <v>87059</v>
      </c>
      <c r="AQ184" s="56" t="str">
        <f t="shared" si="87"/>
        <v>Yes</v>
      </c>
      <c r="AR184" s="35">
        <f>IF(AQ184="Yes",+AP184*$I$9,0)</f>
        <v>14512.735299999998</v>
      </c>
      <c r="AS184" s="35">
        <f t="shared" si="88"/>
        <v>538008.73529999994</v>
      </c>
      <c r="AT184"/>
      <c r="AU184" s="35"/>
      <c r="AV184" s="53"/>
      <c r="AW184" s="35"/>
      <c r="AX184" s="21"/>
      <c r="AZ184" s="21"/>
      <c r="BA184" s="21"/>
      <c r="BE184" s="21"/>
      <c r="BF184" s="21"/>
      <c r="BG184" s="21"/>
      <c r="BH184" s="21"/>
      <c r="BI184" s="21"/>
    </row>
    <row r="185" spans="1:61" ht="14.35" x14ac:dyDescent="0.5">
      <c r="A185" s="8"/>
      <c r="B185" s="25"/>
      <c r="C185" s="25"/>
      <c r="D185">
        <v>45</v>
      </c>
      <c r="E185" s="8">
        <v>159</v>
      </c>
      <c r="F185" s="3" t="s">
        <v>246</v>
      </c>
      <c r="G185" s="54"/>
      <c r="H185">
        <v>3803.1</v>
      </c>
      <c r="I185" s="64"/>
      <c r="J185">
        <v>1065</v>
      </c>
      <c r="K185" s="60">
        <f t="shared" si="73"/>
        <v>319.5</v>
      </c>
      <c r="L185" s="60">
        <f t="shared" si="74"/>
        <v>2281.86</v>
      </c>
      <c r="M185" s="60">
        <f t="shared" si="75"/>
        <v>0</v>
      </c>
      <c r="N185" s="60">
        <f t="shared" si="76"/>
        <v>0</v>
      </c>
      <c r="O185" s="51">
        <f t="shared" si="77"/>
        <v>0.28000000000000003</v>
      </c>
      <c r="P185" s="51">
        <f t="shared" si="65"/>
        <v>0</v>
      </c>
      <c r="Q185" s="34">
        <f t="shared" si="66"/>
        <v>0</v>
      </c>
      <c r="R185" s="34">
        <f t="shared" si="78"/>
        <v>0</v>
      </c>
      <c r="S185">
        <v>346</v>
      </c>
      <c r="T185" s="60">
        <f t="shared" si="79"/>
        <v>86.5</v>
      </c>
      <c r="U185" s="36">
        <f t="shared" si="67"/>
        <v>319.5</v>
      </c>
      <c r="V185" s="9">
        <f t="shared" si="80"/>
        <v>4209.1000000000004</v>
      </c>
      <c r="W185" s="60">
        <v>3392275063</v>
      </c>
      <c r="X185" s="61">
        <v>26008</v>
      </c>
      <c r="Y185" s="17">
        <f t="shared" si="68"/>
        <v>130431.98</v>
      </c>
      <c r="Z185" s="37">
        <f t="shared" si="69"/>
        <v>0.65795999999999999</v>
      </c>
      <c r="AA185" s="61">
        <v>86216</v>
      </c>
      <c r="AB185" s="37">
        <f t="shared" si="70"/>
        <v>0.70262500000000006</v>
      </c>
      <c r="AC185" s="37">
        <f t="shared" si="89"/>
        <v>0.32864100000000002</v>
      </c>
      <c r="AD185" s="55">
        <f t="shared" si="81"/>
        <v>0.32864100000000002</v>
      </c>
      <c r="AE185" s="38">
        <f t="shared" si="71"/>
        <v>0</v>
      </c>
      <c r="AF185" s="58">
        <f t="shared" si="82"/>
        <v>0.32864100000000002</v>
      </c>
      <c r="AG185">
        <v>0</v>
      </c>
      <c r="AH185" s="61">
        <v>0</v>
      </c>
      <c r="AI185" s="11">
        <f t="shared" si="83"/>
        <v>0</v>
      </c>
      <c r="AJ185">
        <v>0</v>
      </c>
      <c r="AK185" s="67"/>
      <c r="AL185" s="11">
        <f t="shared" si="84"/>
        <v>0</v>
      </c>
      <c r="AM185" s="11">
        <f t="shared" si="72"/>
        <v>15942335</v>
      </c>
      <c r="AN185" s="11">
        <f t="shared" si="85"/>
        <v>15942335</v>
      </c>
      <c r="AO185" s="61">
        <v>11540764</v>
      </c>
      <c r="AP185" s="11">
        <f t="shared" si="86"/>
        <v>4401571</v>
      </c>
      <c r="AQ185" s="56" t="str">
        <f t="shared" si="87"/>
        <v>Yes</v>
      </c>
      <c r="AR185" s="35">
        <f>IF(AQ185="Yes",+AP185*$I$9,0)</f>
        <v>733741.88569999998</v>
      </c>
      <c r="AS185" s="35">
        <f t="shared" si="88"/>
        <v>12274505.8857</v>
      </c>
      <c r="AT185"/>
      <c r="AU185" s="35"/>
      <c r="AV185" s="53"/>
      <c r="AW185" s="35"/>
      <c r="AX185" s="21"/>
      <c r="AZ185" s="21"/>
      <c r="BA185" s="21"/>
      <c r="BE185" s="21"/>
      <c r="BF185" s="21"/>
      <c r="BG185" s="21"/>
      <c r="BH185" s="21"/>
      <c r="BI185" s="21"/>
    </row>
    <row r="186" spans="1:61" ht="14.35" x14ac:dyDescent="0.5">
      <c r="A186" s="8"/>
      <c r="B186" s="25"/>
      <c r="C186" s="25"/>
      <c r="D186">
        <v>65</v>
      </c>
      <c r="E186" s="8">
        <v>160</v>
      </c>
      <c r="F186" s="3" t="s">
        <v>247</v>
      </c>
      <c r="G186" s="54"/>
      <c r="H186">
        <v>586.92999999999995</v>
      </c>
      <c r="I186" s="62"/>
      <c r="J186">
        <v>224</v>
      </c>
      <c r="K186" s="60">
        <f t="shared" si="73"/>
        <v>67.2</v>
      </c>
      <c r="L186" s="60">
        <f t="shared" si="74"/>
        <v>352.16</v>
      </c>
      <c r="M186" s="60">
        <f t="shared" si="75"/>
        <v>0</v>
      </c>
      <c r="N186" s="60">
        <f t="shared" si="76"/>
        <v>0</v>
      </c>
      <c r="O186" s="51">
        <f t="shared" si="77"/>
        <v>0.38</v>
      </c>
      <c r="P186" s="51">
        <f t="shared" si="65"/>
        <v>0</v>
      </c>
      <c r="Q186" s="34">
        <f t="shared" si="66"/>
        <v>0</v>
      </c>
      <c r="R186" s="34">
        <f t="shared" si="78"/>
        <v>0</v>
      </c>
      <c r="S186">
        <v>11</v>
      </c>
      <c r="T186" s="60">
        <f t="shared" si="79"/>
        <v>2.75</v>
      </c>
      <c r="U186" s="36">
        <f t="shared" si="67"/>
        <v>67.2</v>
      </c>
      <c r="V186" s="9">
        <f t="shared" si="80"/>
        <v>656.88</v>
      </c>
      <c r="W186" s="60">
        <v>654583617</v>
      </c>
      <c r="X186" s="61">
        <v>5864</v>
      </c>
      <c r="Y186" s="17">
        <f t="shared" si="68"/>
        <v>111627.49</v>
      </c>
      <c r="Z186" s="37">
        <f t="shared" si="69"/>
        <v>0.56310099999999996</v>
      </c>
      <c r="AA186" s="61">
        <v>76908</v>
      </c>
      <c r="AB186" s="37">
        <f t="shared" si="70"/>
        <v>0.62676900000000002</v>
      </c>
      <c r="AC186" s="37">
        <f t="shared" si="89"/>
        <v>0.41779899999999998</v>
      </c>
      <c r="AD186" s="55">
        <f t="shared" si="81"/>
        <v>0.41779899999999998</v>
      </c>
      <c r="AE186" s="38">
        <f t="shared" si="71"/>
        <v>0</v>
      </c>
      <c r="AF186" s="58">
        <f t="shared" si="82"/>
        <v>0.41779899999999998</v>
      </c>
      <c r="AG186">
        <v>192</v>
      </c>
      <c r="AH186" s="61">
        <v>4</v>
      </c>
      <c r="AI186" s="11">
        <f t="shared" si="83"/>
        <v>76800</v>
      </c>
      <c r="AJ186">
        <v>0</v>
      </c>
      <c r="AK186" s="67"/>
      <c r="AL186" s="11">
        <f t="shared" si="84"/>
        <v>0</v>
      </c>
      <c r="AM186" s="11">
        <f t="shared" si="72"/>
        <v>3162965</v>
      </c>
      <c r="AN186" s="11">
        <f t="shared" si="85"/>
        <v>3239765</v>
      </c>
      <c r="AO186" s="61">
        <v>3456594</v>
      </c>
      <c r="AP186" s="11">
        <f t="shared" si="86"/>
        <v>0</v>
      </c>
      <c r="AQ186" s="56" t="str">
        <f t="shared" si="87"/>
        <v>No</v>
      </c>
      <c r="AR186" s="35">
        <f>IF(AQ186="Yes",+AP186*$I$9,0)</f>
        <v>0</v>
      </c>
      <c r="AS186" s="35">
        <f t="shared" si="88"/>
        <v>3456594</v>
      </c>
      <c r="AT186"/>
      <c r="AU186" s="35"/>
      <c r="AV186" s="53"/>
      <c r="AW186" s="35"/>
      <c r="AX186" s="21"/>
      <c r="AZ186" s="21"/>
      <c r="BA186" s="21"/>
      <c r="BE186" s="21"/>
      <c r="BF186" s="21"/>
      <c r="BG186" s="21"/>
      <c r="BH186" s="21"/>
      <c r="BI186" s="21"/>
    </row>
    <row r="187" spans="1:61" ht="14.35" x14ac:dyDescent="0.5">
      <c r="A187" s="8"/>
      <c r="B187" s="25"/>
      <c r="C187" s="25"/>
      <c r="D187">
        <v>160</v>
      </c>
      <c r="E187" s="8">
        <v>161</v>
      </c>
      <c r="F187" s="3" t="s">
        <v>248</v>
      </c>
      <c r="G187" s="54"/>
      <c r="H187">
        <v>3697.93</v>
      </c>
      <c r="I187" s="62"/>
      <c r="J187">
        <v>270</v>
      </c>
      <c r="K187" s="60">
        <f t="shared" si="73"/>
        <v>81</v>
      </c>
      <c r="L187" s="60">
        <f t="shared" si="74"/>
        <v>2218.7600000000002</v>
      </c>
      <c r="M187" s="60">
        <f t="shared" si="75"/>
        <v>0</v>
      </c>
      <c r="N187" s="60">
        <f t="shared" si="76"/>
        <v>0</v>
      </c>
      <c r="O187" s="51">
        <f t="shared" si="77"/>
        <v>7.0000000000000007E-2</v>
      </c>
      <c r="P187" s="51">
        <f t="shared" ref="P187:P195" si="90">IF(O187&gt;0.6,+O187-0.6,0)</f>
        <v>0</v>
      </c>
      <c r="Q187" s="34">
        <f t="shared" ref="Q187:Q195" si="91">ROUND(P187*H187,2)</f>
        <v>0</v>
      </c>
      <c r="R187" s="34">
        <f t="shared" si="78"/>
        <v>0</v>
      </c>
      <c r="S187">
        <v>29</v>
      </c>
      <c r="T187" s="60">
        <f t="shared" si="79"/>
        <v>7.25</v>
      </c>
      <c r="U187" s="36">
        <f t="shared" ref="U187:U195" si="92">ROUND(J187*$U$2,2)</f>
        <v>81</v>
      </c>
      <c r="V187" s="9">
        <f t="shared" si="80"/>
        <v>3786.18</v>
      </c>
      <c r="W187" s="60">
        <v>6133057255.6700001</v>
      </c>
      <c r="X187" s="61">
        <v>18343</v>
      </c>
      <c r="Y187" s="17">
        <f t="shared" si="68"/>
        <v>334354.09999999998</v>
      </c>
      <c r="Z187" s="37">
        <f t="shared" si="69"/>
        <v>1.686639</v>
      </c>
      <c r="AA187" s="61">
        <v>193292</v>
      </c>
      <c r="AB187" s="37">
        <f t="shared" si="70"/>
        <v>1.575251</v>
      </c>
      <c r="AC187" s="37">
        <f t="shared" si="89"/>
        <v>-0.653223</v>
      </c>
      <c r="AD187" s="55">
        <f t="shared" si="81"/>
        <v>0.01</v>
      </c>
      <c r="AE187" s="38">
        <f t="shared" ref="AE187:AE195" si="93">IF(D187&gt;=1,IF(D187&lt;=5,0.06,IF(D187&lt;=10,0.05,IF(D187&lt;=15,0.04,IF(D187&lt;=19,0.03,0)))),0)</f>
        <v>0</v>
      </c>
      <c r="AF187" s="58">
        <f t="shared" si="82"/>
        <v>0.01</v>
      </c>
      <c r="AG187">
        <v>0</v>
      </c>
      <c r="AH187" s="61">
        <v>0</v>
      </c>
      <c r="AI187" s="11">
        <f t="shared" si="83"/>
        <v>0</v>
      </c>
      <c r="AJ187">
        <v>0</v>
      </c>
      <c r="AK187" s="67"/>
      <c r="AL187" s="11">
        <f t="shared" si="84"/>
        <v>0</v>
      </c>
      <c r="AM187" s="11">
        <f t="shared" ref="AM187:AM195" si="94">ROUND(V187*AF187*$AM$21,0)</f>
        <v>436357</v>
      </c>
      <c r="AN187" s="11">
        <f t="shared" si="85"/>
        <v>436357</v>
      </c>
      <c r="AO187" s="61">
        <v>461796</v>
      </c>
      <c r="AP187" s="11">
        <f t="shared" si="86"/>
        <v>0</v>
      </c>
      <c r="AQ187" s="56" t="str">
        <f t="shared" si="87"/>
        <v>No</v>
      </c>
      <c r="AR187" s="35">
        <f>IF(AQ187="Yes",+AP187*$I$9,0)</f>
        <v>0</v>
      </c>
      <c r="AS187" s="35">
        <f t="shared" si="88"/>
        <v>461796</v>
      </c>
      <c r="AT187"/>
      <c r="AU187" s="35"/>
      <c r="AV187" s="53"/>
      <c r="AW187" s="35"/>
      <c r="AX187" s="21"/>
      <c r="AZ187" s="21"/>
      <c r="BA187" s="21"/>
      <c r="BE187" s="21"/>
      <c r="BF187" s="21"/>
      <c r="BG187" s="21"/>
      <c r="BH187" s="21"/>
      <c r="BI187" s="21"/>
    </row>
    <row r="188" spans="1:61" ht="14.35" x14ac:dyDescent="0.5">
      <c r="A188" s="8"/>
      <c r="B188" s="25">
        <v>1</v>
      </c>
      <c r="C188" s="25"/>
      <c r="D188">
        <v>27</v>
      </c>
      <c r="E188" s="8">
        <v>162</v>
      </c>
      <c r="F188" s="3" t="s">
        <v>249</v>
      </c>
      <c r="G188" s="54"/>
      <c r="H188">
        <v>1067.74</v>
      </c>
      <c r="I188" s="63"/>
      <c r="J188">
        <v>588</v>
      </c>
      <c r="K188" s="60">
        <f t="shared" si="73"/>
        <v>176.4</v>
      </c>
      <c r="L188" s="60">
        <f t="shared" si="74"/>
        <v>640.64</v>
      </c>
      <c r="M188" s="60">
        <f t="shared" si="75"/>
        <v>0</v>
      </c>
      <c r="N188" s="60">
        <f t="shared" si="76"/>
        <v>0</v>
      </c>
      <c r="O188" s="51">
        <f t="shared" si="77"/>
        <v>0.55000000000000004</v>
      </c>
      <c r="P188" s="51">
        <f t="shared" si="90"/>
        <v>0</v>
      </c>
      <c r="Q188" s="34">
        <f t="shared" si="91"/>
        <v>0</v>
      </c>
      <c r="R188" s="34">
        <f t="shared" si="78"/>
        <v>0</v>
      </c>
      <c r="S188">
        <v>31</v>
      </c>
      <c r="T188" s="60">
        <f t="shared" si="79"/>
        <v>7.75</v>
      </c>
      <c r="U188" s="36">
        <f t="shared" si="92"/>
        <v>176.4</v>
      </c>
      <c r="V188" s="9">
        <f t="shared" si="80"/>
        <v>1251.8900000000001</v>
      </c>
      <c r="W188" s="60">
        <v>1058921140.67</v>
      </c>
      <c r="X188" s="61">
        <v>10604</v>
      </c>
      <c r="Y188" s="17">
        <f t="shared" si="68"/>
        <v>99860.54</v>
      </c>
      <c r="Z188" s="37">
        <f t="shared" si="69"/>
        <v>0.50374300000000005</v>
      </c>
      <c r="AA188" s="61">
        <v>68750</v>
      </c>
      <c r="AB188" s="37">
        <f t="shared" si="70"/>
        <v>0.560284</v>
      </c>
      <c r="AC188" s="37">
        <f t="shared" si="89"/>
        <v>0.47929500000000003</v>
      </c>
      <c r="AD188" s="55">
        <f t="shared" si="81"/>
        <v>0.47929500000000003</v>
      </c>
      <c r="AE188" s="38">
        <f t="shared" si="93"/>
        <v>0</v>
      </c>
      <c r="AF188" s="58">
        <f t="shared" si="82"/>
        <v>0.47929500000000003</v>
      </c>
      <c r="AG188">
        <v>0</v>
      </c>
      <c r="AH188" s="65">
        <v>0</v>
      </c>
      <c r="AI188" s="11">
        <f t="shared" si="83"/>
        <v>0</v>
      </c>
      <c r="AJ188">
        <v>420</v>
      </c>
      <c r="AK188" s="67">
        <v>6</v>
      </c>
      <c r="AL188" s="11">
        <f t="shared" si="84"/>
        <v>252000</v>
      </c>
      <c r="AM188" s="11">
        <f t="shared" si="94"/>
        <v>6915284</v>
      </c>
      <c r="AN188" s="11">
        <f t="shared" si="85"/>
        <v>7167284</v>
      </c>
      <c r="AO188" s="61">
        <v>8024957</v>
      </c>
      <c r="AP188" s="11">
        <f t="shared" si="86"/>
        <v>0</v>
      </c>
      <c r="AQ188" s="56" t="str">
        <f t="shared" si="87"/>
        <v>No</v>
      </c>
      <c r="AR188" s="35">
        <f>IF(AQ188="Yes",+AP188*$I$9,0)</f>
        <v>0</v>
      </c>
      <c r="AS188" s="35">
        <f t="shared" si="88"/>
        <v>8024957</v>
      </c>
      <c r="AT188"/>
      <c r="AU188" s="35"/>
      <c r="AV188" s="53"/>
      <c r="AW188" s="35"/>
      <c r="AX188" s="21"/>
      <c r="AZ188" s="21"/>
      <c r="BA188" s="21"/>
      <c r="BE188" s="21"/>
      <c r="BF188" s="21"/>
      <c r="BG188" s="21"/>
      <c r="BH188" s="21"/>
      <c r="BI188" s="21"/>
    </row>
    <row r="189" spans="1:61" ht="14.35" x14ac:dyDescent="0.5">
      <c r="A189" s="8">
        <v>1</v>
      </c>
      <c r="B189" s="25">
        <v>1</v>
      </c>
      <c r="C189" s="25"/>
      <c r="D189">
        <v>10</v>
      </c>
      <c r="E189" s="8">
        <v>163</v>
      </c>
      <c r="F189" s="3" t="s">
        <v>250</v>
      </c>
      <c r="G189" s="54"/>
      <c r="H189">
        <v>3122.25</v>
      </c>
      <c r="I189" s="63"/>
      <c r="J189">
        <v>2325</v>
      </c>
      <c r="K189" s="60">
        <f t="shared" si="73"/>
        <v>697.5</v>
      </c>
      <c r="L189" s="60">
        <f t="shared" si="74"/>
        <v>1873.35</v>
      </c>
      <c r="M189" s="60">
        <f t="shared" si="75"/>
        <v>451.65000000000009</v>
      </c>
      <c r="N189" s="60">
        <f t="shared" si="76"/>
        <v>67.75</v>
      </c>
      <c r="O189" s="51">
        <f t="shared" si="77"/>
        <v>0.74</v>
      </c>
      <c r="P189" s="51">
        <f t="shared" si="90"/>
        <v>0.14000000000000001</v>
      </c>
      <c r="Q189" s="34">
        <f t="shared" si="91"/>
        <v>437.12</v>
      </c>
      <c r="R189" s="34">
        <f t="shared" si="78"/>
        <v>65.569999999999993</v>
      </c>
      <c r="S189">
        <v>997</v>
      </c>
      <c r="T189" s="60">
        <f t="shared" si="79"/>
        <v>249.25</v>
      </c>
      <c r="U189" s="36">
        <f t="shared" si="92"/>
        <v>697.5</v>
      </c>
      <c r="V189" s="9">
        <f t="shared" si="80"/>
        <v>4136.75</v>
      </c>
      <c r="W189" s="60">
        <v>1413992826.6700001</v>
      </c>
      <c r="X189" s="61">
        <v>24561</v>
      </c>
      <c r="Y189" s="17">
        <f t="shared" si="68"/>
        <v>57570.65</v>
      </c>
      <c r="Z189" s="37">
        <f t="shared" si="69"/>
        <v>0.29041299999999998</v>
      </c>
      <c r="AA189" s="61">
        <v>47481</v>
      </c>
      <c r="AB189" s="37">
        <f t="shared" si="70"/>
        <v>0.38695099999999999</v>
      </c>
      <c r="AC189" s="37">
        <f t="shared" si="89"/>
        <v>0.68062599999999995</v>
      </c>
      <c r="AD189" s="55">
        <f t="shared" si="81"/>
        <v>0.68062599999999995</v>
      </c>
      <c r="AE189" s="38">
        <f t="shared" si="93"/>
        <v>0.05</v>
      </c>
      <c r="AF189" s="58">
        <f t="shared" si="82"/>
        <v>0.730626</v>
      </c>
      <c r="AG189">
        <v>0</v>
      </c>
      <c r="AH189" s="61">
        <v>0</v>
      </c>
      <c r="AI189" s="11">
        <f t="shared" si="83"/>
        <v>0</v>
      </c>
      <c r="AJ189">
        <v>1</v>
      </c>
      <c r="AK189" s="67">
        <v>4</v>
      </c>
      <c r="AL189" s="11">
        <f t="shared" si="84"/>
        <v>400</v>
      </c>
      <c r="AM189" s="11">
        <f t="shared" si="94"/>
        <v>34833357</v>
      </c>
      <c r="AN189" s="11">
        <f t="shared" si="85"/>
        <v>34833757</v>
      </c>
      <c r="AO189" s="61">
        <v>29939918</v>
      </c>
      <c r="AP189" s="11">
        <f t="shared" si="86"/>
        <v>4893839</v>
      </c>
      <c r="AQ189" s="56" t="str">
        <f t="shared" si="87"/>
        <v>Yes</v>
      </c>
      <c r="AR189" s="35">
        <f>IF(AQ189="Yes",+AP189*$I$9,0)</f>
        <v>815802.96129999997</v>
      </c>
      <c r="AS189" s="35">
        <f t="shared" si="88"/>
        <v>30755720.961300001</v>
      </c>
      <c r="AT189"/>
      <c r="AU189" s="35"/>
      <c r="AV189" s="53"/>
      <c r="AW189" s="35"/>
      <c r="AX189" s="21"/>
      <c r="AZ189" s="21"/>
      <c r="BA189" s="21"/>
      <c r="BE189" s="21"/>
      <c r="BF189" s="21"/>
      <c r="BG189" s="21"/>
      <c r="BH189" s="21"/>
      <c r="BI189" s="21"/>
    </row>
    <row r="190" spans="1:61" ht="14.35" x14ac:dyDescent="0.5">
      <c r="A190" s="8"/>
      <c r="B190" s="25">
        <v>1</v>
      </c>
      <c r="C190" s="25"/>
      <c r="D190">
        <v>38</v>
      </c>
      <c r="E190" s="8">
        <v>164</v>
      </c>
      <c r="F190" s="3" t="s">
        <v>251</v>
      </c>
      <c r="G190" s="54"/>
      <c r="H190">
        <v>3885.44</v>
      </c>
      <c r="I190" s="63"/>
      <c r="J190">
        <v>1612</v>
      </c>
      <c r="K190" s="60">
        <f t="shared" si="73"/>
        <v>483.6</v>
      </c>
      <c r="L190" s="60">
        <f t="shared" si="74"/>
        <v>2331.2600000000002</v>
      </c>
      <c r="M190" s="60">
        <f t="shared" si="75"/>
        <v>0</v>
      </c>
      <c r="N190" s="60">
        <f t="shared" si="76"/>
        <v>0</v>
      </c>
      <c r="O190" s="51">
        <f t="shared" si="77"/>
        <v>0.41</v>
      </c>
      <c r="P190" s="51">
        <f t="shared" si="90"/>
        <v>0</v>
      </c>
      <c r="Q190" s="34">
        <f t="shared" si="91"/>
        <v>0</v>
      </c>
      <c r="R190" s="34">
        <f t="shared" si="78"/>
        <v>0</v>
      </c>
      <c r="S190">
        <v>117</v>
      </c>
      <c r="T190" s="60">
        <f t="shared" si="79"/>
        <v>29.25</v>
      </c>
      <c r="U190" s="36">
        <f t="shared" si="92"/>
        <v>483.6</v>
      </c>
      <c r="V190" s="9">
        <f t="shared" si="80"/>
        <v>4398.29</v>
      </c>
      <c r="W190" s="60">
        <v>4775867545</v>
      </c>
      <c r="X190" s="61">
        <v>28733</v>
      </c>
      <c r="Y190" s="17">
        <f t="shared" si="68"/>
        <v>166215.42000000001</v>
      </c>
      <c r="Z190" s="37">
        <f t="shared" si="69"/>
        <v>0.83846799999999999</v>
      </c>
      <c r="AA190" s="61">
        <v>92199</v>
      </c>
      <c r="AB190" s="37">
        <f t="shared" si="70"/>
        <v>0.75138400000000005</v>
      </c>
      <c r="AC190" s="37">
        <f t="shared" si="89"/>
        <v>0.18765699999999999</v>
      </c>
      <c r="AD190" s="55">
        <f t="shared" si="81"/>
        <v>0.18765699999999999</v>
      </c>
      <c r="AE190" s="38">
        <f t="shared" si="93"/>
        <v>0</v>
      </c>
      <c r="AF190" s="58">
        <f t="shared" si="82"/>
        <v>0.18765699999999999</v>
      </c>
      <c r="AG190">
        <v>0</v>
      </c>
      <c r="AH190" s="61">
        <v>0</v>
      </c>
      <c r="AI190" s="11">
        <f t="shared" si="83"/>
        <v>0</v>
      </c>
      <c r="AJ190">
        <v>0</v>
      </c>
      <c r="AK190" s="67"/>
      <c r="AL190" s="11">
        <f t="shared" si="84"/>
        <v>0</v>
      </c>
      <c r="AM190" s="11">
        <f t="shared" si="94"/>
        <v>9512388</v>
      </c>
      <c r="AN190" s="11">
        <f t="shared" si="85"/>
        <v>9512388</v>
      </c>
      <c r="AO190" s="61">
        <v>12130392</v>
      </c>
      <c r="AP190" s="11">
        <f t="shared" si="86"/>
        <v>0</v>
      </c>
      <c r="AQ190" s="56" t="str">
        <f t="shared" si="87"/>
        <v>No</v>
      </c>
      <c r="AR190" s="35">
        <f>IF(AQ190="Yes",+AP190*$I$9,0)</f>
        <v>0</v>
      </c>
      <c r="AS190" s="35">
        <f t="shared" si="88"/>
        <v>12130392</v>
      </c>
      <c r="AT190"/>
      <c r="AU190" s="35"/>
      <c r="AV190" s="53"/>
      <c r="AW190" s="35"/>
      <c r="AX190" s="21"/>
      <c r="AZ190" s="21"/>
      <c r="BA190" s="21"/>
      <c r="BE190" s="21"/>
      <c r="BF190" s="21"/>
      <c r="BG190" s="21"/>
      <c r="BH190" s="21"/>
      <c r="BI190" s="21"/>
    </row>
    <row r="191" spans="1:61" ht="14.35" x14ac:dyDescent="0.5">
      <c r="A191" s="8"/>
      <c r="B191" s="25">
        <v>1</v>
      </c>
      <c r="C191" s="25"/>
      <c r="D191">
        <v>52</v>
      </c>
      <c r="E191" s="8">
        <v>165</v>
      </c>
      <c r="F191" s="3" t="s">
        <v>252</v>
      </c>
      <c r="G191" s="54"/>
      <c r="H191">
        <v>1547.87</v>
      </c>
      <c r="I191" s="62"/>
      <c r="J191">
        <v>639</v>
      </c>
      <c r="K191" s="60">
        <f t="shared" si="73"/>
        <v>191.7</v>
      </c>
      <c r="L191" s="60">
        <f t="shared" si="74"/>
        <v>928.72</v>
      </c>
      <c r="M191" s="60">
        <f t="shared" si="75"/>
        <v>0</v>
      </c>
      <c r="N191" s="60">
        <f t="shared" si="76"/>
        <v>0</v>
      </c>
      <c r="O191" s="51">
        <f t="shared" si="77"/>
        <v>0.41</v>
      </c>
      <c r="P191" s="51">
        <f t="shared" si="90"/>
        <v>0</v>
      </c>
      <c r="Q191" s="34">
        <f t="shared" si="91"/>
        <v>0</v>
      </c>
      <c r="R191" s="34">
        <f t="shared" si="78"/>
        <v>0</v>
      </c>
      <c r="S191">
        <v>100</v>
      </c>
      <c r="T191" s="60">
        <f t="shared" si="79"/>
        <v>25</v>
      </c>
      <c r="U191" s="36">
        <f t="shared" si="92"/>
        <v>191.7</v>
      </c>
      <c r="V191" s="9">
        <f t="shared" si="80"/>
        <v>1764.57</v>
      </c>
      <c r="W191" s="60">
        <v>2166182686.3299999</v>
      </c>
      <c r="X191" s="61">
        <v>12854</v>
      </c>
      <c r="Y191" s="17">
        <f t="shared" si="68"/>
        <v>168522.07</v>
      </c>
      <c r="Z191" s="37">
        <f t="shared" si="69"/>
        <v>0.85010399999999997</v>
      </c>
      <c r="AA191" s="61">
        <v>70067</v>
      </c>
      <c r="AB191" s="37">
        <f t="shared" si="70"/>
        <v>0.571017</v>
      </c>
      <c r="AC191" s="37">
        <f t="shared" si="89"/>
        <v>0.233622</v>
      </c>
      <c r="AD191" s="55">
        <f t="shared" si="81"/>
        <v>0.233622</v>
      </c>
      <c r="AE191" s="38">
        <f t="shared" si="93"/>
        <v>0</v>
      </c>
      <c r="AF191" s="58">
        <f t="shared" si="82"/>
        <v>0.233622</v>
      </c>
      <c r="AG191">
        <v>0</v>
      </c>
      <c r="AH191" s="61">
        <v>0</v>
      </c>
      <c r="AI191" s="11">
        <f t="shared" si="83"/>
        <v>0</v>
      </c>
      <c r="AJ191">
        <v>0</v>
      </c>
      <c r="AK191" s="67"/>
      <c r="AL191" s="11">
        <f t="shared" si="84"/>
        <v>0</v>
      </c>
      <c r="AM191" s="11">
        <f t="shared" si="94"/>
        <v>4751093</v>
      </c>
      <c r="AN191" s="11">
        <f t="shared" si="85"/>
        <v>4751093</v>
      </c>
      <c r="AO191" s="61">
        <v>5225299</v>
      </c>
      <c r="AP191" s="11">
        <f t="shared" si="86"/>
        <v>0</v>
      </c>
      <c r="AQ191" s="56" t="str">
        <f t="shared" si="87"/>
        <v>No</v>
      </c>
      <c r="AR191" s="35">
        <f>IF(AQ191="Yes",+AP191*$I$9,0)</f>
        <v>0</v>
      </c>
      <c r="AS191" s="35">
        <f t="shared" si="88"/>
        <v>5225299</v>
      </c>
      <c r="AT191"/>
      <c r="AU191" s="35"/>
      <c r="AV191" s="53"/>
      <c r="AW191" s="35"/>
      <c r="AX191" s="21"/>
      <c r="AZ191" s="21"/>
      <c r="BA191" s="21"/>
      <c r="BE191" s="21"/>
      <c r="BF191" s="21"/>
      <c r="BG191" s="21"/>
      <c r="BH191" s="21"/>
      <c r="BI191" s="21"/>
    </row>
    <row r="192" spans="1:61" ht="15.75" customHeight="1" x14ac:dyDescent="0.5">
      <c r="A192" s="8"/>
      <c r="B192" s="25"/>
      <c r="C192" s="25"/>
      <c r="D192">
        <v>53</v>
      </c>
      <c r="E192" s="8">
        <v>166</v>
      </c>
      <c r="F192" s="3" t="s">
        <v>253</v>
      </c>
      <c r="G192" s="54"/>
      <c r="H192">
        <v>2314.69</v>
      </c>
      <c r="I192" s="62"/>
      <c r="J192">
        <v>649</v>
      </c>
      <c r="K192" s="60">
        <f t="shared" si="73"/>
        <v>194.7</v>
      </c>
      <c r="L192" s="60">
        <f t="shared" si="74"/>
        <v>1388.81</v>
      </c>
      <c r="M192" s="60">
        <f t="shared" si="75"/>
        <v>0</v>
      </c>
      <c r="N192" s="60">
        <f t="shared" si="76"/>
        <v>0</v>
      </c>
      <c r="O192" s="51">
        <f t="shared" si="77"/>
        <v>0.28000000000000003</v>
      </c>
      <c r="P192" s="51">
        <f t="shared" si="90"/>
        <v>0</v>
      </c>
      <c r="Q192" s="34">
        <f t="shared" si="91"/>
        <v>0</v>
      </c>
      <c r="R192" s="34">
        <f t="shared" si="78"/>
        <v>0</v>
      </c>
      <c r="S192">
        <v>90</v>
      </c>
      <c r="T192" s="60">
        <f t="shared" si="79"/>
        <v>22.5</v>
      </c>
      <c r="U192" s="36">
        <f t="shared" si="92"/>
        <v>194.7</v>
      </c>
      <c r="V192" s="9">
        <f t="shared" si="80"/>
        <v>2531.89</v>
      </c>
      <c r="W192" s="60">
        <v>1866305950.6700001</v>
      </c>
      <c r="X192" s="61">
        <v>16587</v>
      </c>
      <c r="Y192" s="17">
        <f t="shared" si="68"/>
        <v>112516.18</v>
      </c>
      <c r="Z192" s="37">
        <f t="shared" si="69"/>
        <v>0.56758399999999998</v>
      </c>
      <c r="AA192" s="61">
        <v>95257</v>
      </c>
      <c r="AB192" s="37">
        <f t="shared" si="70"/>
        <v>0.77630600000000005</v>
      </c>
      <c r="AC192" s="37">
        <f t="shared" si="89"/>
        <v>0.36979899999999999</v>
      </c>
      <c r="AD192" s="55">
        <f t="shared" si="81"/>
        <v>0.36979899999999999</v>
      </c>
      <c r="AE192" s="38">
        <f t="shared" si="93"/>
        <v>0</v>
      </c>
      <c r="AF192" s="58">
        <f t="shared" si="82"/>
        <v>0.36979899999999999</v>
      </c>
      <c r="AG192">
        <v>0</v>
      </c>
      <c r="AH192" s="61">
        <v>0</v>
      </c>
      <c r="AI192" s="11">
        <f t="shared" si="83"/>
        <v>0</v>
      </c>
      <c r="AJ192">
        <v>0</v>
      </c>
      <c r="AK192" s="67"/>
      <c r="AL192" s="11">
        <f t="shared" si="84"/>
        <v>0</v>
      </c>
      <c r="AM192" s="11">
        <f t="shared" si="94"/>
        <v>10790747</v>
      </c>
      <c r="AN192" s="11">
        <f t="shared" si="85"/>
        <v>10790747</v>
      </c>
      <c r="AO192" s="61">
        <v>12387171</v>
      </c>
      <c r="AP192" s="11">
        <f t="shared" si="86"/>
        <v>0</v>
      </c>
      <c r="AQ192" s="56" t="str">
        <f t="shared" si="87"/>
        <v>No</v>
      </c>
      <c r="AR192" s="35">
        <f>IF(AQ192="Yes",+AP192*$I$9,0)</f>
        <v>0</v>
      </c>
      <c r="AS192" s="35">
        <f t="shared" si="88"/>
        <v>12387171</v>
      </c>
      <c r="AT192"/>
      <c r="AU192" s="35"/>
      <c r="AV192" s="53"/>
      <c r="AW192" s="35"/>
      <c r="AX192" s="21"/>
      <c r="AZ192" s="21"/>
      <c r="BA192" s="21"/>
      <c r="BE192" s="21"/>
      <c r="BF192" s="21"/>
      <c r="BG192" s="21"/>
      <c r="BH192" s="21"/>
      <c r="BI192" s="21"/>
    </row>
    <row r="193" spans="1:61" ht="14.35" x14ac:dyDescent="0.5">
      <c r="A193" s="8"/>
      <c r="B193" s="25"/>
      <c r="C193" s="25"/>
      <c r="D193">
        <v>120</v>
      </c>
      <c r="E193" s="8">
        <v>167</v>
      </c>
      <c r="F193" s="3" t="s">
        <v>254</v>
      </c>
      <c r="G193" s="54"/>
      <c r="H193">
        <v>1556.94</v>
      </c>
      <c r="I193" s="62"/>
      <c r="J193">
        <v>216</v>
      </c>
      <c r="K193" s="60">
        <f t="shared" si="73"/>
        <v>64.8</v>
      </c>
      <c r="L193" s="60">
        <f t="shared" si="74"/>
        <v>934.16</v>
      </c>
      <c r="M193" s="60">
        <f t="shared" si="75"/>
        <v>0</v>
      </c>
      <c r="N193" s="60">
        <f t="shared" si="76"/>
        <v>0</v>
      </c>
      <c r="O193" s="51">
        <f t="shared" si="77"/>
        <v>0.14000000000000001</v>
      </c>
      <c r="P193" s="51">
        <f t="shared" si="90"/>
        <v>0</v>
      </c>
      <c r="Q193" s="34">
        <f t="shared" si="91"/>
        <v>0</v>
      </c>
      <c r="R193" s="34">
        <f t="shared" si="78"/>
        <v>0</v>
      </c>
      <c r="S193">
        <v>35</v>
      </c>
      <c r="T193" s="60">
        <f t="shared" si="79"/>
        <v>8.75</v>
      </c>
      <c r="U193" s="36">
        <f t="shared" si="92"/>
        <v>64.8</v>
      </c>
      <c r="V193" s="9">
        <f t="shared" si="80"/>
        <v>1630.49</v>
      </c>
      <c r="W193" s="60">
        <v>1649435144.3299999</v>
      </c>
      <c r="X193" s="61">
        <v>8750</v>
      </c>
      <c r="Y193" s="17">
        <f t="shared" si="68"/>
        <v>188506.87</v>
      </c>
      <c r="Z193" s="37">
        <f t="shared" si="69"/>
        <v>0.95091700000000001</v>
      </c>
      <c r="AA193" s="61">
        <v>157610</v>
      </c>
      <c r="AB193" s="37">
        <f t="shared" si="70"/>
        <v>1.284457</v>
      </c>
      <c r="AC193" s="37">
        <f t="shared" si="89"/>
        <v>-5.0978999999999997E-2</v>
      </c>
      <c r="AD193" s="55">
        <f t="shared" si="81"/>
        <v>0.01</v>
      </c>
      <c r="AE193" s="38">
        <f t="shared" si="93"/>
        <v>0</v>
      </c>
      <c r="AF193" s="58">
        <f t="shared" si="82"/>
        <v>0.01</v>
      </c>
      <c r="AG193">
        <v>702</v>
      </c>
      <c r="AH193" s="61">
        <v>6</v>
      </c>
      <c r="AI193" s="11">
        <f t="shared" si="83"/>
        <v>421200</v>
      </c>
      <c r="AJ193">
        <v>0</v>
      </c>
      <c r="AK193" s="67"/>
      <c r="AL193" s="11">
        <f t="shared" si="84"/>
        <v>0</v>
      </c>
      <c r="AM193" s="11">
        <f t="shared" si="94"/>
        <v>187914</v>
      </c>
      <c r="AN193" s="11">
        <f t="shared" si="85"/>
        <v>609114</v>
      </c>
      <c r="AO193" s="61">
        <v>471575</v>
      </c>
      <c r="AP193" s="11">
        <f t="shared" si="86"/>
        <v>137539</v>
      </c>
      <c r="AQ193" s="56" t="str">
        <f t="shared" si="87"/>
        <v>Yes</v>
      </c>
      <c r="AR193" s="35">
        <f>IF(AQ193="Yes",+AP193*$I$9,0)</f>
        <v>22927.7513</v>
      </c>
      <c r="AS193" s="35">
        <f t="shared" si="88"/>
        <v>494502.7513</v>
      </c>
      <c r="AT193"/>
      <c r="AU193" s="35"/>
      <c r="AV193" s="53"/>
      <c r="AW193" s="35"/>
      <c r="AX193" s="21"/>
      <c r="AZ193" s="21"/>
      <c r="BA193" s="21"/>
      <c r="BE193" s="21"/>
      <c r="BF193" s="21"/>
      <c r="BG193" s="21"/>
      <c r="BH193" s="21"/>
      <c r="BI193" s="21"/>
    </row>
    <row r="194" spans="1:61" ht="14.35" x14ac:dyDescent="0.5">
      <c r="A194" s="8"/>
      <c r="B194" s="25"/>
      <c r="C194" s="25"/>
      <c r="D194">
        <v>115</v>
      </c>
      <c r="E194" s="8">
        <v>168</v>
      </c>
      <c r="F194" s="3" t="s">
        <v>255</v>
      </c>
      <c r="G194" s="54"/>
      <c r="H194">
        <v>998.62</v>
      </c>
      <c r="I194" s="62"/>
      <c r="J194">
        <v>198</v>
      </c>
      <c r="K194" s="60">
        <f t="shared" si="73"/>
        <v>59.4</v>
      </c>
      <c r="L194" s="60">
        <f t="shared" si="74"/>
        <v>599.16999999999996</v>
      </c>
      <c r="M194" s="60">
        <f t="shared" si="75"/>
        <v>0</v>
      </c>
      <c r="N194" s="60">
        <f t="shared" si="76"/>
        <v>0</v>
      </c>
      <c r="O194" s="51">
        <f t="shared" si="77"/>
        <v>0.2</v>
      </c>
      <c r="P194" s="51">
        <f t="shared" si="90"/>
        <v>0</v>
      </c>
      <c r="Q194" s="34">
        <f t="shared" si="91"/>
        <v>0</v>
      </c>
      <c r="R194" s="34">
        <f t="shared" si="78"/>
        <v>0</v>
      </c>
      <c r="S194">
        <v>21</v>
      </c>
      <c r="T194" s="60">
        <f t="shared" si="79"/>
        <v>5.25</v>
      </c>
      <c r="U194" s="36">
        <f t="shared" si="92"/>
        <v>59.4</v>
      </c>
      <c r="V194" s="9">
        <f t="shared" si="80"/>
        <v>1063.27</v>
      </c>
      <c r="W194" s="60">
        <v>1568478141</v>
      </c>
      <c r="X194" s="61">
        <v>9502</v>
      </c>
      <c r="Y194" s="17">
        <f t="shared" si="68"/>
        <v>165068.21</v>
      </c>
      <c r="Z194" s="37">
        <f t="shared" si="69"/>
        <v>0.832681</v>
      </c>
      <c r="AA194" s="61">
        <v>81362</v>
      </c>
      <c r="AB194" s="37">
        <f t="shared" si="70"/>
        <v>0.66306699999999996</v>
      </c>
      <c r="AC194" s="37">
        <f t="shared" si="89"/>
        <v>0.21820300000000001</v>
      </c>
      <c r="AD194" s="55">
        <f t="shared" si="81"/>
        <v>0.21820300000000001</v>
      </c>
      <c r="AE194" s="38">
        <f t="shared" si="93"/>
        <v>0</v>
      </c>
      <c r="AF194" s="58">
        <f t="shared" si="82"/>
        <v>0.21820300000000001</v>
      </c>
      <c r="AG194">
        <v>998</v>
      </c>
      <c r="AH194" s="61">
        <v>13</v>
      </c>
      <c r="AI194" s="11">
        <f t="shared" si="83"/>
        <v>1297400</v>
      </c>
      <c r="AJ194">
        <v>0</v>
      </c>
      <c r="AL194" s="11">
        <f t="shared" si="84"/>
        <v>0</v>
      </c>
      <c r="AM194" s="11">
        <f t="shared" si="94"/>
        <v>2673900</v>
      </c>
      <c r="AN194" s="11">
        <f t="shared" si="85"/>
        <v>3971300</v>
      </c>
      <c r="AO194" s="61">
        <v>1829558</v>
      </c>
      <c r="AP194" s="11">
        <f t="shared" si="86"/>
        <v>2141742</v>
      </c>
      <c r="AQ194" s="56" t="str">
        <f t="shared" si="87"/>
        <v>Yes</v>
      </c>
      <c r="AR194" s="35">
        <f>IF(AQ194="Yes",+AP194*$I$9,0)</f>
        <v>357028.39139999996</v>
      </c>
      <c r="AS194" s="35">
        <f t="shared" si="88"/>
        <v>2186586.3914000001</v>
      </c>
      <c r="AT194"/>
      <c r="AU194" s="35"/>
      <c r="AV194" s="53"/>
      <c r="AW194" s="35"/>
      <c r="AX194" s="21"/>
      <c r="AZ194" s="21"/>
      <c r="BA194" s="21"/>
      <c r="BE194" s="21"/>
      <c r="BF194" s="21"/>
      <c r="BG194" s="21"/>
      <c r="BH194" s="21"/>
      <c r="BI194" s="21"/>
    </row>
    <row r="195" spans="1:61" ht="14.35" x14ac:dyDescent="0.5">
      <c r="A195" s="8"/>
      <c r="B195" s="25"/>
      <c r="C195" s="25"/>
      <c r="D195">
        <v>108</v>
      </c>
      <c r="E195" s="8">
        <v>169</v>
      </c>
      <c r="F195" s="3" t="s">
        <v>256</v>
      </c>
      <c r="G195" s="54"/>
      <c r="H195">
        <v>1246.8599999999999</v>
      </c>
      <c r="I195" s="62"/>
      <c r="J195">
        <v>170</v>
      </c>
      <c r="K195" s="60">
        <f t="shared" si="73"/>
        <v>51</v>
      </c>
      <c r="L195" s="60">
        <f t="shared" si="74"/>
        <v>748.12</v>
      </c>
      <c r="M195" s="60">
        <f t="shared" si="75"/>
        <v>0</v>
      </c>
      <c r="N195" s="60">
        <f t="shared" si="76"/>
        <v>0</v>
      </c>
      <c r="O195" s="51">
        <f t="shared" si="77"/>
        <v>0.14000000000000001</v>
      </c>
      <c r="P195" s="51">
        <f t="shared" si="90"/>
        <v>0</v>
      </c>
      <c r="Q195" s="34">
        <f t="shared" si="91"/>
        <v>0</v>
      </c>
      <c r="R195" s="34">
        <f t="shared" si="78"/>
        <v>0</v>
      </c>
      <c r="S195">
        <v>8</v>
      </c>
      <c r="T195" s="60">
        <f t="shared" si="79"/>
        <v>2</v>
      </c>
      <c r="U195" s="36">
        <f t="shared" si="92"/>
        <v>51</v>
      </c>
      <c r="V195" s="9">
        <f t="shared" si="80"/>
        <v>1299.8599999999999</v>
      </c>
      <c r="W195" s="60">
        <v>1171481067.3299999</v>
      </c>
      <c r="X195" s="61">
        <v>7858</v>
      </c>
      <c r="Y195" s="17">
        <f t="shared" si="68"/>
        <v>149081.32999999999</v>
      </c>
      <c r="Z195" s="37">
        <f t="shared" si="69"/>
        <v>0.75203600000000004</v>
      </c>
      <c r="AA195" s="61">
        <v>86821</v>
      </c>
      <c r="AB195" s="37">
        <f t="shared" si="70"/>
        <v>0.70755599999999996</v>
      </c>
      <c r="AC195" s="37">
        <f t="shared" si="89"/>
        <v>0.26130799999999998</v>
      </c>
      <c r="AD195" s="55">
        <f t="shared" si="81"/>
        <v>0.26130799999999998</v>
      </c>
      <c r="AE195" s="38">
        <f t="shared" si="93"/>
        <v>0</v>
      </c>
      <c r="AF195" s="58">
        <f t="shared" si="82"/>
        <v>0.26130799999999998</v>
      </c>
      <c r="AG195">
        <v>0</v>
      </c>
      <c r="AH195" s="65">
        <v>0</v>
      </c>
      <c r="AI195" s="11">
        <f t="shared" si="83"/>
        <v>0</v>
      </c>
      <c r="AJ195">
        <v>437</v>
      </c>
      <c r="AK195" s="67">
        <v>4</v>
      </c>
      <c r="AL195" s="11">
        <f t="shared" si="84"/>
        <v>174800</v>
      </c>
      <c r="AM195" s="11">
        <f t="shared" si="94"/>
        <v>3914625</v>
      </c>
      <c r="AN195" s="11">
        <f t="shared" si="85"/>
        <v>4089425</v>
      </c>
      <c r="AO195" s="61">
        <v>4990532</v>
      </c>
      <c r="AP195" s="11">
        <f t="shared" si="86"/>
        <v>0</v>
      </c>
      <c r="AQ195" s="56" t="str">
        <f t="shared" si="87"/>
        <v>No</v>
      </c>
      <c r="AR195" s="35">
        <f>IF(AQ195="Yes",+AP195*$I$9,0)</f>
        <v>0</v>
      </c>
      <c r="AS195" s="35">
        <f t="shared" si="88"/>
        <v>4990532</v>
      </c>
      <c r="AT195"/>
      <c r="AU195" s="35"/>
      <c r="AV195" s="53"/>
      <c r="AW195" s="35"/>
      <c r="AX195" s="21"/>
      <c r="AZ195" s="21"/>
      <c r="BA195" s="21"/>
      <c r="BE195" s="21"/>
      <c r="BF195" s="21"/>
      <c r="BG195" s="21"/>
      <c r="BH195" s="21"/>
      <c r="BI195" s="21"/>
    </row>
    <row r="196" spans="1:61" ht="14.35" x14ac:dyDescent="0.5">
      <c r="W196" s="1"/>
      <c r="Y196" s="1"/>
      <c r="AG196" s="11"/>
      <c r="AK196" s="67"/>
    </row>
    <row r="197" spans="1:61" ht="15.75" customHeight="1" x14ac:dyDescent="0.4">
      <c r="A197" s="8"/>
      <c r="B197" s="25"/>
      <c r="C197" s="25"/>
      <c r="D197" s="39"/>
      <c r="E197" s="8"/>
      <c r="G197" s="54"/>
      <c r="H197" s="39"/>
      <c r="I197" s="59"/>
      <c r="J197" s="39"/>
      <c r="K197" s="39"/>
      <c r="L197" s="39"/>
      <c r="M197" s="39"/>
      <c r="N197" s="39"/>
      <c r="O197" s="51"/>
      <c r="P197" s="51"/>
      <c r="Q197" s="35"/>
      <c r="R197" s="35"/>
      <c r="S197" s="39"/>
      <c r="T197" s="39"/>
      <c r="U197" s="36"/>
      <c r="V197" s="9"/>
      <c r="W197" s="39"/>
      <c r="X197" s="39"/>
      <c r="Y197" s="17"/>
      <c r="Z197" s="37"/>
      <c r="AA197" s="39"/>
      <c r="AB197" s="37"/>
      <c r="AC197" s="37"/>
      <c r="AD197" s="55"/>
      <c r="AE197" s="38"/>
      <c r="AF197" s="58"/>
      <c r="AG197" s="39"/>
      <c r="AH197" s="39"/>
      <c r="AI197" s="39"/>
      <c r="AL197" s="11"/>
      <c r="AM197" s="11"/>
      <c r="AN197" s="11"/>
      <c r="AO197" s="11"/>
      <c r="AP197" s="11"/>
      <c r="AQ197" s="11"/>
      <c r="AR197" s="35"/>
      <c r="AS197" s="35"/>
      <c r="AT197" s="52"/>
      <c r="AU197" s="35"/>
      <c r="AV197" s="53"/>
      <c r="AW197" s="35"/>
      <c r="AX197" s="21"/>
      <c r="AZ197" s="21"/>
      <c r="BA197" s="21"/>
      <c r="BE197" s="21"/>
      <c r="BF197" s="21"/>
      <c r="BG197" s="21"/>
      <c r="BH197" s="21"/>
      <c r="BI197" s="21"/>
    </row>
    <row r="198" spans="1:61" x14ac:dyDescent="0.4">
      <c r="H198" s="9"/>
      <c r="I198" s="9"/>
      <c r="V198" s="9"/>
      <c r="AG198" s="11"/>
    </row>
    <row r="199" spans="1:61" x14ac:dyDescent="0.4">
      <c r="H199" s="9"/>
      <c r="I199" s="9"/>
      <c r="V199" s="9"/>
      <c r="AG199" s="11"/>
    </row>
    <row r="200" spans="1:61" x14ac:dyDescent="0.4">
      <c r="H200" s="9"/>
      <c r="I200" s="9"/>
      <c r="V200" s="9"/>
      <c r="AG200" s="11"/>
    </row>
    <row r="201" spans="1:61" x14ac:dyDescent="0.4">
      <c r="H201" s="9"/>
      <c r="I201" s="9"/>
      <c r="V201" s="9"/>
    </row>
    <row r="202" spans="1:61" x14ac:dyDescent="0.4">
      <c r="H202" s="9"/>
      <c r="I202" s="9"/>
      <c r="V202" s="9"/>
    </row>
    <row r="203" spans="1:61" x14ac:dyDescent="0.4">
      <c r="H203" s="9"/>
      <c r="I203" s="9"/>
      <c r="V203" s="9"/>
    </row>
    <row r="204" spans="1:61" x14ac:dyDescent="0.4">
      <c r="H204" s="9"/>
      <c r="I204" s="9"/>
      <c r="V204" s="9"/>
    </row>
    <row r="205" spans="1:61" x14ac:dyDescent="0.4">
      <c r="H205" s="9"/>
      <c r="I205" s="9"/>
      <c r="V205" s="9"/>
    </row>
    <row r="206" spans="1:61" x14ac:dyDescent="0.4">
      <c r="A206" s="1"/>
      <c r="B206" s="1"/>
      <c r="C206" s="1"/>
      <c r="D206" s="1"/>
      <c r="E206" s="1"/>
      <c r="F206" s="1"/>
      <c r="G206" s="1"/>
      <c r="H206" s="9"/>
      <c r="I206" s="9"/>
      <c r="V206" s="9"/>
    </row>
    <row r="207" spans="1:61" x14ac:dyDescent="0.4">
      <c r="A207" s="1"/>
      <c r="B207" s="1"/>
      <c r="C207" s="1"/>
      <c r="D207" s="1"/>
      <c r="E207" s="1"/>
      <c r="F207" s="1"/>
      <c r="G207" s="1"/>
      <c r="H207" s="9"/>
      <c r="I207" s="9"/>
      <c r="V207" s="9"/>
    </row>
    <row r="208" spans="1:61" x14ac:dyDescent="0.4">
      <c r="A208" s="1"/>
      <c r="B208" s="1"/>
      <c r="C208" s="1"/>
      <c r="D208" s="1"/>
      <c r="E208" s="1"/>
      <c r="F208" s="1"/>
      <c r="G208" s="1"/>
      <c r="H208" s="9"/>
      <c r="I208" s="9"/>
      <c r="V208" s="9"/>
    </row>
    <row r="209" spans="1:49" x14ac:dyDescent="0.4">
      <c r="A209" s="1"/>
      <c r="B209" s="1"/>
      <c r="C209" s="1"/>
      <c r="D209" s="1"/>
      <c r="E209" s="1"/>
      <c r="F209" s="1"/>
      <c r="G209" s="1"/>
      <c r="H209" s="9"/>
      <c r="I209" s="9"/>
      <c r="V209" s="9"/>
      <c r="AU209" s="1"/>
      <c r="AV209" s="1"/>
      <c r="AW209" s="1"/>
    </row>
    <row r="210" spans="1:49" x14ac:dyDescent="0.4">
      <c r="A210" s="1"/>
      <c r="B210" s="1"/>
      <c r="C210" s="1"/>
      <c r="D210" s="1"/>
      <c r="E210" s="1"/>
      <c r="F210" s="1"/>
      <c r="G210" s="1"/>
      <c r="H210" s="9"/>
      <c r="I210" s="9"/>
      <c r="AU210" s="1"/>
      <c r="AV210" s="1"/>
      <c r="AW210" s="1"/>
    </row>
    <row r="211" spans="1:49" x14ac:dyDescent="0.4">
      <c r="A211" s="1"/>
      <c r="B211" s="1"/>
      <c r="C211" s="1"/>
      <c r="D211" s="1"/>
      <c r="E211" s="1"/>
      <c r="F211" s="1"/>
      <c r="G211" s="1"/>
      <c r="H211" s="9"/>
      <c r="I211" s="9"/>
      <c r="AU211" s="1"/>
      <c r="AV211" s="1"/>
      <c r="AW211" s="1"/>
    </row>
    <row r="212" spans="1:49" x14ac:dyDescent="0.4">
      <c r="A212" s="1"/>
      <c r="B212" s="1"/>
      <c r="C212" s="1"/>
      <c r="D212" s="1"/>
      <c r="E212" s="1"/>
      <c r="F212" s="1"/>
      <c r="G212" s="1"/>
      <c r="H212" s="9"/>
      <c r="I212" s="9"/>
      <c r="AU212" s="1"/>
      <c r="AV212" s="1"/>
      <c r="AW212" s="1"/>
    </row>
    <row r="213" spans="1:49" x14ac:dyDescent="0.4">
      <c r="A213" s="1"/>
      <c r="B213" s="1"/>
      <c r="C213" s="1"/>
      <c r="D213" s="1"/>
      <c r="E213" s="1"/>
      <c r="F213" s="1"/>
      <c r="G213" s="1"/>
      <c r="H213" s="9"/>
      <c r="I213" s="9"/>
      <c r="AU213" s="1"/>
      <c r="AV213" s="1"/>
      <c r="AW213" s="1"/>
    </row>
    <row r="214" spans="1:49" x14ac:dyDescent="0.4">
      <c r="A214" s="1"/>
      <c r="B214" s="1"/>
      <c r="C214" s="1"/>
      <c r="D214" s="1"/>
      <c r="E214" s="1"/>
      <c r="F214" s="1"/>
      <c r="G214" s="1"/>
      <c r="H214" s="9"/>
      <c r="I214" s="9"/>
      <c r="AU214" s="1"/>
      <c r="AV214" s="1"/>
      <c r="AW214" s="1"/>
    </row>
    <row r="215" spans="1:49" x14ac:dyDescent="0.4">
      <c r="A215" s="1"/>
      <c r="B215" s="1"/>
      <c r="C215" s="1"/>
      <c r="D215" s="1"/>
      <c r="E215" s="1"/>
      <c r="F215" s="1"/>
      <c r="G215" s="1"/>
      <c r="H215" s="9"/>
      <c r="I215" s="9"/>
      <c r="AU215" s="1"/>
      <c r="AV215" s="1"/>
      <c r="AW215" s="1"/>
    </row>
    <row r="216" spans="1:49" x14ac:dyDescent="0.4">
      <c r="A216" s="1"/>
      <c r="B216" s="1"/>
      <c r="C216" s="1"/>
      <c r="D216" s="1"/>
      <c r="E216" s="1"/>
      <c r="F216" s="1"/>
      <c r="G216" s="1"/>
      <c r="H216" s="9"/>
      <c r="I216" s="9"/>
      <c r="AU216" s="1"/>
      <c r="AV216" s="1"/>
      <c r="AW216" s="1"/>
    </row>
    <row r="217" spans="1:49" x14ac:dyDescent="0.4">
      <c r="A217" s="1"/>
      <c r="B217" s="1"/>
      <c r="C217" s="1"/>
      <c r="D217" s="1"/>
      <c r="E217" s="1"/>
      <c r="F217" s="1"/>
      <c r="G217" s="1"/>
      <c r="H217" s="9"/>
      <c r="I217" s="9"/>
      <c r="AU217" s="1"/>
      <c r="AV217" s="1"/>
      <c r="AW217" s="1"/>
    </row>
    <row r="218" spans="1:49" x14ac:dyDescent="0.4">
      <c r="A218" s="1"/>
      <c r="B218" s="1"/>
      <c r="C218" s="1"/>
      <c r="D218" s="1"/>
      <c r="E218" s="1"/>
      <c r="F218" s="1"/>
      <c r="G218" s="1"/>
      <c r="H218" s="9"/>
      <c r="I218" s="9"/>
      <c r="AU218" s="1"/>
      <c r="AV218" s="1"/>
      <c r="AW218" s="1"/>
    </row>
    <row r="219" spans="1:49" x14ac:dyDescent="0.4">
      <c r="A219" s="1"/>
      <c r="B219" s="1"/>
      <c r="C219" s="1"/>
      <c r="D219" s="1"/>
      <c r="E219" s="1"/>
      <c r="F219" s="1"/>
      <c r="G219" s="1"/>
      <c r="H219" s="9"/>
      <c r="I219" s="9"/>
      <c r="AU219" s="1"/>
      <c r="AV219" s="1"/>
      <c r="AW219" s="1"/>
    </row>
    <row r="220" spans="1:49" x14ac:dyDescent="0.4">
      <c r="A220" s="1"/>
      <c r="B220" s="1"/>
      <c r="C220" s="1"/>
      <c r="D220" s="1"/>
      <c r="E220" s="1"/>
      <c r="F220" s="1"/>
      <c r="G220" s="1"/>
      <c r="H220" s="9"/>
      <c r="I220" s="9"/>
      <c r="AU220" s="1"/>
      <c r="AV220" s="1"/>
      <c r="AW220" s="1"/>
    </row>
    <row r="221" spans="1:49" x14ac:dyDescent="0.4">
      <c r="A221" s="1"/>
      <c r="B221" s="1"/>
      <c r="C221" s="1"/>
      <c r="D221" s="1"/>
      <c r="E221" s="1"/>
      <c r="F221" s="1"/>
      <c r="G221" s="1"/>
      <c r="H221" s="9"/>
      <c r="I221" s="9"/>
      <c r="AU221" s="1"/>
      <c r="AV221" s="1"/>
      <c r="AW221" s="1"/>
    </row>
    <row r="222" spans="1:49" s="3" customFormat="1" x14ac:dyDescent="0.4">
      <c r="H222" s="9"/>
      <c r="I222" s="9"/>
      <c r="AT222" s="69"/>
    </row>
    <row r="223" spans="1:49" s="3" customFormat="1" x14ac:dyDescent="0.4">
      <c r="H223" s="9"/>
      <c r="I223" s="9"/>
      <c r="AT223" s="69"/>
    </row>
    <row r="224" spans="1:49" s="3" customFormat="1" x14ac:dyDescent="0.4">
      <c r="H224" s="9"/>
      <c r="I224" s="9"/>
      <c r="AT224" s="69"/>
    </row>
    <row r="225" spans="1:49" s="3" customFormat="1" x14ac:dyDescent="0.4">
      <c r="H225" s="9"/>
      <c r="I225" s="9"/>
      <c r="AT225" s="69"/>
    </row>
    <row r="226" spans="1:49" s="3" customFormat="1" x14ac:dyDescent="0.4">
      <c r="H226" s="9"/>
      <c r="I226" s="9"/>
      <c r="AT226" s="69"/>
    </row>
    <row r="227" spans="1:49" s="3" customFormat="1" x14ac:dyDescent="0.4">
      <c r="H227" s="9"/>
      <c r="I227" s="9"/>
      <c r="AT227" s="69"/>
    </row>
    <row r="228" spans="1:49" s="3" customFormat="1" x14ac:dyDescent="0.4">
      <c r="H228" s="9"/>
      <c r="I228" s="9"/>
      <c r="AT228" s="69"/>
    </row>
    <row r="229" spans="1:49" s="3" customFormat="1" x14ac:dyDescent="0.4">
      <c r="H229" s="9"/>
      <c r="I229" s="9"/>
      <c r="AT229" s="69"/>
    </row>
    <row r="230" spans="1:49" s="3" customFormat="1" x14ac:dyDescent="0.4">
      <c r="A230" s="1"/>
      <c r="H230" s="9"/>
      <c r="I230" s="9"/>
      <c r="AT230" s="69"/>
    </row>
    <row r="231" spans="1:49" s="3" customFormat="1" x14ac:dyDescent="0.4">
      <c r="A231" s="1"/>
      <c r="H231" s="9"/>
      <c r="I231" s="9"/>
      <c r="AT231" s="69"/>
    </row>
    <row r="232" spans="1:49" s="3" customFormat="1" x14ac:dyDescent="0.4">
      <c r="A232" s="1"/>
      <c r="H232" s="9"/>
      <c r="I232" s="9"/>
      <c r="AT232" s="69"/>
    </row>
    <row r="233" spans="1:49" s="3" customFormat="1" x14ac:dyDescent="0.4">
      <c r="A233" s="1"/>
      <c r="H233" s="9"/>
      <c r="I233" s="9"/>
      <c r="AT233" s="69"/>
    </row>
    <row r="234" spans="1:49" s="3" customFormat="1" x14ac:dyDescent="0.4">
      <c r="H234" s="9"/>
      <c r="I234" s="9"/>
      <c r="AT234" s="69"/>
    </row>
    <row r="235" spans="1:49" s="3" customFormat="1" x14ac:dyDescent="0.4">
      <c r="H235" s="9"/>
      <c r="I235" s="9"/>
      <c r="AT235" s="69"/>
    </row>
    <row r="236" spans="1:49" s="3" customFormat="1" x14ac:dyDescent="0.4">
      <c r="H236" s="9"/>
      <c r="I236" s="9"/>
      <c r="AT236" s="69"/>
    </row>
    <row r="237" spans="1:49" s="3" customFormat="1" x14ac:dyDescent="0.4">
      <c r="H237" s="9"/>
      <c r="I237" s="9"/>
      <c r="AT237" s="69"/>
    </row>
    <row r="238" spans="1:49" x14ac:dyDescent="0.4">
      <c r="A238" s="1"/>
      <c r="B238" s="1"/>
      <c r="C238" s="1"/>
      <c r="D238" s="1"/>
      <c r="E238" s="1"/>
      <c r="F238" s="1"/>
      <c r="G238" s="1"/>
      <c r="H238" s="9"/>
      <c r="I238" s="9"/>
      <c r="AU238" s="1"/>
      <c r="AV238" s="1"/>
      <c r="AW238" s="1"/>
    </row>
    <row r="239" spans="1:49" x14ac:dyDescent="0.4">
      <c r="A239" s="1"/>
      <c r="B239" s="1"/>
      <c r="C239" s="1"/>
      <c r="D239" s="1"/>
      <c r="E239" s="1"/>
      <c r="F239" s="1"/>
      <c r="G239" s="1"/>
      <c r="H239" s="9"/>
      <c r="I239" s="9"/>
      <c r="AU239" s="1"/>
      <c r="AV239" s="1"/>
      <c r="AW239" s="1"/>
    </row>
    <row r="240" spans="1:49" x14ac:dyDescent="0.4">
      <c r="A240" s="1"/>
      <c r="B240" s="1"/>
      <c r="C240" s="1"/>
      <c r="D240" s="1"/>
      <c r="E240" s="1"/>
      <c r="F240" s="1"/>
      <c r="G240" s="1"/>
      <c r="H240" s="9"/>
      <c r="I240" s="9"/>
      <c r="AU240" s="1"/>
      <c r="AV240" s="1"/>
      <c r="AW240" s="1"/>
    </row>
    <row r="241" spans="1:49" x14ac:dyDescent="0.4">
      <c r="A241" s="1"/>
      <c r="B241" s="1"/>
      <c r="C241" s="1"/>
      <c r="D241" s="1"/>
      <c r="E241" s="1"/>
      <c r="F241" s="1"/>
      <c r="G241" s="1"/>
      <c r="H241" s="9"/>
      <c r="I241" s="9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21"/>
      <c r="AU241" s="1"/>
      <c r="AV241" s="1"/>
      <c r="AW241" s="1"/>
    </row>
    <row r="242" spans="1:49" x14ac:dyDescent="0.4">
      <c r="A242" s="1"/>
      <c r="B242" s="1"/>
      <c r="C242" s="1"/>
      <c r="D242" s="1"/>
      <c r="E242" s="1"/>
      <c r="F242" s="1"/>
      <c r="G242" s="1"/>
      <c r="H242" s="9"/>
      <c r="I242" s="9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21"/>
      <c r="AU242" s="1"/>
      <c r="AV242" s="1"/>
      <c r="AW242" s="1"/>
    </row>
    <row r="243" spans="1:49" x14ac:dyDescent="0.4">
      <c r="A243" s="1"/>
      <c r="B243" s="1"/>
      <c r="C243" s="1"/>
      <c r="D243" s="1"/>
      <c r="E243" s="1"/>
      <c r="F243" s="1"/>
      <c r="G243" s="1"/>
      <c r="H243" s="9"/>
      <c r="I243" s="9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21"/>
      <c r="AU243" s="1"/>
      <c r="AV243" s="1"/>
      <c r="AW243" s="1"/>
    </row>
    <row r="244" spans="1:49" x14ac:dyDescent="0.4">
      <c r="A244" s="1"/>
      <c r="B244" s="1"/>
      <c r="C244" s="1"/>
      <c r="D244" s="1"/>
      <c r="E244" s="1"/>
      <c r="F244" s="1"/>
      <c r="G244" s="1"/>
      <c r="H244" s="9"/>
      <c r="I244" s="9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21"/>
      <c r="AU244" s="1"/>
      <c r="AV244" s="1"/>
      <c r="AW244" s="1"/>
    </row>
    <row r="245" spans="1:49" x14ac:dyDescent="0.4">
      <c r="A245" s="1"/>
      <c r="B245" s="1"/>
      <c r="C245" s="1"/>
      <c r="D245" s="1"/>
      <c r="E245" s="1"/>
      <c r="F245" s="1"/>
      <c r="G245" s="1"/>
      <c r="H245" s="9"/>
      <c r="I245" s="9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21"/>
      <c r="AU245" s="1"/>
      <c r="AV245" s="1"/>
      <c r="AW245" s="1"/>
    </row>
    <row r="246" spans="1:49" x14ac:dyDescent="0.4">
      <c r="A246" s="1"/>
      <c r="B246" s="1"/>
      <c r="C246" s="1"/>
      <c r="D246" s="1"/>
      <c r="E246" s="1"/>
      <c r="F246" s="1"/>
      <c r="G246" s="1"/>
      <c r="H246" s="9"/>
      <c r="I246" s="9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21"/>
      <c r="AU246" s="1"/>
      <c r="AV246" s="1"/>
      <c r="AW246" s="1"/>
    </row>
    <row r="247" spans="1:49" x14ac:dyDescent="0.4">
      <c r="A247" s="1"/>
      <c r="B247" s="1"/>
      <c r="C247" s="1"/>
      <c r="D247" s="1"/>
      <c r="E247" s="1"/>
      <c r="F247" s="1"/>
      <c r="G247" s="1"/>
      <c r="H247" s="9"/>
      <c r="I247" s="9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21"/>
      <c r="AU247" s="1"/>
      <c r="AV247" s="1"/>
      <c r="AW247" s="1"/>
    </row>
    <row r="248" spans="1:49" x14ac:dyDescent="0.4">
      <c r="A248" s="1"/>
      <c r="B248" s="1"/>
      <c r="C248" s="1"/>
      <c r="D248" s="1"/>
      <c r="E248" s="1"/>
      <c r="F248" s="1"/>
      <c r="G248" s="1"/>
      <c r="H248" s="9"/>
      <c r="I248" s="9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21"/>
      <c r="AU248" s="1"/>
      <c r="AV248" s="1"/>
      <c r="AW248" s="1"/>
    </row>
    <row r="249" spans="1:49" x14ac:dyDescent="0.4">
      <c r="A249" s="1"/>
      <c r="B249" s="1"/>
      <c r="C249" s="1"/>
      <c r="D249" s="1"/>
      <c r="E249" s="1"/>
      <c r="F249" s="1"/>
      <c r="G249" s="1"/>
      <c r="H249" s="9"/>
      <c r="I249" s="9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21"/>
      <c r="AU249" s="1"/>
      <c r="AV249" s="1"/>
      <c r="AW249" s="1"/>
    </row>
    <row r="250" spans="1:49" x14ac:dyDescent="0.4">
      <c r="A250" s="1"/>
      <c r="B250" s="1"/>
      <c r="C250" s="1"/>
      <c r="D250" s="1"/>
      <c r="E250" s="1"/>
      <c r="F250" s="1"/>
      <c r="G250" s="1"/>
      <c r="H250" s="9"/>
      <c r="I250" s="9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21"/>
      <c r="AU250" s="1"/>
      <c r="AV250" s="1"/>
      <c r="AW250" s="1"/>
    </row>
    <row r="251" spans="1:49" x14ac:dyDescent="0.4">
      <c r="A251" s="1"/>
      <c r="B251" s="1"/>
      <c r="C251" s="1"/>
      <c r="D251" s="1"/>
      <c r="E251" s="1"/>
      <c r="F251" s="1"/>
      <c r="G251" s="1"/>
      <c r="H251" s="9"/>
      <c r="I251" s="9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21"/>
      <c r="AU251" s="1"/>
      <c r="AV251" s="1"/>
      <c r="AW251" s="1"/>
    </row>
    <row r="252" spans="1:49" x14ac:dyDescent="0.4">
      <c r="A252" s="1"/>
      <c r="B252" s="1"/>
      <c r="C252" s="1"/>
      <c r="D252" s="1"/>
      <c r="E252" s="1"/>
      <c r="F252" s="1"/>
      <c r="G252" s="1"/>
      <c r="H252" s="9"/>
      <c r="I252" s="9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21"/>
      <c r="AU252" s="1"/>
      <c r="AV252" s="1"/>
      <c r="AW252" s="1"/>
    </row>
    <row r="253" spans="1:49" x14ac:dyDescent="0.4">
      <c r="A253" s="1"/>
      <c r="B253" s="1"/>
      <c r="C253" s="1"/>
      <c r="D253" s="1"/>
      <c r="E253" s="1"/>
      <c r="F253" s="1"/>
      <c r="G253" s="1"/>
      <c r="H253" s="9"/>
      <c r="I253" s="9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21"/>
      <c r="AU253" s="1"/>
      <c r="AV253" s="1"/>
      <c r="AW253" s="1"/>
    </row>
    <row r="254" spans="1:49" x14ac:dyDescent="0.4">
      <c r="A254" s="1"/>
      <c r="B254" s="1"/>
      <c r="C254" s="1"/>
      <c r="D254" s="1"/>
      <c r="E254" s="1"/>
      <c r="F254" s="1"/>
      <c r="G254" s="1"/>
      <c r="H254" s="9"/>
      <c r="I254" s="9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21"/>
      <c r="AU254" s="1"/>
      <c r="AV254" s="1"/>
      <c r="AW254" s="1"/>
    </row>
    <row r="255" spans="1:49" x14ac:dyDescent="0.4">
      <c r="A255" s="1"/>
      <c r="B255" s="1"/>
      <c r="C255" s="1"/>
      <c r="D255" s="1"/>
      <c r="E255" s="1"/>
      <c r="F255" s="1"/>
      <c r="G255" s="1"/>
      <c r="H255" s="9"/>
      <c r="I255" s="9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21"/>
      <c r="AU255" s="1"/>
      <c r="AV255" s="1"/>
      <c r="AW255" s="1"/>
    </row>
    <row r="256" spans="1:49" x14ac:dyDescent="0.4">
      <c r="A256" s="1"/>
      <c r="B256" s="1"/>
      <c r="C256" s="1"/>
      <c r="D256" s="1"/>
      <c r="E256" s="1"/>
      <c r="F256" s="1"/>
      <c r="G256" s="1"/>
      <c r="H256" s="9"/>
      <c r="I256" s="9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21"/>
      <c r="AU256" s="1"/>
      <c r="AV256" s="1"/>
      <c r="AW256" s="1"/>
    </row>
    <row r="257" spans="1:49" x14ac:dyDescent="0.4">
      <c r="A257" s="1"/>
      <c r="B257" s="1"/>
      <c r="C257" s="1"/>
      <c r="D257" s="1"/>
      <c r="E257" s="1"/>
      <c r="F257" s="1"/>
      <c r="G257" s="1"/>
      <c r="H257" s="9"/>
      <c r="I257" s="9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21"/>
      <c r="AU257" s="1"/>
      <c r="AV257" s="1"/>
      <c r="AW257" s="1"/>
    </row>
    <row r="258" spans="1:49" x14ac:dyDescent="0.4">
      <c r="A258" s="1"/>
      <c r="B258" s="1"/>
      <c r="C258" s="1"/>
      <c r="D258" s="1"/>
      <c r="E258" s="1"/>
      <c r="F258" s="1"/>
      <c r="G258" s="1"/>
      <c r="H258" s="9"/>
      <c r="I258" s="9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21"/>
      <c r="AU258" s="1"/>
      <c r="AV258" s="1"/>
      <c r="AW258" s="1"/>
    </row>
    <row r="259" spans="1:49" x14ac:dyDescent="0.4">
      <c r="A259" s="1"/>
      <c r="B259" s="1"/>
      <c r="C259" s="1"/>
      <c r="D259" s="1"/>
      <c r="E259" s="1"/>
      <c r="F259" s="1"/>
      <c r="G259" s="1"/>
      <c r="H259" s="9"/>
      <c r="I259" s="9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21"/>
      <c r="AU259" s="1"/>
      <c r="AV259" s="1"/>
      <c r="AW259" s="1"/>
    </row>
    <row r="260" spans="1:49" x14ac:dyDescent="0.4">
      <c r="A260" s="1"/>
      <c r="B260" s="1"/>
      <c r="C260" s="1"/>
      <c r="D260" s="1"/>
      <c r="E260" s="1"/>
      <c r="F260" s="1"/>
      <c r="G260" s="1"/>
      <c r="H260" s="9"/>
      <c r="I260" s="9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21"/>
      <c r="AU260" s="1"/>
      <c r="AV260" s="1"/>
      <c r="AW260" s="1"/>
    </row>
    <row r="261" spans="1:49" x14ac:dyDescent="0.4">
      <c r="A261" s="1"/>
      <c r="B261" s="1"/>
      <c r="C261" s="1"/>
      <c r="D261" s="1"/>
      <c r="E261" s="1"/>
      <c r="F261" s="1"/>
      <c r="G261" s="1"/>
      <c r="H261" s="9"/>
      <c r="I261" s="9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21"/>
      <c r="AU261" s="1"/>
      <c r="AV261" s="1"/>
      <c r="AW261" s="1"/>
    </row>
    <row r="262" spans="1:49" x14ac:dyDescent="0.4">
      <c r="A262" s="1"/>
      <c r="B262" s="1"/>
      <c r="C262" s="1"/>
      <c r="D262" s="1"/>
      <c r="E262" s="1"/>
      <c r="F262" s="1"/>
      <c r="G262" s="1"/>
      <c r="H262" s="9"/>
      <c r="I262" s="9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21"/>
      <c r="AU262" s="1"/>
      <c r="AV262" s="1"/>
      <c r="AW262" s="1"/>
    </row>
    <row r="263" spans="1:49" x14ac:dyDescent="0.4">
      <c r="A263" s="1"/>
      <c r="B263" s="1"/>
      <c r="C263" s="1"/>
      <c r="D263" s="1"/>
      <c r="E263" s="1"/>
      <c r="F263" s="1"/>
      <c r="G263" s="1"/>
      <c r="H263" s="9"/>
      <c r="I263" s="9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21"/>
      <c r="AU263" s="1"/>
      <c r="AV263" s="1"/>
      <c r="AW263" s="1"/>
    </row>
    <row r="264" spans="1:49" x14ac:dyDescent="0.4">
      <c r="A264" s="1"/>
      <c r="B264" s="1"/>
      <c r="C264" s="1"/>
      <c r="D264" s="1"/>
      <c r="E264" s="1"/>
      <c r="F264" s="1"/>
      <c r="G264" s="1"/>
      <c r="H264" s="9"/>
      <c r="I264" s="9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21"/>
      <c r="AU264" s="1"/>
      <c r="AV264" s="1"/>
      <c r="AW264" s="1"/>
    </row>
    <row r="265" spans="1:49" x14ac:dyDescent="0.4">
      <c r="A265" s="1"/>
      <c r="B265" s="1"/>
      <c r="C265" s="1"/>
      <c r="D265" s="1"/>
      <c r="E265" s="1"/>
      <c r="F265" s="1"/>
      <c r="G265" s="1"/>
      <c r="H265" s="9"/>
      <c r="I265" s="9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21"/>
      <c r="AU265" s="1"/>
      <c r="AV265" s="1"/>
      <c r="AW265" s="1"/>
    </row>
    <row r="266" spans="1:49" x14ac:dyDescent="0.4">
      <c r="A266" s="1"/>
      <c r="B266" s="1"/>
      <c r="C266" s="1"/>
      <c r="D266" s="1"/>
      <c r="E266" s="1"/>
      <c r="F266" s="1"/>
      <c r="G266" s="1"/>
      <c r="H266" s="9"/>
      <c r="I266" s="9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21"/>
      <c r="AU266" s="1"/>
      <c r="AV266" s="1"/>
      <c r="AW266" s="1"/>
    </row>
    <row r="267" spans="1:49" x14ac:dyDescent="0.4">
      <c r="A267" s="1"/>
      <c r="B267" s="1"/>
      <c r="C267" s="1"/>
      <c r="D267" s="1"/>
      <c r="E267" s="1"/>
      <c r="F267" s="1"/>
      <c r="G267" s="1"/>
      <c r="H267" s="9"/>
      <c r="I267" s="9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21"/>
      <c r="AU267" s="1"/>
      <c r="AV267" s="1"/>
      <c r="AW267" s="1"/>
    </row>
    <row r="268" spans="1:49" x14ac:dyDescent="0.4">
      <c r="A268" s="1"/>
      <c r="B268" s="1"/>
      <c r="C268" s="1"/>
      <c r="D268" s="1"/>
      <c r="E268" s="1"/>
      <c r="F268" s="1"/>
      <c r="G268" s="1"/>
      <c r="H268" s="9"/>
      <c r="I268" s="9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21"/>
      <c r="AU268" s="1"/>
      <c r="AV268" s="1"/>
      <c r="AW268" s="1"/>
    </row>
    <row r="269" spans="1:49" x14ac:dyDescent="0.4">
      <c r="A269" s="1"/>
      <c r="B269" s="1"/>
      <c r="C269" s="1"/>
      <c r="D269" s="1"/>
      <c r="E269" s="1"/>
      <c r="F269" s="1"/>
      <c r="G269" s="1"/>
      <c r="H269" s="9"/>
      <c r="I269" s="9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21"/>
      <c r="AU269" s="1"/>
      <c r="AV269" s="1"/>
      <c r="AW269" s="1"/>
    </row>
    <row r="270" spans="1:49" x14ac:dyDescent="0.4">
      <c r="A270" s="1"/>
      <c r="B270" s="1"/>
      <c r="C270" s="1"/>
      <c r="D270" s="1"/>
      <c r="E270" s="1"/>
      <c r="F270" s="1"/>
      <c r="G270" s="1"/>
      <c r="H270" s="9"/>
      <c r="I270" s="9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21"/>
      <c r="AU270" s="1"/>
      <c r="AV270" s="1"/>
      <c r="AW270" s="1"/>
    </row>
    <row r="271" spans="1:49" x14ac:dyDescent="0.4">
      <c r="A271" s="1"/>
      <c r="B271" s="1"/>
      <c r="C271" s="1"/>
      <c r="D271" s="1"/>
      <c r="E271" s="1"/>
      <c r="F271" s="1"/>
      <c r="G271" s="1"/>
      <c r="H271" s="9"/>
      <c r="I271" s="9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21"/>
      <c r="AU271" s="1"/>
      <c r="AV271" s="1"/>
      <c r="AW271" s="1"/>
    </row>
    <row r="272" spans="1:49" x14ac:dyDescent="0.4">
      <c r="A272" s="1"/>
      <c r="B272" s="1"/>
      <c r="C272" s="1"/>
      <c r="D272" s="1"/>
      <c r="E272" s="1"/>
      <c r="F272" s="1"/>
      <c r="G272" s="1"/>
      <c r="H272" s="9"/>
      <c r="I272" s="9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21"/>
      <c r="AU272" s="1"/>
      <c r="AV272" s="1"/>
      <c r="AW272" s="1"/>
    </row>
    <row r="273" spans="1:49" x14ac:dyDescent="0.4">
      <c r="A273" s="1"/>
      <c r="B273" s="1"/>
      <c r="C273" s="1"/>
      <c r="D273" s="1"/>
      <c r="E273" s="1"/>
      <c r="F273" s="1"/>
      <c r="G273" s="1"/>
      <c r="H273" s="9"/>
      <c r="I273" s="9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21"/>
      <c r="AU273" s="1"/>
      <c r="AV273" s="1"/>
      <c r="AW273" s="1"/>
    </row>
    <row r="274" spans="1:49" x14ac:dyDescent="0.4">
      <c r="A274" s="1"/>
      <c r="B274" s="1"/>
      <c r="C274" s="1"/>
      <c r="D274" s="1"/>
      <c r="E274" s="1"/>
      <c r="F274" s="1"/>
      <c r="G274" s="1"/>
      <c r="H274" s="9"/>
      <c r="I274" s="9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21"/>
      <c r="AU274" s="1"/>
      <c r="AV274" s="1"/>
      <c r="AW274" s="1"/>
    </row>
    <row r="275" spans="1:49" x14ac:dyDescent="0.4">
      <c r="A275" s="1"/>
      <c r="B275" s="1"/>
      <c r="C275" s="1"/>
      <c r="D275" s="1"/>
      <c r="E275" s="1"/>
      <c r="F275" s="1"/>
      <c r="G275" s="1"/>
      <c r="H275" s="9"/>
      <c r="I275" s="9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21"/>
      <c r="AU275" s="1"/>
      <c r="AV275" s="1"/>
      <c r="AW275" s="1"/>
    </row>
    <row r="276" spans="1:49" x14ac:dyDescent="0.4">
      <c r="A276" s="1"/>
      <c r="B276" s="1"/>
      <c r="C276" s="1"/>
      <c r="D276" s="1"/>
      <c r="E276" s="1"/>
      <c r="F276" s="1"/>
      <c r="G276" s="1"/>
      <c r="H276" s="9"/>
      <c r="I276" s="9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21"/>
      <c r="AU276" s="1"/>
      <c r="AV276" s="1"/>
      <c r="AW276" s="1"/>
    </row>
    <row r="277" spans="1:49" x14ac:dyDescent="0.4">
      <c r="A277" s="1"/>
      <c r="B277" s="1"/>
      <c r="C277" s="1"/>
      <c r="D277" s="1"/>
      <c r="E277" s="1"/>
      <c r="F277" s="1"/>
      <c r="G277" s="1"/>
      <c r="H277" s="9"/>
      <c r="I277" s="9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21"/>
      <c r="AU277" s="1"/>
      <c r="AV277" s="1"/>
      <c r="AW277" s="1"/>
    </row>
    <row r="278" spans="1:49" x14ac:dyDescent="0.4">
      <c r="A278" s="1"/>
      <c r="B278" s="1"/>
      <c r="C278" s="1"/>
      <c r="D278" s="1"/>
      <c r="E278" s="1"/>
      <c r="F278" s="1"/>
      <c r="G278" s="1"/>
      <c r="H278" s="9"/>
      <c r="I278" s="9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21"/>
      <c r="AU278" s="1"/>
      <c r="AV278" s="1"/>
      <c r="AW278" s="1"/>
    </row>
    <row r="279" spans="1:49" x14ac:dyDescent="0.4">
      <c r="A279" s="1"/>
      <c r="B279" s="1"/>
      <c r="C279" s="1"/>
      <c r="D279" s="1"/>
      <c r="E279" s="1"/>
      <c r="F279" s="1"/>
      <c r="G279" s="1"/>
      <c r="H279" s="9"/>
      <c r="I279" s="9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21"/>
      <c r="AU279" s="1"/>
      <c r="AV279" s="1"/>
      <c r="AW279" s="1"/>
    </row>
    <row r="280" spans="1:49" x14ac:dyDescent="0.4">
      <c r="A280" s="1"/>
      <c r="B280" s="1"/>
      <c r="C280" s="1"/>
      <c r="D280" s="1"/>
      <c r="E280" s="1"/>
      <c r="F280" s="1"/>
      <c r="G280" s="1"/>
      <c r="H280" s="9"/>
      <c r="I280" s="9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21"/>
      <c r="AU280" s="1"/>
      <c r="AV280" s="1"/>
      <c r="AW280" s="1"/>
    </row>
    <row r="281" spans="1:49" x14ac:dyDescent="0.4">
      <c r="A281" s="1"/>
      <c r="B281" s="1"/>
      <c r="C281" s="1"/>
      <c r="D281" s="1"/>
      <c r="E281" s="1"/>
      <c r="F281" s="1"/>
      <c r="G281" s="1"/>
      <c r="H281" s="9"/>
      <c r="I281" s="9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21"/>
      <c r="AU281" s="1"/>
      <c r="AV281" s="1"/>
      <c r="AW281" s="1"/>
    </row>
    <row r="282" spans="1:49" x14ac:dyDescent="0.4">
      <c r="A282" s="1"/>
      <c r="B282" s="1"/>
      <c r="C282" s="1"/>
      <c r="D282" s="1"/>
      <c r="E282" s="1"/>
      <c r="F282" s="1"/>
      <c r="G282" s="1"/>
      <c r="H282" s="9"/>
      <c r="I282" s="9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21"/>
      <c r="AU282" s="1"/>
      <c r="AV282" s="1"/>
      <c r="AW282" s="1"/>
    </row>
    <row r="283" spans="1:49" x14ac:dyDescent="0.4">
      <c r="A283" s="1"/>
      <c r="B283" s="1"/>
      <c r="C283" s="1"/>
      <c r="D283" s="1"/>
      <c r="E283" s="1"/>
      <c r="F283" s="1"/>
      <c r="G283" s="1"/>
      <c r="H283" s="9"/>
      <c r="I283" s="9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21"/>
      <c r="AU283" s="1"/>
      <c r="AV283" s="1"/>
      <c r="AW283" s="1"/>
    </row>
    <row r="284" spans="1:49" x14ac:dyDescent="0.4">
      <c r="A284" s="1"/>
      <c r="B284" s="1"/>
      <c r="C284" s="1"/>
      <c r="D284" s="1"/>
      <c r="E284" s="1"/>
      <c r="F284" s="1"/>
      <c r="G284" s="1"/>
      <c r="H284" s="9"/>
      <c r="I284" s="9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21"/>
      <c r="AU284" s="1"/>
      <c r="AV284" s="1"/>
      <c r="AW284" s="1"/>
    </row>
    <row r="285" spans="1:49" x14ac:dyDescent="0.4">
      <c r="A285" s="1"/>
      <c r="B285" s="1"/>
      <c r="C285" s="1"/>
      <c r="D285" s="1"/>
      <c r="E285" s="1"/>
      <c r="F285" s="1"/>
      <c r="G285" s="1"/>
      <c r="H285" s="9"/>
      <c r="I285" s="9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21"/>
      <c r="AU285" s="1"/>
      <c r="AV285" s="1"/>
      <c r="AW285" s="1"/>
    </row>
    <row r="286" spans="1:49" x14ac:dyDescent="0.4">
      <c r="A286" s="1"/>
      <c r="B286" s="1"/>
      <c r="C286" s="1"/>
      <c r="D286" s="1"/>
      <c r="E286" s="1"/>
      <c r="F286" s="1"/>
      <c r="G286" s="1"/>
      <c r="H286" s="9"/>
      <c r="I286" s="9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21"/>
      <c r="AU286" s="1"/>
      <c r="AV286" s="1"/>
      <c r="AW286" s="1"/>
    </row>
    <row r="287" spans="1:49" x14ac:dyDescent="0.4">
      <c r="A287" s="1"/>
      <c r="B287" s="1"/>
      <c r="C287" s="1"/>
      <c r="D287" s="1"/>
      <c r="E287" s="1"/>
      <c r="F287" s="1"/>
      <c r="G287" s="1"/>
      <c r="H287" s="9"/>
      <c r="I287" s="9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21"/>
      <c r="AU287" s="1"/>
      <c r="AV287" s="1"/>
      <c r="AW287" s="1"/>
    </row>
    <row r="288" spans="1:49" x14ac:dyDescent="0.4">
      <c r="A288" s="1"/>
      <c r="B288" s="1"/>
      <c r="C288" s="1"/>
      <c r="D288" s="1"/>
      <c r="E288" s="1"/>
      <c r="F288" s="1"/>
      <c r="G288" s="1"/>
      <c r="H288" s="9"/>
      <c r="I288" s="9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21"/>
      <c r="AU288" s="1"/>
      <c r="AV288" s="1"/>
      <c r="AW288" s="1"/>
    </row>
    <row r="289" spans="1:49" x14ac:dyDescent="0.4">
      <c r="A289" s="1"/>
      <c r="B289" s="1"/>
      <c r="C289" s="1"/>
      <c r="D289" s="1"/>
      <c r="E289" s="1"/>
      <c r="F289" s="1"/>
      <c r="G289" s="1"/>
      <c r="H289" s="9"/>
      <c r="I289" s="9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21"/>
      <c r="AU289" s="1"/>
      <c r="AV289" s="1"/>
      <c r="AW289" s="1"/>
    </row>
    <row r="290" spans="1:49" x14ac:dyDescent="0.4">
      <c r="A290" s="1"/>
      <c r="B290" s="1"/>
      <c r="C290" s="1"/>
      <c r="D290" s="1"/>
      <c r="E290" s="1"/>
      <c r="F290" s="1"/>
      <c r="G290" s="1"/>
      <c r="H290" s="9"/>
      <c r="I290" s="9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21"/>
      <c r="AU290" s="1"/>
      <c r="AV290" s="1"/>
      <c r="AW290" s="1"/>
    </row>
    <row r="291" spans="1:49" x14ac:dyDescent="0.4">
      <c r="A291" s="1"/>
      <c r="B291" s="1"/>
      <c r="C291" s="1"/>
      <c r="D291" s="1"/>
      <c r="E291" s="1"/>
      <c r="F291" s="1"/>
      <c r="G291" s="1"/>
      <c r="H291" s="9"/>
      <c r="I291" s="9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21"/>
      <c r="AU291" s="1"/>
      <c r="AV291" s="1"/>
      <c r="AW291" s="1"/>
    </row>
    <row r="292" spans="1:49" x14ac:dyDescent="0.4">
      <c r="A292" s="1"/>
      <c r="B292" s="1"/>
      <c r="C292" s="1"/>
      <c r="D292" s="1"/>
      <c r="E292" s="1"/>
      <c r="F292" s="1"/>
      <c r="G292" s="1"/>
      <c r="H292" s="9"/>
      <c r="I292" s="9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21"/>
      <c r="AU292" s="1"/>
      <c r="AV292" s="1"/>
      <c r="AW292" s="1"/>
    </row>
    <row r="293" spans="1:49" x14ac:dyDescent="0.4">
      <c r="A293" s="1"/>
      <c r="B293" s="1"/>
      <c r="C293" s="1"/>
      <c r="D293" s="1"/>
      <c r="E293" s="1"/>
      <c r="F293" s="1"/>
      <c r="G293" s="1"/>
      <c r="H293" s="9"/>
      <c r="I293" s="9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21"/>
      <c r="AU293" s="1"/>
      <c r="AV293" s="1"/>
      <c r="AW293" s="1"/>
    </row>
    <row r="294" spans="1:49" x14ac:dyDescent="0.4">
      <c r="A294" s="1"/>
      <c r="B294" s="1"/>
      <c r="C294" s="1"/>
      <c r="D294" s="1"/>
      <c r="E294" s="1"/>
      <c r="F294" s="1"/>
      <c r="G294" s="1"/>
      <c r="H294" s="9"/>
      <c r="I294" s="9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21"/>
      <c r="AU294" s="1"/>
      <c r="AV294" s="1"/>
      <c r="AW294" s="1"/>
    </row>
    <row r="295" spans="1:49" x14ac:dyDescent="0.4">
      <c r="A295" s="1"/>
      <c r="B295" s="1"/>
      <c r="C295" s="1"/>
      <c r="D295" s="1"/>
      <c r="E295" s="1"/>
      <c r="F295" s="1"/>
      <c r="G295" s="1"/>
      <c r="H295" s="9"/>
      <c r="I295" s="9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21"/>
      <c r="AU295" s="1"/>
      <c r="AV295" s="1"/>
      <c r="AW295" s="1"/>
    </row>
    <row r="296" spans="1:49" x14ac:dyDescent="0.4">
      <c r="A296" s="1"/>
      <c r="B296" s="1"/>
      <c r="C296" s="1"/>
      <c r="D296" s="1"/>
      <c r="E296" s="1"/>
      <c r="F296" s="1"/>
      <c r="G296" s="1"/>
      <c r="H296" s="9"/>
      <c r="I296" s="9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21"/>
      <c r="AU296" s="1"/>
      <c r="AV296" s="1"/>
      <c r="AW296" s="1"/>
    </row>
    <row r="297" spans="1:49" x14ac:dyDescent="0.4">
      <c r="A297" s="1"/>
      <c r="B297" s="1"/>
      <c r="C297" s="1"/>
      <c r="D297" s="1"/>
      <c r="E297" s="1"/>
      <c r="F297" s="1"/>
      <c r="G297" s="1"/>
      <c r="H297" s="9"/>
      <c r="I297" s="9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21"/>
      <c r="AU297" s="1"/>
      <c r="AV297" s="1"/>
      <c r="AW297" s="1"/>
    </row>
    <row r="298" spans="1:49" x14ac:dyDescent="0.4">
      <c r="A298" s="1"/>
      <c r="B298" s="1"/>
      <c r="C298" s="1"/>
      <c r="D298" s="1"/>
      <c r="E298" s="1"/>
      <c r="F298" s="1"/>
      <c r="G298" s="1"/>
      <c r="H298" s="9"/>
      <c r="I298" s="9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21"/>
      <c r="AU298" s="1"/>
      <c r="AV298" s="1"/>
      <c r="AW298" s="1"/>
    </row>
    <row r="299" spans="1:49" x14ac:dyDescent="0.4">
      <c r="A299" s="1"/>
      <c r="B299" s="1"/>
      <c r="C299" s="1"/>
      <c r="D299" s="1"/>
      <c r="E299" s="1"/>
      <c r="F299" s="1"/>
      <c r="G299" s="1"/>
      <c r="H299" s="9"/>
      <c r="I299" s="9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21"/>
      <c r="AU299" s="1"/>
      <c r="AV299" s="1"/>
      <c r="AW299" s="1"/>
    </row>
    <row r="300" spans="1:49" x14ac:dyDescent="0.4">
      <c r="A300" s="1"/>
      <c r="B300" s="1"/>
      <c r="C300" s="1"/>
      <c r="D300" s="1"/>
      <c r="E300" s="1"/>
      <c r="F300" s="1"/>
      <c r="G300" s="1"/>
      <c r="H300" s="9"/>
      <c r="I300" s="9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21"/>
      <c r="AU300" s="1"/>
      <c r="AV300" s="1"/>
      <c r="AW300" s="1"/>
    </row>
    <row r="301" spans="1:49" x14ac:dyDescent="0.4">
      <c r="A301" s="1"/>
      <c r="B301" s="1"/>
      <c r="C301" s="1"/>
      <c r="D301" s="1"/>
      <c r="E301" s="1"/>
      <c r="F301" s="1"/>
      <c r="G301" s="1"/>
      <c r="H301" s="9"/>
      <c r="I301" s="9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21"/>
      <c r="AU301" s="1"/>
      <c r="AV301" s="1"/>
      <c r="AW301" s="1"/>
    </row>
    <row r="302" spans="1:49" x14ac:dyDescent="0.4">
      <c r="A302" s="1"/>
      <c r="B302" s="1"/>
      <c r="C302" s="1"/>
      <c r="D302" s="1"/>
      <c r="E302" s="1"/>
      <c r="F302" s="1"/>
      <c r="G302" s="1"/>
      <c r="H302" s="9"/>
      <c r="I302" s="9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21"/>
      <c r="AU302" s="1"/>
      <c r="AV302" s="1"/>
      <c r="AW302" s="1"/>
    </row>
    <row r="303" spans="1:49" x14ac:dyDescent="0.4">
      <c r="A303" s="1"/>
      <c r="B303" s="1"/>
      <c r="C303" s="1"/>
      <c r="D303" s="1"/>
      <c r="E303" s="1"/>
      <c r="F303" s="1"/>
      <c r="G303" s="1"/>
      <c r="H303" s="9"/>
      <c r="I303" s="9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21"/>
      <c r="AU303" s="1"/>
      <c r="AV303" s="1"/>
      <c r="AW303" s="1"/>
    </row>
    <row r="304" spans="1:49" x14ac:dyDescent="0.4">
      <c r="A304" s="1"/>
      <c r="B304" s="1"/>
      <c r="C304" s="1"/>
      <c r="D304" s="1"/>
      <c r="E304" s="1"/>
      <c r="F304" s="1"/>
      <c r="G304" s="1"/>
      <c r="H304" s="9"/>
      <c r="I304" s="9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21"/>
      <c r="AU304" s="1"/>
      <c r="AV304" s="1"/>
      <c r="AW304" s="1"/>
    </row>
    <row r="305" spans="1:49" x14ac:dyDescent="0.4">
      <c r="A305" s="1"/>
      <c r="B305" s="1"/>
      <c r="C305" s="1"/>
      <c r="D305" s="1"/>
      <c r="E305" s="1"/>
      <c r="F305" s="1"/>
      <c r="G305" s="1"/>
      <c r="H305" s="9"/>
      <c r="I305" s="9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21"/>
      <c r="AU305" s="1"/>
      <c r="AV305" s="1"/>
      <c r="AW305" s="1"/>
    </row>
    <row r="306" spans="1:49" x14ac:dyDescent="0.4">
      <c r="A306" s="1"/>
      <c r="B306" s="1"/>
      <c r="C306" s="1"/>
      <c r="D306" s="1"/>
      <c r="E306" s="1"/>
      <c r="F306" s="1"/>
      <c r="G306" s="1"/>
      <c r="H306" s="9"/>
      <c r="I306" s="9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21"/>
      <c r="AU306" s="1"/>
      <c r="AV306" s="1"/>
      <c r="AW306" s="1"/>
    </row>
    <row r="307" spans="1:49" x14ac:dyDescent="0.4">
      <c r="A307" s="1"/>
      <c r="B307" s="1"/>
      <c r="C307" s="1"/>
      <c r="D307" s="1"/>
      <c r="E307" s="1"/>
      <c r="F307" s="1"/>
      <c r="G307" s="1"/>
      <c r="H307" s="9"/>
      <c r="I307" s="9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21"/>
      <c r="AU307" s="1"/>
      <c r="AV307" s="1"/>
      <c r="AW307" s="1"/>
    </row>
    <row r="308" spans="1:49" x14ac:dyDescent="0.4">
      <c r="A308" s="1"/>
      <c r="B308" s="1"/>
      <c r="C308" s="1"/>
      <c r="D308" s="1"/>
      <c r="E308" s="1"/>
      <c r="F308" s="1"/>
      <c r="G308" s="1"/>
      <c r="H308" s="9"/>
      <c r="I308" s="9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21"/>
      <c r="AU308" s="1"/>
      <c r="AV308" s="1"/>
      <c r="AW308" s="1"/>
    </row>
    <row r="309" spans="1:49" x14ac:dyDescent="0.4">
      <c r="A309" s="1"/>
      <c r="B309" s="1"/>
      <c r="C309" s="1"/>
      <c r="D309" s="1"/>
      <c r="E309" s="1"/>
      <c r="F309" s="1"/>
      <c r="G309" s="1"/>
      <c r="H309" s="9"/>
      <c r="I309" s="9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21"/>
      <c r="AU309" s="1"/>
      <c r="AV309" s="1"/>
      <c r="AW309" s="1"/>
    </row>
    <row r="310" spans="1:49" x14ac:dyDescent="0.4">
      <c r="A310" s="1"/>
      <c r="B310" s="1"/>
      <c r="C310" s="1"/>
      <c r="D310" s="1"/>
      <c r="E310" s="1"/>
      <c r="F310" s="1"/>
      <c r="G310" s="1"/>
      <c r="H310" s="9"/>
      <c r="I310" s="9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21"/>
      <c r="AU310" s="1"/>
      <c r="AV310" s="1"/>
      <c r="AW310" s="1"/>
    </row>
    <row r="311" spans="1:49" x14ac:dyDescent="0.4">
      <c r="A311" s="1"/>
      <c r="B311" s="1"/>
      <c r="C311" s="1"/>
      <c r="D311" s="1"/>
      <c r="E311" s="1"/>
      <c r="F311" s="1"/>
      <c r="G311" s="1"/>
      <c r="H311" s="9"/>
      <c r="I311" s="9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21"/>
      <c r="AU311" s="1"/>
      <c r="AV311" s="1"/>
      <c r="AW311" s="1"/>
    </row>
    <row r="312" spans="1:49" x14ac:dyDescent="0.4">
      <c r="A312" s="1"/>
      <c r="B312" s="1"/>
      <c r="C312" s="1"/>
      <c r="D312" s="1"/>
      <c r="E312" s="1"/>
      <c r="F312" s="1"/>
      <c r="G312" s="1"/>
      <c r="H312" s="9"/>
      <c r="I312" s="9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21"/>
      <c r="AU312" s="1"/>
      <c r="AV312" s="1"/>
      <c r="AW312" s="1"/>
    </row>
    <row r="313" spans="1:49" x14ac:dyDescent="0.4">
      <c r="A313" s="1"/>
      <c r="B313" s="1"/>
      <c r="C313" s="1"/>
      <c r="D313" s="1"/>
      <c r="E313" s="1"/>
      <c r="F313" s="1"/>
      <c r="G313" s="1"/>
      <c r="H313" s="9"/>
      <c r="I313" s="9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21"/>
      <c r="AU313" s="1"/>
      <c r="AV313" s="1"/>
      <c r="AW313" s="1"/>
    </row>
    <row r="314" spans="1:49" x14ac:dyDescent="0.4">
      <c r="A314" s="1"/>
      <c r="B314" s="1"/>
      <c r="C314" s="1"/>
      <c r="D314" s="1"/>
      <c r="E314" s="1"/>
      <c r="F314" s="1"/>
      <c r="G314" s="1"/>
      <c r="H314" s="9"/>
      <c r="I314" s="9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21"/>
      <c r="AU314" s="1"/>
      <c r="AV314" s="1"/>
      <c r="AW314" s="1"/>
    </row>
    <row r="315" spans="1:49" x14ac:dyDescent="0.4">
      <c r="A315" s="1"/>
      <c r="B315" s="1"/>
      <c r="C315" s="1"/>
      <c r="D315" s="1"/>
      <c r="E315" s="1"/>
      <c r="F315" s="1"/>
      <c r="G315" s="1"/>
      <c r="H315" s="9"/>
      <c r="I315" s="9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21"/>
      <c r="AU315" s="1"/>
      <c r="AV315" s="1"/>
      <c r="AW315" s="1"/>
    </row>
    <row r="316" spans="1:49" x14ac:dyDescent="0.4">
      <c r="A316" s="1"/>
      <c r="B316" s="1"/>
      <c r="C316" s="1"/>
      <c r="D316" s="1"/>
      <c r="E316" s="1"/>
      <c r="F316" s="1"/>
      <c r="G316" s="1"/>
      <c r="H316" s="9"/>
      <c r="I316" s="9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21"/>
      <c r="AU316" s="1"/>
      <c r="AV316" s="1"/>
      <c r="AW316" s="1"/>
    </row>
    <row r="317" spans="1:49" x14ac:dyDescent="0.4">
      <c r="A317" s="1"/>
      <c r="B317" s="1"/>
      <c r="C317" s="1"/>
      <c r="D317" s="1"/>
      <c r="E317" s="1"/>
      <c r="F317" s="1"/>
      <c r="G317" s="1"/>
      <c r="H317" s="9"/>
      <c r="I317" s="9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21"/>
      <c r="AU317" s="1"/>
      <c r="AV317" s="1"/>
      <c r="AW317" s="1"/>
    </row>
    <row r="318" spans="1:49" x14ac:dyDescent="0.4">
      <c r="A318" s="1"/>
      <c r="B318" s="1"/>
      <c r="C318" s="1"/>
      <c r="D318" s="1"/>
      <c r="E318" s="1"/>
      <c r="F318" s="1"/>
      <c r="G318" s="1"/>
      <c r="H318" s="9"/>
      <c r="I318" s="9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21"/>
      <c r="AU318" s="1"/>
      <c r="AV318" s="1"/>
      <c r="AW318" s="1"/>
    </row>
    <row r="319" spans="1:49" x14ac:dyDescent="0.4">
      <c r="A319" s="1"/>
      <c r="B319" s="1"/>
      <c r="C319" s="1"/>
      <c r="D319" s="1"/>
      <c r="E319" s="1"/>
      <c r="F319" s="1"/>
      <c r="G319" s="1"/>
      <c r="H319" s="9"/>
      <c r="I319" s="9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21"/>
      <c r="AU319" s="1"/>
      <c r="AV319" s="1"/>
      <c r="AW319" s="1"/>
    </row>
    <row r="320" spans="1:49" x14ac:dyDescent="0.4">
      <c r="A320" s="1"/>
      <c r="B320" s="1"/>
      <c r="C320" s="1"/>
      <c r="D320" s="1"/>
      <c r="E320" s="1"/>
      <c r="F320" s="1"/>
      <c r="G320" s="1"/>
      <c r="H320" s="9"/>
      <c r="I320" s="9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21"/>
      <c r="AU320" s="1"/>
      <c r="AV320" s="1"/>
      <c r="AW320" s="1"/>
    </row>
    <row r="321" spans="1:49" x14ac:dyDescent="0.4">
      <c r="A321" s="1"/>
      <c r="B321" s="1"/>
      <c r="C321" s="1"/>
      <c r="D321" s="1"/>
      <c r="E321" s="1"/>
      <c r="F321" s="1"/>
      <c r="G321" s="1"/>
      <c r="H321" s="9"/>
      <c r="I321" s="9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21"/>
      <c r="AU321" s="1"/>
      <c r="AV321" s="1"/>
      <c r="AW321" s="1"/>
    </row>
    <row r="322" spans="1:49" x14ac:dyDescent="0.4">
      <c r="A322" s="1"/>
      <c r="B322" s="1"/>
      <c r="C322" s="1"/>
      <c r="D322" s="1"/>
      <c r="E322" s="1"/>
      <c r="F322" s="1"/>
      <c r="G322" s="1"/>
      <c r="H322" s="9"/>
      <c r="I322" s="9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21"/>
      <c r="AU322" s="1"/>
      <c r="AV322" s="1"/>
      <c r="AW322" s="1"/>
    </row>
    <row r="323" spans="1:49" x14ac:dyDescent="0.4">
      <c r="A323" s="1"/>
      <c r="B323" s="1"/>
      <c r="C323" s="1"/>
      <c r="D323" s="1"/>
      <c r="E323" s="1"/>
      <c r="F323" s="1"/>
      <c r="G323" s="1"/>
      <c r="H323" s="9"/>
      <c r="I323" s="9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21"/>
      <c r="AU323" s="1"/>
      <c r="AV323" s="1"/>
      <c r="AW323" s="1"/>
    </row>
    <row r="324" spans="1:49" x14ac:dyDescent="0.4">
      <c r="A324" s="1"/>
      <c r="B324" s="1"/>
      <c r="C324" s="1"/>
      <c r="D324" s="1"/>
      <c r="E324" s="1"/>
      <c r="F324" s="1"/>
      <c r="G324" s="1"/>
      <c r="H324" s="9"/>
      <c r="I324" s="9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21"/>
      <c r="AU324" s="1"/>
      <c r="AV324" s="1"/>
      <c r="AW324" s="1"/>
    </row>
    <row r="325" spans="1:49" x14ac:dyDescent="0.4">
      <c r="A325" s="1"/>
      <c r="B325" s="1"/>
      <c r="C325" s="1"/>
      <c r="D325" s="1"/>
      <c r="E325" s="1"/>
      <c r="F325" s="1"/>
      <c r="G325" s="1"/>
      <c r="H325" s="9"/>
      <c r="I325" s="9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21"/>
      <c r="AU325" s="1"/>
      <c r="AV325" s="1"/>
      <c r="AW325" s="1"/>
    </row>
    <row r="326" spans="1:49" x14ac:dyDescent="0.4">
      <c r="A326" s="1"/>
      <c r="B326" s="1"/>
      <c r="C326" s="1"/>
      <c r="D326" s="1"/>
      <c r="E326" s="1"/>
      <c r="F326" s="1"/>
      <c r="G326" s="1"/>
      <c r="H326" s="9"/>
      <c r="I326" s="9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21"/>
      <c r="AU326" s="1"/>
      <c r="AV326" s="1"/>
      <c r="AW326" s="1"/>
    </row>
    <row r="327" spans="1:49" x14ac:dyDescent="0.4">
      <c r="A327" s="1"/>
      <c r="B327" s="1"/>
      <c r="C327" s="1"/>
      <c r="D327" s="1"/>
      <c r="E327" s="1"/>
      <c r="F327" s="1"/>
      <c r="G327" s="1"/>
      <c r="H327" s="9"/>
      <c r="I327" s="9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21"/>
      <c r="AU327" s="1"/>
      <c r="AV327" s="1"/>
      <c r="AW327" s="1"/>
    </row>
    <row r="328" spans="1:49" x14ac:dyDescent="0.4">
      <c r="A328" s="1"/>
      <c r="B328" s="1"/>
      <c r="C328" s="1"/>
      <c r="D328" s="1"/>
      <c r="E328" s="1"/>
      <c r="F328" s="1"/>
      <c r="G328" s="1"/>
      <c r="H328" s="9"/>
      <c r="I328" s="9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21"/>
      <c r="AU328" s="1"/>
      <c r="AV328" s="1"/>
      <c r="AW328" s="1"/>
    </row>
    <row r="329" spans="1:49" x14ac:dyDescent="0.4">
      <c r="A329" s="1"/>
      <c r="B329" s="1"/>
      <c r="C329" s="1"/>
      <c r="D329" s="1"/>
      <c r="E329" s="1"/>
      <c r="F329" s="1"/>
      <c r="G329" s="1"/>
      <c r="H329" s="9"/>
      <c r="I329" s="9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21"/>
      <c r="AU329" s="1"/>
      <c r="AV329" s="1"/>
      <c r="AW329" s="1"/>
    </row>
    <row r="330" spans="1:49" x14ac:dyDescent="0.4">
      <c r="A330" s="1"/>
      <c r="B330" s="1"/>
      <c r="C330" s="1"/>
      <c r="D330" s="1"/>
      <c r="E330" s="1"/>
      <c r="F330" s="1"/>
      <c r="G330" s="1"/>
      <c r="H330" s="9"/>
      <c r="I330" s="9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21"/>
      <c r="AU330" s="1"/>
      <c r="AV330" s="1"/>
      <c r="AW330" s="1"/>
    </row>
    <row r="331" spans="1:49" x14ac:dyDescent="0.4">
      <c r="A331" s="1"/>
      <c r="B331" s="1"/>
      <c r="C331" s="1"/>
      <c r="D331" s="1"/>
      <c r="E331" s="1"/>
      <c r="F331" s="1"/>
      <c r="G331" s="1"/>
      <c r="H331" s="9"/>
      <c r="I331" s="9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21"/>
      <c r="AU331" s="1"/>
      <c r="AV331" s="1"/>
      <c r="AW331" s="1"/>
    </row>
    <row r="332" spans="1:49" x14ac:dyDescent="0.4">
      <c r="A332" s="1"/>
      <c r="B332" s="1"/>
      <c r="C332" s="1"/>
      <c r="D332" s="1"/>
      <c r="E332" s="1"/>
      <c r="F332" s="1"/>
      <c r="G332" s="1"/>
      <c r="H332" s="9"/>
      <c r="I332" s="9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21"/>
      <c r="AU332" s="1"/>
      <c r="AV332" s="1"/>
      <c r="AW332" s="1"/>
    </row>
    <row r="333" spans="1:49" x14ac:dyDescent="0.4">
      <c r="A333" s="1"/>
      <c r="B333" s="1"/>
      <c r="C333" s="1"/>
      <c r="D333" s="1"/>
      <c r="E333" s="1"/>
      <c r="F333" s="1"/>
      <c r="G333" s="1"/>
      <c r="H333" s="9"/>
      <c r="I333" s="9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21"/>
      <c r="AU333" s="1"/>
      <c r="AV333" s="1"/>
      <c r="AW333" s="1"/>
    </row>
    <row r="334" spans="1:49" x14ac:dyDescent="0.4">
      <c r="A334" s="1"/>
      <c r="B334" s="1"/>
      <c r="C334" s="1"/>
      <c r="D334" s="1"/>
      <c r="E334" s="1"/>
      <c r="F334" s="1"/>
      <c r="G334" s="1"/>
      <c r="H334" s="9"/>
      <c r="I334" s="9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21"/>
      <c r="AU334" s="1"/>
      <c r="AV334" s="1"/>
      <c r="AW334" s="1"/>
    </row>
    <row r="335" spans="1:49" x14ac:dyDescent="0.4">
      <c r="A335" s="1"/>
      <c r="B335" s="1"/>
      <c r="C335" s="1"/>
      <c r="D335" s="1"/>
      <c r="E335" s="1"/>
      <c r="F335" s="1"/>
      <c r="G335" s="1"/>
      <c r="H335" s="9"/>
      <c r="I335" s="9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21"/>
      <c r="AU335" s="1"/>
      <c r="AV335" s="1"/>
      <c r="AW335" s="1"/>
    </row>
    <row r="336" spans="1:49" x14ac:dyDescent="0.4">
      <c r="A336" s="1"/>
      <c r="B336" s="1"/>
      <c r="C336" s="1"/>
      <c r="D336" s="1"/>
      <c r="E336" s="1"/>
      <c r="F336" s="1"/>
      <c r="G336" s="1"/>
      <c r="H336" s="9"/>
      <c r="I336" s="9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21"/>
      <c r="AU336" s="1"/>
      <c r="AV336" s="1"/>
      <c r="AW336" s="1"/>
    </row>
    <row r="337" spans="1:49" x14ac:dyDescent="0.4">
      <c r="A337" s="1"/>
      <c r="B337" s="1"/>
      <c r="C337" s="1"/>
      <c r="D337" s="1"/>
      <c r="E337" s="1"/>
      <c r="F337" s="1"/>
      <c r="G337" s="1"/>
      <c r="H337" s="9"/>
      <c r="I337" s="9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21"/>
      <c r="AU337" s="1"/>
      <c r="AV337" s="1"/>
      <c r="AW337" s="1"/>
    </row>
    <row r="338" spans="1:49" x14ac:dyDescent="0.4">
      <c r="A338" s="1"/>
      <c r="B338" s="1"/>
      <c r="C338" s="1"/>
      <c r="D338" s="1"/>
      <c r="E338" s="1"/>
      <c r="F338" s="1"/>
      <c r="G338" s="1"/>
      <c r="H338" s="9"/>
      <c r="I338" s="9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21"/>
      <c r="AU338" s="1"/>
      <c r="AV338" s="1"/>
      <c r="AW338" s="1"/>
    </row>
    <row r="339" spans="1:49" x14ac:dyDescent="0.4">
      <c r="A339" s="1"/>
      <c r="B339" s="1"/>
      <c r="C339" s="1"/>
      <c r="D339" s="1"/>
      <c r="E339" s="1"/>
      <c r="F339" s="1"/>
      <c r="G339" s="1"/>
      <c r="H339" s="9"/>
      <c r="I339" s="9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21"/>
      <c r="AU339" s="1"/>
      <c r="AV339" s="1"/>
      <c r="AW339" s="1"/>
    </row>
    <row r="340" spans="1:49" x14ac:dyDescent="0.4">
      <c r="A340" s="1"/>
      <c r="B340" s="1"/>
      <c r="C340" s="1"/>
      <c r="D340" s="1"/>
      <c r="E340" s="1"/>
      <c r="F340" s="1"/>
      <c r="G340" s="1"/>
      <c r="H340" s="9"/>
      <c r="I340" s="9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21"/>
      <c r="AU340" s="1"/>
      <c r="AV340" s="1"/>
      <c r="AW340" s="1"/>
    </row>
    <row r="341" spans="1:49" x14ac:dyDescent="0.4">
      <c r="A341" s="1"/>
      <c r="B341" s="1"/>
      <c r="C341" s="1"/>
      <c r="D341" s="1"/>
      <c r="E341" s="1"/>
      <c r="F341" s="1"/>
      <c r="G341" s="1"/>
      <c r="H341" s="9"/>
      <c r="I341" s="9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21"/>
      <c r="AU341" s="1"/>
      <c r="AV341" s="1"/>
      <c r="AW341" s="1"/>
    </row>
    <row r="342" spans="1:49" x14ac:dyDescent="0.4">
      <c r="A342" s="1"/>
      <c r="B342" s="1"/>
      <c r="C342" s="1"/>
      <c r="D342" s="1"/>
      <c r="E342" s="1"/>
      <c r="F342" s="1"/>
      <c r="G342" s="1"/>
      <c r="H342" s="9"/>
      <c r="I342" s="9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21"/>
      <c r="AU342" s="1"/>
      <c r="AV342" s="1"/>
      <c r="AW342" s="1"/>
    </row>
    <row r="343" spans="1:49" x14ac:dyDescent="0.4">
      <c r="A343" s="1"/>
      <c r="B343" s="1"/>
      <c r="C343" s="1"/>
      <c r="D343" s="1"/>
      <c r="E343" s="1"/>
      <c r="F343" s="1"/>
      <c r="G343" s="1"/>
      <c r="H343" s="9"/>
      <c r="I343" s="9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21"/>
      <c r="AU343" s="1"/>
      <c r="AV343" s="1"/>
      <c r="AW343" s="1"/>
    </row>
    <row r="344" spans="1:49" x14ac:dyDescent="0.4">
      <c r="A344" s="1"/>
      <c r="B344" s="1"/>
      <c r="C344" s="1"/>
      <c r="D344" s="1"/>
      <c r="E344" s="1"/>
      <c r="F344" s="1"/>
      <c r="G344" s="1"/>
      <c r="H344" s="9"/>
      <c r="I344" s="9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21"/>
      <c r="AU344" s="1"/>
      <c r="AV344" s="1"/>
      <c r="AW344" s="1"/>
    </row>
    <row r="345" spans="1:49" x14ac:dyDescent="0.4">
      <c r="A345" s="1"/>
      <c r="B345" s="1"/>
      <c r="C345" s="1"/>
      <c r="D345" s="1"/>
      <c r="E345" s="1"/>
      <c r="F345" s="1"/>
      <c r="G345" s="1"/>
      <c r="H345" s="9"/>
      <c r="I345" s="9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21"/>
      <c r="AU345" s="1"/>
      <c r="AV345" s="1"/>
      <c r="AW345" s="1"/>
    </row>
    <row r="346" spans="1:49" x14ac:dyDescent="0.4">
      <c r="A346" s="1"/>
      <c r="B346" s="1"/>
      <c r="C346" s="1"/>
      <c r="D346" s="1"/>
      <c r="E346" s="1"/>
      <c r="F346" s="1"/>
      <c r="G346" s="1"/>
      <c r="H346" s="9"/>
      <c r="I346" s="9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21"/>
      <c r="AU346" s="1"/>
      <c r="AV346" s="1"/>
      <c r="AW346" s="1"/>
    </row>
    <row r="347" spans="1:49" x14ac:dyDescent="0.4">
      <c r="A347" s="1"/>
      <c r="B347" s="1"/>
      <c r="C347" s="1"/>
      <c r="D347" s="1"/>
      <c r="E347" s="1"/>
      <c r="F347" s="1"/>
      <c r="G347" s="1"/>
      <c r="H347" s="9"/>
      <c r="I347" s="9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21"/>
      <c r="AU347" s="1"/>
      <c r="AV347" s="1"/>
      <c r="AW347" s="1"/>
    </row>
    <row r="348" spans="1:49" x14ac:dyDescent="0.4">
      <c r="A348" s="1"/>
      <c r="B348" s="1"/>
      <c r="C348" s="1"/>
      <c r="D348" s="1"/>
      <c r="E348" s="1"/>
      <c r="F348" s="1"/>
      <c r="G348" s="1"/>
      <c r="H348" s="9"/>
      <c r="I348" s="9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21"/>
      <c r="AU348" s="1"/>
      <c r="AV348" s="1"/>
      <c r="AW348" s="1"/>
    </row>
    <row r="349" spans="1:49" x14ac:dyDescent="0.4">
      <c r="A349" s="1"/>
      <c r="B349" s="1"/>
      <c r="C349" s="1"/>
      <c r="D349" s="1"/>
      <c r="E349" s="1"/>
      <c r="F349" s="1"/>
      <c r="G349" s="1"/>
      <c r="H349" s="9"/>
      <c r="I349" s="9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21"/>
      <c r="AU349" s="1"/>
      <c r="AV349" s="1"/>
      <c r="AW349" s="1"/>
    </row>
    <row r="350" spans="1:49" x14ac:dyDescent="0.4">
      <c r="A350" s="1"/>
      <c r="B350" s="1"/>
      <c r="C350" s="1"/>
      <c r="D350" s="1"/>
      <c r="E350" s="1"/>
      <c r="F350" s="1"/>
      <c r="G350" s="1"/>
      <c r="H350" s="9"/>
      <c r="I350" s="9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21"/>
      <c r="AU350" s="1"/>
      <c r="AV350" s="1"/>
      <c r="AW350" s="1"/>
    </row>
    <row r="351" spans="1:49" x14ac:dyDescent="0.4">
      <c r="A351" s="1"/>
      <c r="B351" s="1"/>
      <c r="C351" s="1"/>
      <c r="D351" s="1"/>
      <c r="E351" s="1"/>
      <c r="F351" s="1"/>
      <c r="G351" s="1"/>
      <c r="H351" s="9"/>
      <c r="I351" s="9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21"/>
      <c r="AU351" s="1"/>
      <c r="AV351" s="1"/>
      <c r="AW351" s="1"/>
    </row>
    <row r="352" spans="1:49" x14ac:dyDescent="0.4">
      <c r="A352" s="1"/>
      <c r="B352" s="1"/>
      <c r="C352" s="1"/>
      <c r="D352" s="1"/>
      <c r="E352" s="1"/>
      <c r="F352" s="1"/>
      <c r="G352" s="1"/>
      <c r="H352" s="9"/>
      <c r="I352" s="9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21"/>
      <c r="AU352" s="1"/>
      <c r="AV352" s="1"/>
      <c r="AW352" s="1"/>
    </row>
    <row r="353" spans="1:49" x14ac:dyDescent="0.4">
      <c r="A353" s="1"/>
      <c r="B353" s="1"/>
      <c r="C353" s="1"/>
      <c r="D353" s="1"/>
      <c r="E353" s="1"/>
      <c r="F353" s="1"/>
      <c r="G353" s="1"/>
      <c r="H353" s="9"/>
      <c r="I353" s="9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21"/>
      <c r="AU353" s="1"/>
      <c r="AV353" s="1"/>
      <c r="AW353" s="1"/>
    </row>
    <row r="354" spans="1:49" x14ac:dyDescent="0.4">
      <c r="A354" s="1"/>
      <c r="B354" s="1"/>
      <c r="C354" s="1"/>
      <c r="D354" s="1"/>
      <c r="E354" s="1"/>
      <c r="F354" s="1"/>
      <c r="G354" s="1"/>
      <c r="H354" s="9"/>
      <c r="I354" s="9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21"/>
      <c r="AU354" s="1"/>
      <c r="AV354" s="1"/>
      <c r="AW354" s="1"/>
    </row>
    <row r="355" spans="1:49" x14ac:dyDescent="0.4">
      <c r="A355" s="1"/>
      <c r="B355" s="1"/>
      <c r="C355" s="1"/>
      <c r="D355" s="1"/>
      <c r="E355" s="1"/>
      <c r="F355" s="1"/>
      <c r="G355" s="1"/>
      <c r="H355" s="9"/>
      <c r="I355" s="9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21"/>
      <c r="AU355" s="1"/>
      <c r="AV355" s="1"/>
      <c r="AW355" s="1"/>
    </row>
    <row r="356" spans="1:49" x14ac:dyDescent="0.4">
      <c r="A356" s="1"/>
      <c r="B356" s="1"/>
      <c r="C356" s="1"/>
      <c r="D356" s="1"/>
      <c r="E356" s="1"/>
      <c r="F356" s="1"/>
      <c r="G356" s="1"/>
      <c r="H356" s="9"/>
      <c r="I356" s="9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21"/>
      <c r="AU356" s="1"/>
      <c r="AV356" s="1"/>
      <c r="AW356" s="1"/>
    </row>
    <row r="357" spans="1:49" x14ac:dyDescent="0.4">
      <c r="A357" s="1"/>
      <c r="B357" s="1"/>
      <c r="C357" s="1"/>
      <c r="D357" s="1"/>
      <c r="E357" s="1"/>
      <c r="F357" s="1"/>
      <c r="G357" s="1"/>
      <c r="H357" s="9"/>
      <c r="I357" s="9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21"/>
      <c r="AU357" s="1"/>
      <c r="AV357" s="1"/>
      <c r="AW357" s="1"/>
    </row>
    <row r="358" spans="1:49" x14ac:dyDescent="0.4">
      <c r="A358" s="1"/>
      <c r="B358" s="1"/>
      <c r="C358" s="1"/>
      <c r="D358" s="1"/>
      <c r="E358" s="1"/>
      <c r="F358" s="1"/>
      <c r="G358" s="1"/>
      <c r="H358" s="9"/>
      <c r="I358" s="9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21"/>
      <c r="AU358" s="1"/>
      <c r="AV358" s="1"/>
      <c r="AW358" s="1"/>
    </row>
    <row r="359" spans="1:49" x14ac:dyDescent="0.4">
      <c r="A359" s="1"/>
      <c r="B359" s="1"/>
      <c r="C359" s="1"/>
      <c r="D359" s="1"/>
      <c r="E359" s="1"/>
      <c r="F359" s="1"/>
      <c r="G359" s="1"/>
      <c r="H359" s="9"/>
      <c r="I359" s="9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21"/>
      <c r="AU359" s="1"/>
      <c r="AV359" s="1"/>
      <c r="AW359" s="1"/>
    </row>
    <row r="360" spans="1:49" x14ac:dyDescent="0.4">
      <c r="A360" s="1"/>
      <c r="B360" s="1"/>
      <c r="C360" s="1"/>
      <c r="D360" s="1"/>
      <c r="E360" s="1"/>
      <c r="F360" s="1"/>
      <c r="G360" s="1"/>
      <c r="H360" s="9"/>
      <c r="I360" s="9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21"/>
      <c r="AU360" s="1"/>
      <c r="AV360" s="1"/>
      <c r="AW360" s="1"/>
    </row>
    <row r="361" spans="1:49" x14ac:dyDescent="0.4">
      <c r="A361" s="1"/>
      <c r="B361" s="1"/>
      <c r="C361" s="1"/>
      <c r="D361" s="1"/>
      <c r="E361" s="1"/>
      <c r="F361" s="1"/>
      <c r="G361" s="1"/>
      <c r="H361" s="9"/>
      <c r="I361" s="9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21"/>
      <c r="AU361" s="1"/>
      <c r="AV361" s="1"/>
      <c r="AW361" s="1"/>
    </row>
    <row r="362" spans="1:49" x14ac:dyDescent="0.4">
      <c r="A362" s="1"/>
      <c r="B362" s="1"/>
      <c r="C362" s="1"/>
      <c r="D362" s="1"/>
      <c r="E362" s="1"/>
      <c r="F362" s="1"/>
      <c r="G362" s="1"/>
      <c r="H362" s="9"/>
      <c r="I362" s="9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21"/>
      <c r="AU362" s="1"/>
      <c r="AV362" s="1"/>
      <c r="AW362" s="1"/>
    </row>
    <row r="363" spans="1:49" x14ac:dyDescent="0.4">
      <c r="A363" s="1"/>
      <c r="B363" s="1"/>
      <c r="C363" s="1"/>
      <c r="D363" s="1"/>
      <c r="E363" s="1"/>
      <c r="F363" s="1"/>
      <c r="G363" s="1"/>
      <c r="H363" s="9"/>
      <c r="I363" s="9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21"/>
      <c r="AU363" s="1"/>
      <c r="AV363" s="1"/>
      <c r="AW36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Law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stevensj</dc:creator>
  <cp:lastModifiedBy>Chambers, Kevin</cp:lastModifiedBy>
  <cp:lastPrinted>2017-10-18T16:13:22Z</cp:lastPrinted>
  <dcterms:created xsi:type="dcterms:W3CDTF">2017-10-18T15:13:08Z</dcterms:created>
  <dcterms:modified xsi:type="dcterms:W3CDTF">2022-05-06T17:55:45Z</dcterms:modified>
</cp:coreProperties>
</file>