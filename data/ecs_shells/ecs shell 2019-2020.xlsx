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18-19\ECS\"/>
    </mc:Choice>
  </mc:AlternateContent>
  <bookViews>
    <workbookView xWindow="360" yWindow="105" windowWidth="16605" windowHeight="9435" tabRatio="715"/>
  </bookViews>
  <sheets>
    <sheet name="FY 2019-20" sheetId="15" r:id="rId1"/>
  </sheets>
  <calcPr calcId="162913"/>
</workbook>
</file>

<file path=xl/calcChain.xml><?xml version="1.0" encoding="utf-8"?>
<calcChain xmlns="http://schemas.openxmlformats.org/spreadsheetml/2006/main">
  <c r="AK17" i="15" l="1"/>
  <c r="V197" i="15" l="1"/>
  <c r="AG195" i="15"/>
  <c r="AH195" i="15" s="1"/>
  <c r="X195" i="15"/>
  <c r="T195" i="15"/>
  <c r="O195" i="15"/>
  <c r="P195" i="15" s="1"/>
  <c r="Q195" i="15" s="1"/>
  <c r="R195" i="15" s="1"/>
  <c r="J195" i="15"/>
  <c r="AG194" i="15"/>
  <c r="AH194" i="15" s="1"/>
  <c r="X194" i="15"/>
  <c r="T194" i="15"/>
  <c r="O194" i="15"/>
  <c r="P194" i="15" s="1"/>
  <c r="Q194" i="15" s="1"/>
  <c r="J194" i="15"/>
  <c r="AG193" i="15"/>
  <c r="AH193" i="15" s="1"/>
  <c r="X193" i="15"/>
  <c r="T193" i="15"/>
  <c r="O193" i="15"/>
  <c r="P193" i="15" s="1"/>
  <c r="Q193" i="15" s="1"/>
  <c r="R193" i="15" s="1"/>
  <c r="J193" i="15"/>
  <c r="AG192" i="15"/>
  <c r="AH192" i="15" s="1"/>
  <c r="X192" i="15"/>
  <c r="T192" i="15"/>
  <c r="O192" i="15"/>
  <c r="P192" i="15" s="1"/>
  <c r="Q192" i="15" s="1"/>
  <c r="J192" i="15"/>
  <c r="AG191" i="15"/>
  <c r="AH191" i="15" s="1"/>
  <c r="X191" i="15"/>
  <c r="T191" i="15"/>
  <c r="O191" i="15"/>
  <c r="P191" i="15" s="1"/>
  <c r="Q191" i="15" s="1"/>
  <c r="R191" i="15" s="1"/>
  <c r="J191" i="15"/>
  <c r="AG190" i="15"/>
  <c r="AH190" i="15" s="1"/>
  <c r="X190" i="15"/>
  <c r="T190" i="15"/>
  <c r="O190" i="15"/>
  <c r="P190" i="15" s="1"/>
  <c r="Q190" i="15" s="1"/>
  <c r="J190" i="15"/>
  <c r="AG189" i="15"/>
  <c r="AH189" i="15" s="1"/>
  <c r="X189" i="15"/>
  <c r="T189" i="15"/>
  <c r="O189" i="15"/>
  <c r="P189" i="15" s="1"/>
  <c r="Q189" i="15" s="1"/>
  <c r="R189" i="15" s="1"/>
  <c r="J189" i="15"/>
  <c r="AG188" i="15"/>
  <c r="AH188" i="15" s="1"/>
  <c r="X188" i="15"/>
  <c r="T188" i="15"/>
  <c r="O188" i="15"/>
  <c r="P188" i="15" s="1"/>
  <c r="Q188" i="15" s="1"/>
  <c r="J188" i="15"/>
  <c r="AG187" i="15"/>
  <c r="AH187" i="15" s="1"/>
  <c r="X187" i="15"/>
  <c r="T187" i="15"/>
  <c r="O187" i="15"/>
  <c r="P187" i="15" s="1"/>
  <c r="Q187" i="15" s="1"/>
  <c r="R187" i="15" s="1"/>
  <c r="J187" i="15"/>
  <c r="AG186" i="15"/>
  <c r="AH186" i="15" s="1"/>
  <c r="X186" i="15"/>
  <c r="T186" i="15"/>
  <c r="O186" i="15"/>
  <c r="P186" i="15" s="1"/>
  <c r="Q186" i="15" s="1"/>
  <c r="J186" i="15"/>
  <c r="AG185" i="15"/>
  <c r="AH185" i="15" s="1"/>
  <c r="X185" i="15"/>
  <c r="T185" i="15"/>
  <c r="O185" i="15"/>
  <c r="P185" i="15" s="1"/>
  <c r="Q185" i="15" s="1"/>
  <c r="R185" i="15" s="1"/>
  <c r="J185" i="15"/>
  <c r="AG184" i="15"/>
  <c r="AH184" i="15" s="1"/>
  <c r="X184" i="15"/>
  <c r="T184" i="15"/>
  <c r="O184" i="15"/>
  <c r="P184" i="15" s="1"/>
  <c r="Q184" i="15" s="1"/>
  <c r="J184" i="15"/>
  <c r="AG183" i="15"/>
  <c r="AH183" i="15" s="1"/>
  <c r="X183" i="15"/>
  <c r="T183" i="15"/>
  <c r="O183" i="15"/>
  <c r="P183" i="15" s="1"/>
  <c r="Q183" i="15" s="1"/>
  <c r="R183" i="15" s="1"/>
  <c r="J183" i="15"/>
  <c r="AG182" i="15"/>
  <c r="AH182" i="15" s="1"/>
  <c r="X182" i="15"/>
  <c r="T182" i="15"/>
  <c r="O182" i="15"/>
  <c r="P182" i="15" s="1"/>
  <c r="Q182" i="15" s="1"/>
  <c r="J182" i="15"/>
  <c r="AG181" i="15"/>
  <c r="AH181" i="15" s="1"/>
  <c r="X181" i="15"/>
  <c r="T181" i="15"/>
  <c r="O181" i="15"/>
  <c r="P181" i="15" s="1"/>
  <c r="Q181" i="15" s="1"/>
  <c r="R181" i="15" s="1"/>
  <c r="J181" i="15"/>
  <c r="AG180" i="15"/>
  <c r="AH180" i="15" s="1"/>
  <c r="X180" i="15"/>
  <c r="T180" i="15"/>
  <c r="O180" i="15"/>
  <c r="P180" i="15" s="1"/>
  <c r="Q180" i="15" s="1"/>
  <c r="J180" i="15"/>
  <c r="AG179" i="15"/>
  <c r="AH179" i="15" s="1"/>
  <c r="X179" i="15"/>
  <c r="T179" i="15"/>
  <c r="O179" i="15"/>
  <c r="P179" i="15" s="1"/>
  <c r="Q179" i="15" s="1"/>
  <c r="R179" i="15" s="1"/>
  <c r="J179" i="15"/>
  <c r="AG178" i="15"/>
  <c r="AH178" i="15" s="1"/>
  <c r="X178" i="15"/>
  <c r="T178" i="15"/>
  <c r="O178" i="15"/>
  <c r="P178" i="15" s="1"/>
  <c r="Q178" i="15" s="1"/>
  <c r="R178" i="15" s="1"/>
  <c r="J178" i="15"/>
  <c r="AG177" i="15"/>
  <c r="AH177" i="15" s="1"/>
  <c r="X177" i="15"/>
  <c r="T177" i="15"/>
  <c r="O177" i="15"/>
  <c r="P177" i="15" s="1"/>
  <c r="Q177" i="15" s="1"/>
  <c r="J177" i="15"/>
  <c r="AH176" i="15"/>
  <c r="AG176" i="15"/>
  <c r="X176" i="15"/>
  <c r="T176" i="15"/>
  <c r="O176" i="15"/>
  <c r="P176" i="15" s="1"/>
  <c r="Q176" i="15" s="1"/>
  <c r="J176" i="15"/>
  <c r="AG175" i="15"/>
  <c r="AH175" i="15" s="1"/>
  <c r="X175" i="15"/>
  <c r="T175" i="15"/>
  <c r="O175" i="15"/>
  <c r="P175" i="15" s="1"/>
  <c r="Q175" i="15" s="1"/>
  <c r="J175" i="15"/>
  <c r="AG174" i="15"/>
  <c r="AH174" i="15" s="1"/>
  <c r="X174" i="15"/>
  <c r="T174" i="15"/>
  <c r="O174" i="15"/>
  <c r="P174" i="15" s="1"/>
  <c r="Q174" i="15" s="1"/>
  <c r="R174" i="15" s="1"/>
  <c r="J174" i="15"/>
  <c r="AG173" i="15"/>
  <c r="AH173" i="15" s="1"/>
  <c r="X173" i="15"/>
  <c r="T173" i="15"/>
  <c r="O173" i="15"/>
  <c r="P173" i="15" s="1"/>
  <c r="Q173" i="15" s="1"/>
  <c r="J173" i="15"/>
  <c r="AG172" i="15"/>
  <c r="AH172" i="15" s="1"/>
  <c r="X172" i="15"/>
  <c r="T172" i="15"/>
  <c r="O172" i="15"/>
  <c r="P172" i="15" s="1"/>
  <c r="Q172" i="15" s="1"/>
  <c r="J172" i="15"/>
  <c r="AG171" i="15"/>
  <c r="AH171" i="15" s="1"/>
  <c r="X171" i="15"/>
  <c r="T171" i="15"/>
  <c r="O171" i="15"/>
  <c r="P171" i="15" s="1"/>
  <c r="Q171" i="15" s="1"/>
  <c r="J171" i="15"/>
  <c r="AG170" i="15"/>
  <c r="AH170" i="15" s="1"/>
  <c r="X170" i="15"/>
  <c r="T170" i="15"/>
  <c r="O170" i="15"/>
  <c r="P170" i="15" s="1"/>
  <c r="Q170" i="15" s="1"/>
  <c r="R170" i="15" s="1"/>
  <c r="J170" i="15"/>
  <c r="AG169" i="15"/>
  <c r="AH169" i="15" s="1"/>
  <c r="X169" i="15"/>
  <c r="T169" i="15"/>
  <c r="O169" i="15"/>
  <c r="P169" i="15" s="1"/>
  <c r="Q169" i="15" s="1"/>
  <c r="J169" i="15"/>
  <c r="AG168" i="15"/>
  <c r="AH168" i="15" s="1"/>
  <c r="X168" i="15"/>
  <c r="T168" i="15"/>
  <c r="O168" i="15"/>
  <c r="P168" i="15" s="1"/>
  <c r="Q168" i="15" s="1"/>
  <c r="R168" i="15" s="1"/>
  <c r="J168" i="15"/>
  <c r="AG167" i="15"/>
  <c r="AH167" i="15" s="1"/>
  <c r="X167" i="15"/>
  <c r="T167" i="15"/>
  <c r="O167" i="15"/>
  <c r="P167" i="15" s="1"/>
  <c r="Q167" i="15" s="1"/>
  <c r="J167" i="15"/>
  <c r="AG166" i="15"/>
  <c r="AH166" i="15" s="1"/>
  <c r="X166" i="15"/>
  <c r="T166" i="15"/>
  <c r="O166" i="15"/>
  <c r="P166" i="15" s="1"/>
  <c r="Q166" i="15" s="1"/>
  <c r="R166" i="15" s="1"/>
  <c r="J166" i="15"/>
  <c r="AG165" i="15"/>
  <c r="AH165" i="15" s="1"/>
  <c r="X165" i="15"/>
  <c r="T165" i="15"/>
  <c r="O165" i="15"/>
  <c r="P165" i="15" s="1"/>
  <c r="Q165" i="15" s="1"/>
  <c r="J165" i="15"/>
  <c r="AG164" i="15"/>
  <c r="AH164" i="15" s="1"/>
  <c r="X164" i="15"/>
  <c r="T164" i="15"/>
  <c r="O164" i="15"/>
  <c r="P164" i="15" s="1"/>
  <c r="Q164" i="15" s="1"/>
  <c r="R164" i="15" s="1"/>
  <c r="J164" i="15"/>
  <c r="AG163" i="15"/>
  <c r="AH163" i="15" s="1"/>
  <c r="X163" i="15"/>
  <c r="T163" i="15"/>
  <c r="O163" i="15"/>
  <c r="P163" i="15" s="1"/>
  <c r="Q163" i="15" s="1"/>
  <c r="J163" i="15"/>
  <c r="AG162" i="15"/>
  <c r="AH162" i="15" s="1"/>
  <c r="X162" i="15"/>
  <c r="T162" i="15"/>
  <c r="O162" i="15"/>
  <c r="P162" i="15" s="1"/>
  <c r="Q162" i="15" s="1"/>
  <c r="R162" i="15" s="1"/>
  <c r="J162" i="15"/>
  <c r="AG161" i="15"/>
  <c r="AH161" i="15" s="1"/>
  <c r="X161" i="15"/>
  <c r="T161" i="15"/>
  <c r="O161" i="15"/>
  <c r="P161" i="15" s="1"/>
  <c r="Q161" i="15" s="1"/>
  <c r="R161" i="15" s="1"/>
  <c r="J161" i="15"/>
  <c r="AG160" i="15"/>
  <c r="AH160" i="15" s="1"/>
  <c r="X160" i="15"/>
  <c r="T160" i="15"/>
  <c r="O160" i="15"/>
  <c r="P160" i="15" s="1"/>
  <c r="Q160" i="15" s="1"/>
  <c r="R160" i="15" s="1"/>
  <c r="J160" i="15"/>
  <c r="AG159" i="15"/>
  <c r="AH159" i="15" s="1"/>
  <c r="X159" i="15"/>
  <c r="T159" i="15"/>
  <c r="O159" i="15"/>
  <c r="P159" i="15" s="1"/>
  <c r="Q159" i="15" s="1"/>
  <c r="J159" i="15"/>
  <c r="AG158" i="15"/>
  <c r="AH158" i="15" s="1"/>
  <c r="X158" i="15"/>
  <c r="T158" i="15"/>
  <c r="O158" i="15"/>
  <c r="P158" i="15" s="1"/>
  <c r="Q158" i="15" s="1"/>
  <c r="R158" i="15" s="1"/>
  <c r="J158" i="15"/>
  <c r="AG157" i="15"/>
  <c r="AH157" i="15" s="1"/>
  <c r="X157" i="15"/>
  <c r="T157" i="15"/>
  <c r="O157" i="15"/>
  <c r="P157" i="15" s="1"/>
  <c r="Q157" i="15" s="1"/>
  <c r="J157" i="15"/>
  <c r="AG156" i="15"/>
  <c r="AH156" i="15" s="1"/>
  <c r="X156" i="15"/>
  <c r="T156" i="15"/>
  <c r="O156" i="15"/>
  <c r="P156" i="15" s="1"/>
  <c r="Q156" i="15" s="1"/>
  <c r="R156" i="15" s="1"/>
  <c r="J156" i="15"/>
  <c r="AG155" i="15"/>
  <c r="AH155" i="15" s="1"/>
  <c r="X155" i="15"/>
  <c r="T155" i="15"/>
  <c r="O155" i="15"/>
  <c r="P155" i="15" s="1"/>
  <c r="Q155" i="15" s="1"/>
  <c r="R155" i="15" s="1"/>
  <c r="J155" i="15"/>
  <c r="AG154" i="15"/>
  <c r="AH154" i="15" s="1"/>
  <c r="X154" i="15"/>
  <c r="T154" i="15"/>
  <c r="O154" i="15"/>
  <c r="P154" i="15" s="1"/>
  <c r="Q154" i="15" s="1"/>
  <c r="R154" i="15" s="1"/>
  <c r="J154" i="15"/>
  <c r="AG153" i="15"/>
  <c r="AH153" i="15" s="1"/>
  <c r="X153" i="15"/>
  <c r="T153" i="15"/>
  <c r="O153" i="15"/>
  <c r="P153" i="15" s="1"/>
  <c r="Q153" i="15" s="1"/>
  <c r="R153" i="15" s="1"/>
  <c r="J153" i="15"/>
  <c r="AG152" i="15"/>
  <c r="AH152" i="15" s="1"/>
  <c r="X152" i="15"/>
  <c r="T152" i="15"/>
  <c r="O152" i="15"/>
  <c r="P152" i="15" s="1"/>
  <c r="Q152" i="15" s="1"/>
  <c r="R152" i="15" s="1"/>
  <c r="J152" i="15"/>
  <c r="AG151" i="15"/>
  <c r="AH151" i="15" s="1"/>
  <c r="X151" i="15"/>
  <c r="T151" i="15"/>
  <c r="O151" i="15"/>
  <c r="P151" i="15" s="1"/>
  <c r="Q151" i="15" s="1"/>
  <c r="R151" i="15" s="1"/>
  <c r="J151" i="15"/>
  <c r="AG150" i="15"/>
  <c r="AH150" i="15" s="1"/>
  <c r="X150" i="15"/>
  <c r="T150" i="15"/>
  <c r="O150" i="15"/>
  <c r="P150" i="15" s="1"/>
  <c r="Q150" i="15" s="1"/>
  <c r="R150" i="15" s="1"/>
  <c r="J150" i="15"/>
  <c r="AG149" i="15"/>
  <c r="AH149" i="15" s="1"/>
  <c r="X149" i="15"/>
  <c r="T149" i="15"/>
  <c r="O149" i="15"/>
  <c r="P149" i="15" s="1"/>
  <c r="Q149" i="15" s="1"/>
  <c r="J149" i="15"/>
  <c r="AG148" i="15"/>
  <c r="AH148" i="15" s="1"/>
  <c r="X148" i="15"/>
  <c r="T148" i="15"/>
  <c r="O148" i="15"/>
  <c r="P148" i="15" s="1"/>
  <c r="Q148" i="15" s="1"/>
  <c r="J148" i="15"/>
  <c r="AG147" i="15"/>
  <c r="AH147" i="15" s="1"/>
  <c r="X147" i="15"/>
  <c r="T147" i="15"/>
  <c r="O147" i="15"/>
  <c r="P147" i="15" s="1"/>
  <c r="Q147" i="15" s="1"/>
  <c r="R147" i="15" s="1"/>
  <c r="J147" i="15"/>
  <c r="AG146" i="15"/>
  <c r="AH146" i="15" s="1"/>
  <c r="X146" i="15"/>
  <c r="T146" i="15"/>
  <c r="O146" i="15"/>
  <c r="P146" i="15" s="1"/>
  <c r="Q146" i="15" s="1"/>
  <c r="R146" i="15" s="1"/>
  <c r="J146" i="15"/>
  <c r="AG145" i="15"/>
  <c r="AH145" i="15" s="1"/>
  <c r="X145" i="15"/>
  <c r="T145" i="15"/>
  <c r="O145" i="15"/>
  <c r="P145" i="15" s="1"/>
  <c r="Q145" i="15" s="1"/>
  <c r="R145" i="15" s="1"/>
  <c r="J145" i="15"/>
  <c r="AG144" i="15"/>
  <c r="AH144" i="15" s="1"/>
  <c r="X144" i="15"/>
  <c r="T144" i="15"/>
  <c r="O144" i="15"/>
  <c r="P144" i="15" s="1"/>
  <c r="Q144" i="15" s="1"/>
  <c r="R144" i="15" s="1"/>
  <c r="J144" i="15"/>
  <c r="AG143" i="15"/>
  <c r="AH143" i="15" s="1"/>
  <c r="X143" i="15"/>
  <c r="T143" i="15"/>
  <c r="O143" i="15"/>
  <c r="P143" i="15" s="1"/>
  <c r="Q143" i="15" s="1"/>
  <c r="R143" i="15" s="1"/>
  <c r="J143" i="15"/>
  <c r="AG142" i="15"/>
  <c r="AH142" i="15" s="1"/>
  <c r="X142" i="15"/>
  <c r="T142" i="15"/>
  <c r="O142" i="15"/>
  <c r="P142" i="15" s="1"/>
  <c r="Q142" i="15" s="1"/>
  <c r="J142" i="15"/>
  <c r="AG141" i="15"/>
  <c r="AH141" i="15" s="1"/>
  <c r="X141" i="15"/>
  <c r="T141" i="15"/>
  <c r="O141" i="15"/>
  <c r="P141" i="15" s="1"/>
  <c r="Q141" i="15" s="1"/>
  <c r="R141" i="15" s="1"/>
  <c r="J141" i="15"/>
  <c r="AG140" i="15"/>
  <c r="AH140" i="15" s="1"/>
  <c r="X140" i="15"/>
  <c r="T140" i="15"/>
  <c r="O140" i="15"/>
  <c r="P140" i="15" s="1"/>
  <c r="Q140" i="15" s="1"/>
  <c r="R140" i="15" s="1"/>
  <c r="J140" i="15"/>
  <c r="AG139" i="15"/>
  <c r="AH139" i="15" s="1"/>
  <c r="X139" i="15"/>
  <c r="T139" i="15"/>
  <c r="O139" i="15"/>
  <c r="P139" i="15" s="1"/>
  <c r="Q139" i="15" s="1"/>
  <c r="R139" i="15" s="1"/>
  <c r="J139" i="15"/>
  <c r="AG138" i="15"/>
  <c r="AH138" i="15" s="1"/>
  <c r="X138" i="15"/>
  <c r="T138" i="15"/>
  <c r="O138" i="15"/>
  <c r="P138" i="15" s="1"/>
  <c r="Q138" i="15" s="1"/>
  <c r="R138" i="15" s="1"/>
  <c r="J138" i="15"/>
  <c r="AG137" i="15"/>
  <c r="AH137" i="15" s="1"/>
  <c r="X137" i="15"/>
  <c r="T137" i="15"/>
  <c r="O137" i="15"/>
  <c r="P137" i="15" s="1"/>
  <c r="Q137" i="15" s="1"/>
  <c r="R137" i="15" s="1"/>
  <c r="J137" i="15"/>
  <c r="AG136" i="15"/>
  <c r="AH136" i="15" s="1"/>
  <c r="X136" i="15"/>
  <c r="T136" i="15"/>
  <c r="O136" i="15"/>
  <c r="P136" i="15" s="1"/>
  <c r="Q136" i="15" s="1"/>
  <c r="J136" i="15"/>
  <c r="AG135" i="15"/>
  <c r="AH135" i="15" s="1"/>
  <c r="X135" i="15"/>
  <c r="T135" i="15"/>
  <c r="O135" i="15"/>
  <c r="P135" i="15" s="1"/>
  <c r="Q135" i="15" s="1"/>
  <c r="R135" i="15" s="1"/>
  <c r="J135" i="15"/>
  <c r="AG134" i="15"/>
  <c r="AH134" i="15" s="1"/>
  <c r="X134" i="15"/>
  <c r="T134" i="15"/>
  <c r="O134" i="15"/>
  <c r="P134" i="15" s="1"/>
  <c r="Q134" i="15" s="1"/>
  <c r="J134" i="15"/>
  <c r="AG133" i="15"/>
  <c r="AH133" i="15" s="1"/>
  <c r="X133" i="15"/>
  <c r="T133" i="15"/>
  <c r="O133" i="15"/>
  <c r="P133" i="15" s="1"/>
  <c r="Q133" i="15" s="1"/>
  <c r="R133" i="15" s="1"/>
  <c r="J133" i="15"/>
  <c r="AG132" i="15"/>
  <c r="AH132" i="15" s="1"/>
  <c r="X132" i="15"/>
  <c r="T132" i="15"/>
  <c r="O132" i="15"/>
  <c r="P132" i="15" s="1"/>
  <c r="Q132" i="15" s="1"/>
  <c r="R132" i="15" s="1"/>
  <c r="J132" i="15"/>
  <c r="AG131" i="15"/>
  <c r="AH131" i="15" s="1"/>
  <c r="X131" i="15"/>
  <c r="T131" i="15"/>
  <c r="O131" i="15"/>
  <c r="P131" i="15" s="1"/>
  <c r="Q131" i="15" s="1"/>
  <c r="R131" i="15" s="1"/>
  <c r="J131" i="15"/>
  <c r="AG130" i="15"/>
  <c r="AH130" i="15" s="1"/>
  <c r="X130" i="15"/>
  <c r="T130" i="15"/>
  <c r="O130" i="15"/>
  <c r="P130" i="15" s="1"/>
  <c r="Q130" i="15" s="1"/>
  <c r="R130" i="15" s="1"/>
  <c r="J130" i="15"/>
  <c r="AG129" i="15"/>
  <c r="AH129" i="15" s="1"/>
  <c r="X129" i="15"/>
  <c r="T129" i="15"/>
  <c r="O129" i="15"/>
  <c r="P129" i="15" s="1"/>
  <c r="Q129" i="15" s="1"/>
  <c r="R129" i="15" s="1"/>
  <c r="J129" i="15"/>
  <c r="AG128" i="15"/>
  <c r="AH128" i="15" s="1"/>
  <c r="X128" i="15"/>
  <c r="T128" i="15"/>
  <c r="O128" i="15"/>
  <c r="P128" i="15" s="1"/>
  <c r="Q128" i="15" s="1"/>
  <c r="R128" i="15" s="1"/>
  <c r="J128" i="15"/>
  <c r="AG127" i="15"/>
  <c r="AH127" i="15" s="1"/>
  <c r="X127" i="15"/>
  <c r="T127" i="15"/>
  <c r="O127" i="15"/>
  <c r="P127" i="15" s="1"/>
  <c r="Q127" i="15" s="1"/>
  <c r="J127" i="15"/>
  <c r="AG126" i="15"/>
  <c r="AH126" i="15" s="1"/>
  <c r="X126" i="15"/>
  <c r="T126" i="15"/>
  <c r="O126" i="15"/>
  <c r="P126" i="15" s="1"/>
  <c r="Q126" i="15" s="1"/>
  <c r="J126" i="15"/>
  <c r="AG125" i="15"/>
  <c r="AH125" i="15" s="1"/>
  <c r="X125" i="15"/>
  <c r="T125" i="15"/>
  <c r="O125" i="15"/>
  <c r="P125" i="15" s="1"/>
  <c r="Q125" i="15" s="1"/>
  <c r="R125" i="15" s="1"/>
  <c r="J125" i="15"/>
  <c r="AG124" i="15"/>
  <c r="AH124" i="15" s="1"/>
  <c r="X124" i="15"/>
  <c r="T124" i="15"/>
  <c r="O124" i="15"/>
  <c r="P124" i="15" s="1"/>
  <c r="Q124" i="15" s="1"/>
  <c r="J124" i="15"/>
  <c r="AG123" i="15"/>
  <c r="AH123" i="15" s="1"/>
  <c r="X123" i="15"/>
  <c r="T123" i="15"/>
  <c r="O123" i="15"/>
  <c r="P123" i="15" s="1"/>
  <c r="Q123" i="15" s="1"/>
  <c r="U123" i="15" s="1"/>
  <c r="J123" i="15"/>
  <c r="AG122" i="15"/>
  <c r="AH122" i="15" s="1"/>
  <c r="X122" i="15"/>
  <c r="T122" i="15"/>
  <c r="O122" i="15"/>
  <c r="P122" i="15" s="1"/>
  <c r="Q122" i="15" s="1"/>
  <c r="J122" i="15"/>
  <c r="AG121" i="15"/>
  <c r="AH121" i="15" s="1"/>
  <c r="X121" i="15"/>
  <c r="T121" i="15"/>
  <c r="O121" i="15"/>
  <c r="P121" i="15" s="1"/>
  <c r="Q121" i="15" s="1"/>
  <c r="R121" i="15" s="1"/>
  <c r="J121" i="15"/>
  <c r="AG120" i="15"/>
  <c r="AH120" i="15" s="1"/>
  <c r="X120" i="15"/>
  <c r="T120" i="15"/>
  <c r="O120" i="15"/>
  <c r="P120" i="15" s="1"/>
  <c r="Q120" i="15" s="1"/>
  <c r="R120" i="15" s="1"/>
  <c r="J120" i="15"/>
  <c r="AG119" i="15"/>
  <c r="AH119" i="15" s="1"/>
  <c r="X119" i="15"/>
  <c r="T119" i="15"/>
  <c r="O119" i="15"/>
  <c r="P119" i="15" s="1"/>
  <c r="Q119" i="15" s="1"/>
  <c r="R119" i="15" s="1"/>
  <c r="J119" i="15"/>
  <c r="AG118" i="15"/>
  <c r="AH118" i="15" s="1"/>
  <c r="X118" i="15"/>
  <c r="T118" i="15"/>
  <c r="O118" i="15"/>
  <c r="P118" i="15" s="1"/>
  <c r="Q118" i="15" s="1"/>
  <c r="J118" i="15"/>
  <c r="AG117" i="15"/>
  <c r="AH117" i="15" s="1"/>
  <c r="X117" i="15"/>
  <c r="T117" i="15"/>
  <c r="O117" i="15"/>
  <c r="P117" i="15" s="1"/>
  <c r="Q117" i="15" s="1"/>
  <c r="R117" i="15" s="1"/>
  <c r="J117" i="15"/>
  <c r="AG116" i="15"/>
  <c r="AH116" i="15" s="1"/>
  <c r="X116" i="15"/>
  <c r="T116" i="15"/>
  <c r="O116" i="15"/>
  <c r="P116" i="15" s="1"/>
  <c r="Q116" i="15" s="1"/>
  <c r="J116" i="15"/>
  <c r="AG115" i="15"/>
  <c r="AH115" i="15" s="1"/>
  <c r="X115" i="15"/>
  <c r="T115" i="15"/>
  <c r="O115" i="15"/>
  <c r="P115" i="15" s="1"/>
  <c r="Q115" i="15" s="1"/>
  <c r="U115" i="15" s="1"/>
  <c r="J115" i="15"/>
  <c r="AG114" i="15"/>
  <c r="AH114" i="15" s="1"/>
  <c r="X114" i="15"/>
  <c r="T114" i="15"/>
  <c r="O114" i="15"/>
  <c r="P114" i="15" s="1"/>
  <c r="Q114" i="15" s="1"/>
  <c r="J114" i="15"/>
  <c r="AG113" i="15"/>
  <c r="AH113" i="15" s="1"/>
  <c r="X113" i="15"/>
  <c r="T113" i="15"/>
  <c r="O113" i="15"/>
  <c r="P113" i="15" s="1"/>
  <c r="Q113" i="15" s="1"/>
  <c r="R113" i="15" s="1"/>
  <c r="J113" i="15"/>
  <c r="AG112" i="15"/>
  <c r="AH112" i="15" s="1"/>
  <c r="X112" i="15"/>
  <c r="T112" i="15"/>
  <c r="O112" i="15"/>
  <c r="P112" i="15" s="1"/>
  <c r="Q112" i="15" s="1"/>
  <c r="R112" i="15" s="1"/>
  <c r="J112" i="15"/>
  <c r="AG111" i="15"/>
  <c r="AH111" i="15" s="1"/>
  <c r="X111" i="15"/>
  <c r="T111" i="15"/>
  <c r="O111" i="15"/>
  <c r="P111" i="15" s="1"/>
  <c r="Q111" i="15" s="1"/>
  <c r="R111" i="15" s="1"/>
  <c r="J111" i="15"/>
  <c r="AG110" i="15"/>
  <c r="AH110" i="15" s="1"/>
  <c r="X110" i="15"/>
  <c r="T110" i="15"/>
  <c r="O110" i="15"/>
  <c r="P110" i="15" s="1"/>
  <c r="Q110" i="15" s="1"/>
  <c r="R110" i="15" s="1"/>
  <c r="J110" i="15"/>
  <c r="AG109" i="15"/>
  <c r="AH109" i="15" s="1"/>
  <c r="X109" i="15"/>
  <c r="T109" i="15"/>
  <c r="O109" i="15"/>
  <c r="P109" i="15" s="1"/>
  <c r="Q109" i="15" s="1"/>
  <c r="R109" i="15" s="1"/>
  <c r="J109" i="15"/>
  <c r="AG108" i="15"/>
  <c r="AH108" i="15" s="1"/>
  <c r="X108" i="15"/>
  <c r="T108" i="15"/>
  <c r="O108" i="15"/>
  <c r="P108" i="15" s="1"/>
  <c r="Q108" i="15" s="1"/>
  <c r="J108" i="15"/>
  <c r="AG107" i="15"/>
  <c r="AH107" i="15" s="1"/>
  <c r="X107" i="15"/>
  <c r="T107" i="15"/>
  <c r="O107" i="15"/>
  <c r="P107" i="15" s="1"/>
  <c r="Q107" i="15" s="1"/>
  <c r="J107" i="15"/>
  <c r="AG106" i="15"/>
  <c r="AH106" i="15" s="1"/>
  <c r="X106" i="15"/>
  <c r="T106" i="15"/>
  <c r="O106" i="15"/>
  <c r="P106" i="15" s="1"/>
  <c r="Q106" i="15" s="1"/>
  <c r="J106" i="15"/>
  <c r="AG105" i="15"/>
  <c r="AH105" i="15" s="1"/>
  <c r="X105" i="15"/>
  <c r="T105" i="15"/>
  <c r="O105" i="15"/>
  <c r="P105" i="15" s="1"/>
  <c r="Q105" i="15" s="1"/>
  <c r="R105" i="15" s="1"/>
  <c r="J105" i="15"/>
  <c r="AG104" i="15"/>
  <c r="AH104" i="15" s="1"/>
  <c r="X104" i="15"/>
  <c r="T104" i="15"/>
  <c r="O104" i="15"/>
  <c r="P104" i="15" s="1"/>
  <c r="Q104" i="15" s="1"/>
  <c r="J104" i="15"/>
  <c r="AG103" i="15"/>
  <c r="AH103" i="15" s="1"/>
  <c r="X103" i="15"/>
  <c r="T103" i="15"/>
  <c r="O103" i="15"/>
  <c r="P103" i="15" s="1"/>
  <c r="Q103" i="15" s="1"/>
  <c r="R103" i="15" s="1"/>
  <c r="J103" i="15"/>
  <c r="AG102" i="15"/>
  <c r="AH102" i="15" s="1"/>
  <c r="X102" i="15"/>
  <c r="T102" i="15"/>
  <c r="O102" i="15"/>
  <c r="P102" i="15" s="1"/>
  <c r="Q102" i="15" s="1"/>
  <c r="J102" i="15"/>
  <c r="AG101" i="15"/>
  <c r="AH101" i="15" s="1"/>
  <c r="X101" i="15"/>
  <c r="T101" i="15"/>
  <c r="O101" i="15"/>
  <c r="P101" i="15" s="1"/>
  <c r="Q101" i="15" s="1"/>
  <c r="R101" i="15" s="1"/>
  <c r="J101" i="15"/>
  <c r="AG100" i="15"/>
  <c r="AH100" i="15" s="1"/>
  <c r="X100" i="15"/>
  <c r="T100" i="15"/>
  <c r="O100" i="15"/>
  <c r="P100" i="15" s="1"/>
  <c r="Q100" i="15" s="1"/>
  <c r="R100" i="15" s="1"/>
  <c r="J100" i="15"/>
  <c r="AG99" i="15"/>
  <c r="AH99" i="15" s="1"/>
  <c r="X99" i="15"/>
  <c r="T99" i="15"/>
  <c r="O99" i="15"/>
  <c r="P99" i="15" s="1"/>
  <c r="Q99" i="15" s="1"/>
  <c r="R99" i="15" s="1"/>
  <c r="J99" i="15"/>
  <c r="AG98" i="15"/>
  <c r="AH98" i="15" s="1"/>
  <c r="X98" i="15"/>
  <c r="T98" i="15"/>
  <c r="O98" i="15"/>
  <c r="P98" i="15" s="1"/>
  <c r="Q98" i="15" s="1"/>
  <c r="J98" i="15"/>
  <c r="AG97" i="15"/>
  <c r="AH97" i="15" s="1"/>
  <c r="X97" i="15"/>
  <c r="T97" i="15"/>
  <c r="O97" i="15"/>
  <c r="P97" i="15" s="1"/>
  <c r="Q97" i="15" s="1"/>
  <c r="R97" i="15" s="1"/>
  <c r="J97" i="15"/>
  <c r="AG96" i="15"/>
  <c r="AH96" i="15" s="1"/>
  <c r="X96" i="15"/>
  <c r="T96" i="15"/>
  <c r="O96" i="15"/>
  <c r="P96" i="15" s="1"/>
  <c r="Q96" i="15" s="1"/>
  <c r="J96" i="15"/>
  <c r="AG95" i="15"/>
  <c r="AH95" i="15" s="1"/>
  <c r="X95" i="15"/>
  <c r="T95" i="15"/>
  <c r="O95" i="15"/>
  <c r="P95" i="15" s="1"/>
  <c r="Q95" i="15" s="1"/>
  <c r="J95" i="15"/>
  <c r="AH94" i="15"/>
  <c r="AG94" i="15"/>
  <c r="X94" i="15"/>
  <c r="T94" i="15"/>
  <c r="O94" i="15"/>
  <c r="P94" i="15" s="1"/>
  <c r="Q94" i="15" s="1"/>
  <c r="J94" i="15"/>
  <c r="AG93" i="15"/>
  <c r="AH93" i="15" s="1"/>
  <c r="X93" i="15"/>
  <c r="T93" i="15"/>
  <c r="O93" i="15"/>
  <c r="P93" i="15" s="1"/>
  <c r="Q93" i="15" s="1"/>
  <c r="R93" i="15" s="1"/>
  <c r="J93" i="15"/>
  <c r="AG92" i="15"/>
  <c r="AH92" i="15" s="1"/>
  <c r="X92" i="15"/>
  <c r="T92" i="15"/>
  <c r="O92" i="15"/>
  <c r="P92" i="15" s="1"/>
  <c r="Q92" i="15" s="1"/>
  <c r="R92" i="15" s="1"/>
  <c r="J92" i="15"/>
  <c r="AG91" i="15"/>
  <c r="AH91" i="15" s="1"/>
  <c r="X91" i="15"/>
  <c r="T91" i="15"/>
  <c r="O91" i="15"/>
  <c r="P91" i="15" s="1"/>
  <c r="Q91" i="15" s="1"/>
  <c r="R91" i="15" s="1"/>
  <c r="J91" i="15"/>
  <c r="AG90" i="15"/>
  <c r="AH90" i="15" s="1"/>
  <c r="X90" i="15"/>
  <c r="T90" i="15"/>
  <c r="O90" i="15"/>
  <c r="P90" i="15" s="1"/>
  <c r="Q90" i="15" s="1"/>
  <c r="R90" i="15" s="1"/>
  <c r="J90" i="15"/>
  <c r="AG89" i="15"/>
  <c r="AH89" i="15" s="1"/>
  <c r="X89" i="15"/>
  <c r="T89" i="15"/>
  <c r="O89" i="15"/>
  <c r="P89" i="15" s="1"/>
  <c r="Q89" i="15" s="1"/>
  <c r="R89" i="15" s="1"/>
  <c r="J89" i="15"/>
  <c r="AG88" i="15"/>
  <c r="AH88" i="15" s="1"/>
  <c r="X88" i="15"/>
  <c r="T88" i="15"/>
  <c r="O88" i="15"/>
  <c r="P88" i="15" s="1"/>
  <c r="Q88" i="15" s="1"/>
  <c r="J88" i="15"/>
  <c r="AG87" i="15"/>
  <c r="AH87" i="15" s="1"/>
  <c r="X87" i="15"/>
  <c r="T87" i="15"/>
  <c r="O87" i="15"/>
  <c r="P87" i="15" s="1"/>
  <c r="Q87" i="15" s="1"/>
  <c r="J87" i="15"/>
  <c r="AG86" i="15"/>
  <c r="AH86" i="15" s="1"/>
  <c r="X86" i="15"/>
  <c r="T86" i="15"/>
  <c r="O86" i="15"/>
  <c r="P86" i="15" s="1"/>
  <c r="Q86" i="15" s="1"/>
  <c r="J86" i="15"/>
  <c r="AG85" i="15"/>
  <c r="AH85" i="15" s="1"/>
  <c r="X85" i="15"/>
  <c r="T85" i="15"/>
  <c r="O85" i="15"/>
  <c r="P85" i="15" s="1"/>
  <c r="Q85" i="15" s="1"/>
  <c r="R85" i="15" s="1"/>
  <c r="J85" i="15"/>
  <c r="AG84" i="15"/>
  <c r="AH84" i="15" s="1"/>
  <c r="X84" i="15"/>
  <c r="T84" i="15"/>
  <c r="O84" i="15"/>
  <c r="P84" i="15" s="1"/>
  <c r="Q84" i="15" s="1"/>
  <c r="R84" i="15" s="1"/>
  <c r="J84" i="15"/>
  <c r="AG83" i="15"/>
  <c r="AH83" i="15" s="1"/>
  <c r="X83" i="15"/>
  <c r="T83" i="15"/>
  <c r="O83" i="15"/>
  <c r="P83" i="15" s="1"/>
  <c r="Q83" i="15" s="1"/>
  <c r="R83" i="15" s="1"/>
  <c r="J83" i="15"/>
  <c r="AG82" i="15"/>
  <c r="AH82" i="15" s="1"/>
  <c r="X82" i="15"/>
  <c r="T82" i="15"/>
  <c r="O82" i="15"/>
  <c r="P82" i="15" s="1"/>
  <c r="Q82" i="15" s="1"/>
  <c r="J82" i="15"/>
  <c r="AG81" i="15"/>
  <c r="AH81" i="15" s="1"/>
  <c r="X81" i="15"/>
  <c r="T81" i="15"/>
  <c r="O81" i="15"/>
  <c r="P81" i="15" s="1"/>
  <c r="Q81" i="15" s="1"/>
  <c r="R81" i="15" s="1"/>
  <c r="J81" i="15"/>
  <c r="AG80" i="15"/>
  <c r="AH80" i="15" s="1"/>
  <c r="X80" i="15"/>
  <c r="T80" i="15"/>
  <c r="O80" i="15"/>
  <c r="P80" i="15" s="1"/>
  <c r="Q80" i="15" s="1"/>
  <c r="J80" i="15"/>
  <c r="AG79" i="15"/>
  <c r="AH79" i="15" s="1"/>
  <c r="X79" i="15"/>
  <c r="T79" i="15"/>
  <c r="O79" i="15"/>
  <c r="P79" i="15" s="1"/>
  <c r="Q79" i="15" s="1"/>
  <c r="J79" i="15"/>
  <c r="AG78" i="15"/>
  <c r="AH78" i="15" s="1"/>
  <c r="X78" i="15"/>
  <c r="T78" i="15"/>
  <c r="O78" i="15"/>
  <c r="P78" i="15" s="1"/>
  <c r="Q78" i="15" s="1"/>
  <c r="J78" i="15"/>
  <c r="AG77" i="15"/>
  <c r="AH77" i="15" s="1"/>
  <c r="X77" i="15"/>
  <c r="T77" i="15"/>
  <c r="O77" i="15"/>
  <c r="P77" i="15" s="1"/>
  <c r="Q77" i="15" s="1"/>
  <c r="R77" i="15" s="1"/>
  <c r="J77" i="15"/>
  <c r="AG76" i="15"/>
  <c r="AH76" i="15" s="1"/>
  <c r="X76" i="15"/>
  <c r="T76" i="15"/>
  <c r="O76" i="15"/>
  <c r="P76" i="15" s="1"/>
  <c r="Q76" i="15" s="1"/>
  <c r="R76" i="15" s="1"/>
  <c r="J76" i="15"/>
  <c r="AG75" i="15"/>
  <c r="AH75" i="15" s="1"/>
  <c r="X75" i="15"/>
  <c r="T75" i="15"/>
  <c r="O75" i="15"/>
  <c r="P75" i="15" s="1"/>
  <c r="Q75" i="15" s="1"/>
  <c r="R75" i="15" s="1"/>
  <c r="J75" i="15"/>
  <c r="AG74" i="15"/>
  <c r="AH74" i="15" s="1"/>
  <c r="X74" i="15"/>
  <c r="T74" i="15"/>
  <c r="O74" i="15"/>
  <c r="P74" i="15" s="1"/>
  <c r="Q74" i="15" s="1"/>
  <c r="R74" i="15" s="1"/>
  <c r="J74" i="15"/>
  <c r="AG73" i="15"/>
  <c r="AH73" i="15" s="1"/>
  <c r="X73" i="15"/>
  <c r="T73" i="15"/>
  <c r="O73" i="15"/>
  <c r="P73" i="15" s="1"/>
  <c r="Q73" i="15" s="1"/>
  <c r="J73" i="15"/>
  <c r="AG72" i="15"/>
  <c r="AH72" i="15" s="1"/>
  <c r="X72" i="15"/>
  <c r="T72" i="15"/>
  <c r="O72" i="15"/>
  <c r="P72" i="15" s="1"/>
  <c r="Q72" i="15" s="1"/>
  <c r="R72" i="15" s="1"/>
  <c r="J72" i="15"/>
  <c r="AG71" i="15"/>
  <c r="AH71" i="15" s="1"/>
  <c r="X71" i="15"/>
  <c r="T71" i="15"/>
  <c r="O71" i="15"/>
  <c r="P71" i="15" s="1"/>
  <c r="Q71" i="15" s="1"/>
  <c r="R71" i="15" s="1"/>
  <c r="J71" i="15"/>
  <c r="AG70" i="15"/>
  <c r="AH70" i="15" s="1"/>
  <c r="X70" i="15"/>
  <c r="T70" i="15"/>
  <c r="O70" i="15"/>
  <c r="P70" i="15" s="1"/>
  <c r="Q70" i="15" s="1"/>
  <c r="R70" i="15" s="1"/>
  <c r="J70" i="15"/>
  <c r="AH69" i="15"/>
  <c r="AG69" i="15"/>
  <c r="X69" i="15"/>
  <c r="T69" i="15"/>
  <c r="O69" i="15"/>
  <c r="P69" i="15" s="1"/>
  <c r="Q69" i="15" s="1"/>
  <c r="J69" i="15"/>
  <c r="AG68" i="15"/>
  <c r="AH68" i="15" s="1"/>
  <c r="X68" i="15"/>
  <c r="T68" i="15"/>
  <c r="O68" i="15"/>
  <c r="P68" i="15" s="1"/>
  <c r="Q68" i="15" s="1"/>
  <c r="R68" i="15" s="1"/>
  <c r="J68" i="15"/>
  <c r="AG67" i="15"/>
  <c r="AH67" i="15" s="1"/>
  <c r="X67" i="15"/>
  <c r="T67" i="15"/>
  <c r="O67" i="15"/>
  <c r="P67" i="15" s="1"/>
  <c r="Q67" i="15" s="1"/>
  <c r="R67" i="15" s="1"/>
  <c r="J67" i="15"/>
  <c r="AH66" i="15"/>
  <c r="AG66" i="15"/>
  <c r="X66" i="15"/>
  <c r="T66" i="15"/>
  <c r="O66" i="15"/>
  <c r="P66" i="15" s="1"/>
  <c r="Q66" i="15" s="1"/>
  <c r="R66" i="15" s="1"/>
  <c r="J66" i="15"/>
  <c r="AG65" i="15"/>
  <c r="AH65" i="15" s="1"/>
  <c r="X65" i="15"/>
  <c r="T65" i="15"/>
  <c r="O65" i="15"/>
  <c r="P65" i="15" s="1"/>
  <c r="Q65" i="15" s="1"/>
  <c r="R65" i="15" s="1"/>
  <c r="J65" i="15"/>
  <c r="AG64" i="15"/>
  <c r="AH64" i="15" s="1"/>
  <c r="X64" i="15"/>
  <c r="T64" i="15"/>
  <c r="O64" i="15"/>
  <c r="P64" i="15" s="1"/>
  <c r="Q64" i="15" s="1"/>
  <c r="R64" i="15" s="1"/>
  <c r="J64" i="15"/>
  <c r="AG63" i="15"/>
  <c r="AH63" i="15" s="1"/>
  <c r="X63" i="15"/>
  <c r="T63" i="15"/>
  <c r="O63" i="15"/>
  <c r="P63" i="15" s="1"/>
  <c r="Q63" i="15" s="1"/>
  <c r="R63" i="15" s="1"/>
  <c r="J63" i="15"/>
  <c r="AG62" i="15"/>
  <c r="AH62" i="15" s="1"/>
  <c r="X62" i="15"/>
  <c r="T62" i="15"/>
  <c r="O62" i="15"/>
  <c r="P62" i="15" s="1"/>
  <c r="Q62" i="15" s="1"/>
  <c r="J62" i="15"/>
  <c r="AG61" i="15"/>
  <c r="AH61" i="15" s="1"/>
  <c r="X61" i="15"/>
  <c r="T61" i="15"/>
  <c r="O61" i="15"/>
  <c r="P61" i="15" s="1"/>
  <c r="Q61" i="15" s="1"/>
  <c r="J61" i="15"/>
  <c r="AG60" i="15"/>
  <c r="AH60" i="15" s="1"/>
  <c r="X60" i="15"/>
  <c r="T60" i="15"/>
  <c r="O60" i="15"/>
  <c r="P60" i="15" s="1"/>
  <c r="Q60" i="15" s="1"/>
  <c r="R60" i="15" s="1"/>
  <c r="J60" i="15"/>
  <c r="AG59" i="15"/>
  <c r="AH59" i="15" s="1"/>
  <c r="X59" i="15"/>
  <c r="T59" i="15"/>
  <c r="O59" i="15"/>
  <c r="P59" i="15" s="1"/>
  <c r="Q59" i="15" s="1"/>
  <c r="R59" i="15" s="1"/>
  <c r="J59" i="15"/>
  <c r="AG58" i="15"/>
  <c r="AH58" i="15" s="1"/>
  <c r="X58" i="15"/>
  <c r="T58" i="15"/>
  <c r="O58" i="15"/>
  <c r="P58" i="15" s="1"/>
  <c r="Q58" i="15" s="1"/>
  <c r="R58" i="15" s="1"/>
  <c r="J58" i="15"/>
  <c r="AG57" i="15"/>
  <c r="AH57" i="15" s="1"/>
  <c r="X57" i="15"/>
  <c r="T57" i="15"/>
  <c r="O57" i="15"/>
  <c r="P57" i="15" s="1"/>
  <c r="Q57" i="15" s="1"/>
  <c r="J57" i="15"/>
  <c r="AG56" i="15"/>
  <c r="AH56" i="15" s="1"/>
  <c r="X56" i="15"/>
  <c r="T56" i="15"/>
  <c r="O56" i="15"/>
  <c r="P56" i="15" s="1"/>
  <c r="Q56" i="15" s="1"/>
  <c r="R56" i="15" s="1"/>
  <c r="J56" i="15"/>
  <c r="AG55" i="15"/>
  <c r="AH55" i="15" s="1"/>
  <c r="X55" i="15"/>
  <c r="T55" i="15"/>
  <c r="O55" i="15"/>
  <c r="P55" i="15" s="1"/>
  <c r="Q55" i="15" s="1"/>
  <c r="R55" i="15" s="1"/>
  <c r="J55" i="15"/>
  <c r="AG54" i="15"/>
  <c r="AH54" i="15" s="1"/>
  <c r="X54" i="15"/>
  <c r="T54" i="15"/>
  <c r="O54" i="15"/>
  <c r="P54" i="15" s="1"/>
  <c r="Q54" i="15" s="1"/>
  <c r="R54" i="15" s="1"/>
  <c r="J54" i="15"/>
  <c r="AG53" i="15"/>
  <c r="AH53" i="15" s="1"/>
  <c r="X53" i="15"/>
  <c r="T53" i="15"/>
  <c r="O53" i="15"/>
  <c r="P53" i="15" s="1"/>
  <c r="Q53" i="15" s="1"/>
  <c r="J53" i="15"/>
  <c r="AG52" i="15"/>
  <c r="AH52" i="15" s="1"/>
  <c r="X52" i="15"/>
  <c r="T52" i="15"/>
  <c r="O52" i="15"/>
  <c r="P52" i="15" s="1"/>
  <c r="Q52" i="15" s="1"/>
  <c r="R52" i="15" s="1"/>
  <c r="J52" i="15"/>
  <c r="AG51" i="15"/>
  <c r="AH51" i="15" s="1"/>
  <c r="X51" i="15"/>
  <c r="T51" i="15"/>
  <c r="O51" i="15"/>
  <c r="P51" i="15" s="1"/>
  <c r="Q51" i="15" s="1"/>
  <c r="R51" i="15" s="1"/>
  <c r="J51" i="15"/>
  <c r="AG50" i="15"/>
  <c r="AH50" i="15" s="1"/>
  <c r="X50" i="15"/>
  <c r="T50" i="15"/>
  <c r="O50" i="15"/>
  <c r="P50" i="15" s="1"/>
  <c r="Q50" i="15" s="1"/>
  <c r="R50" i="15" s="1"/>
  <c r="J50" i="15"/>
  <c r="AG49" i="15"/>
  <c r="AH49" i="15" s="1"/>
  <c r="X49" i="15"/>
  <c r="T49" i="15"/>
  <c r="O49" i="15"/>
  <c r="P49" i="15" s="1"/>
  <c r="Q49" i="15" s="1"/>
  <c r="R49" i="15" s="1"/>
  <c r="J49" i="15"/>
  <c r="AG48" i="15"/>
  <c r="AH48" i="15" s="1"/>
  <c r="X48" i="15"/>
  <c r="T48" i="15"/>
  <c r="O48" i="15"/>
  <c r="P48" i="15" s="1"/>
  <c r="Q48" i="15" s="1"/>
  <c r="R48" i="15" s="1"/>
  <c r="J48" i="15"/>
  <c r="AG47" i="15"/>
  <c r="AH47" i="15" s="1"/>
  <c r="X47" i="15"/>
  <c r="T47" i="15"/>
  <c r="O47" i="15"/>
  <c r="P47" i="15" s="1"/>
  <c r="Q47" i="15" s="1"/>
  <c r="R47" i="15" s="1"/>
  <c r="J47" i="15"/>
  <c r="AG46" i="15"/>
  <c r="AH46" i="15" s="1"/>
  <c r="X46" i="15"/>
  <c r="T46" i="15"/>
  <c r="O46" i="15"/>
  <c r="P46" i="15" s="1"/>
  <c r="Q46" i="15" s="1"/>
  <c r="R46" i="15" s="1"/>
  <c r="J46" i="15"/>
  <c r="AG45" i="15"/>
  <c r="AH45" i="15" s="1"/>
  <c r="X45" i="15"/>
  <c r="T45" i="15"/>
  <c r="O45" i="15"/>
  <c r="P45" i="15" s="1"/>
  <c r="Q45" i="15" s="1"/>
  <c r="R45" i="15" s="1"/>
  <c r="J45" i="15"/>
  <c r="AG44" i="15"/>
  <c r="AH44" i="15" s="1"/>
  <c r="X44" i="15"/>
  <c r="T44" i="15"/>
  <c r="O44" i="15"/>
  <c r="P44" i="15" s="1"/>
  <c r="Q44" i="15" s="1"/>
  <c r="R44" i="15" s="1"/>
  <c r="J44" i="15"/>
  <c r="AG43" i="15"/>
  <c r="AH43" i="15" s="1"/>
  <c r="X43" i="15"/>
  <c r="T43" i="15"/>
  <c r="O43" i="15"/>
  <c r="P43" i="15" s="1"/>
  <c r="Q43" i="15" s="1"/>
  <c r="R43" i="15" s="1"/>
  <c r="J43" i="15"/>
  <c r="AG42" i="15"/>
  <c r="AH42" i="15" s="1"/>
  <c r="X42" i="15"/>
  <c r="T42" i="15"/>
  <c r="O42" i="15"/>
  <c r="P42" i="15" s="1"/>
  <c r="Q42" i="15" s="1"/>
  <c r="J42" i="15"/>
  <c r="AG41" i="15"/>
  <c r="AH41" i="15" s="1"/>
  <c r="X41" i="15"/>
  <c r="T41" i="15"/>
  <c r="O41" i="15"/>
  <c r="P41" i="15" s="1"/>
  <c r="Q41" i="15" s="1"/>
  <c r="R41" i="15" s="1"/>
  <c r="J41" i="15"/>
  <c r="AG40" i="15"/>
  <c r="AH40" i="15" s="1"/>
  <c r="X40" i="15"/>
  <c r="T40" i="15"/>
  <c r="O40" i="15"/>
  <c r="P40" i="15" s="1"/>
  <c r="Q40" i="15" s="1"/>
  <c r="R40" i="15" s="1"/>
  <c r="J40" i="15"/>
  <c r="AG39" i="15"/>
  <c r="AH39" i="15" s="1"/>
  <c r="X39" i="15"/>
  <c r="T39" i="15"/>
  <c r="O39" i="15"/>
  <c r="P39" i="15" s="1"/>
  <c r="Q39" i="15" s="1"/>
  <c r="J39" i="15"/>
  <c r="AG38" i="15"/>
  <c r="AH38" i="15" s="1"/>
  <c r="X38" i="15"/>
  <c r="T38" i="15"/>
  <c r="O38" i="15"/>
  <c r="P38" i="15" s="1"/>
  <c r="Q38" i="15" s="1"/>
  <c r="J38" i="15"/>
  <c r="AG37" i="15"/>
  <c r="AH37" i="15" s="1"/>
  <c r="X37" i="15"/>
  <c r="T37" i="15"/>
  <c r="O37" i="15"/>
  <c r="P37" i="15" s="1"/>
  <c r="Q37" i="15" s="1"/>
  <c r="R37" i="15" s="1"/>
  <c r="J37" i="15"/>
  <c r="AG36" i="15"/>
  <c r="AH36" i="15" s="1"/>
  <c r="X36" i="15"/>
  <c r="T36" i="15"/>
  <c r="O36" i="15"/>
  <c r="P36" i="15" s="1"/>
  <c r="Q36" i="15" s="1"/>
  <c r="J36" i="15"/>
  <c r="AG35" i="15"/>
  <c r="AH35" i="15" s="1"/>
  <c r="X35" i="15"/>
  <c r="T35" i="15"/>
  <c r="O35" i="15"/>
  <c r="P35" i="15" s="1"/>
  <c r="Q35" i="15" s="1"/>
  <c r="J35" i="15"/>
  <c r="AG34" i="15"/>
  <c r="AH34" i="15" s="1"/>
  <c r="X34" i="15"/>
  <c r="T34" i="15"/>
  <c r="O34" i="15"/>
  <c r="P34" i="15" s="1"/>
  <c r="Q34" i="15" s="1"/>
  <c r="J34" i="15"/>
  <c r="AG33" i="15"/>
  <c r="AH33" i="15" s="1"/>
  <c r="X33" i="15"/>
  <c r="T33" i="15"/>
  <c r="O33" i="15"/>
  <c r="P33" i="15" s="1"/>
  <c r="Q33" i="15" s="1"/>
  <c r="R33" i="15" s="1"/>
  <c r="J33" i="15"/>
  <c r="AH32" i="15"/>
  <c r="AG32" i="15"/>
  <c r="X32" i="15"/>
  <c r="T32" i="15"/>
  <c r="O32" i="15"/>
  <c r="P32" i="15" s="1"/>
  <c r="Q32" i="15" s="1"/>
  <c r="R32" i="15" s="1"/>
  <c r="J32" i="15"/>
  <c r="AG31" i="15"/>
  <c r="AH31" i="15" s="1"/>
  <c r="X31" i="15"/>
  <c r="T31" i="15"/>
  <c r="O31" i="15"/>
  <c r="P31" i="15" s="1"/>
  <c r="Q31" i="15" s="1"/>
  <c r="J31" i="15"/>
  <c r="AG30" i="15"/>
  <c r="AH30" i="15" s="1"/>
  <c r="X30" i="15"/>
  <c r="T30" i="15"/>
  <c r="O30" i="15"/>
  <c r="P30" i="15" s="1"/>
  <c r="Q30" i="15" s="1"/>
  <c r="J30" i="15"/>
  <c r="AG29" i="15"/>
  <c r="AH29" i="15" s="1"/>
  <c r="X29" i="15"/>
  <c r="T29" i="15"/>
  <c r="O29" i="15"/>
  <c r="P29" i="15" s="1"/>
  <c r="Q29" i="15" s="1"/>
  <c r="R29" i="15" s="1"/>
  <c r="J29" i="15"/>
  <c r="AG28" i="15"/>
  <c r="AH28" i="15" s="1"/>
  <c r="X28" i="15"/>
  <c r="T28" i="15"/>
  <c r="O28" i="15"/>
  <c r="P28" i="15" s="1"/>
  <c r="Q28" i="15" s="1"/>
  <c r="J28" i="15"/>
  <c r="AG27" i="15"/>
  <c r="AH27" i="15" s="1"/>
  <c r="X27" i="15"/>
  <c r="T27" i="15"/>
  <c r="O27" i="15"/>
  <c r="P27" i="15" s="1"/>
  <c r="Q27" i="15" s="1"/>
  <c r="J27" i="15"/>
  <c r="AI21" i="15"/>
  <c r="Z20" i="15"/>
  <c r="AA21" i="15" s="1"/>
  <c r="AL17" i="15"/>
  <c r="AE17" i="15"/>
  <c r="Z17" i="15"/>
  <c r="W17" i="15"/>
  <c r="V17" i="15"/>
  <c r="S17" i="15"/>
  <c r="N17" i="15"/>
  <c r="L17" i="15"/>
  <c r="K17" i="15"/>
  <c r="E17" i="15"/>
  <c r="D17" i="15"/>
  <c r="C17" i="15"/>
  <c r="J17" i="15" l="1"/>
  <c r="X17" i="15"/>
  <c r="U82" i="15"/>
  <c r="U127" i="15"/>
  <c r="U138" i="15"/>
  <c r="U31" i="15"/>
  <c r="U170" i="15"/>
  <c r="U63" i="15"/>
  <c r="U95" i="15"/>
  <c r="U162" i="15"/>
  <c r="U35" i="15"/>
  <c r="U39" i="15"/>
  <c r="U98" i="15"/>
  <c r="R98" i="15"/>
  <c r="U195" i="15"/>
  <c r="U58" i="15"/>
  <c r="U45" i="15"/>
  <c r="U70" i="15"/>
  <c r="U129" i="15"/>
  <c r="U145" i="15"/>
  <c r="U152" i="15"/>
  <c r="U33" i="15"/>
  <c r="U27" i="15"/>
  <c r="R27" i="15"/>
  <c r="R73" i="15"/>
  <c r="U73" i="15"/>
  <c r="R62" i="15"/>
  <c r="U62" i="15"/>
  <c r="R57" i="15"/>
  <c r="U57" i="15"/>
  <c r="U79" i="15"/>
  <c r="R79" i="15"/>
  <c r="R87" i="15"/>
  <c r="U87" i="15"/>
  <c r="U107" i="15"/>
  <c r="R107" i="15"/>
  <c r="U32" i="15"/>
  <c r="U163" i="15"/>
  <c r="R163" i="15"/>
  <c r="U167" i="15"/>
  <c r="R167" i="15"/>
  <c r="U172" i="15"/>
  <c r="R172" i="15"/>
  <c r="U180" i="15"/>
  <c r="R180" i="15"/>
  <c r="U38" i="15"/>
  <c r="U41" i="15"/>
  <c r="U51" i="15"/>
  <c r="U81" i="15"/>
  <c r="U148" i="15"/>
  <c r="R148" i="15"/>
  <c r="U159" i="15"/>
  <c r="R159" i="15"/>
  <c r="U161" i="15"/>
  <c r="U30" i="15"/>
  <c r="R30" i="15"/>
  <c r="R38" i="15"/>
  <c r="U40" i="15"/>
  <c r="U42" i="15"/>
  <c r="U56" i="15"/>
  <c r="U71" i="15"/>
  <c r="U74" i="15"/>
  <c r="R95" i="15"/>
  <c r="U106" i="15"/>
  <c r="U112" i="15"/>
  <c r="U114" i="15"/>
  <c r="R114" i="15"/>
  <c r="U118" i="15"/>
  <c r="R118" i="15"/>
  <c r="U120" i="15"/>
  <c r="U122" i="15"/>
  <c r="R122" i="15"/>
  <c r="U126" i="15"/>
  <c r="R126" i="15"/>
  <c r="U130" i="15"/>
  <c r="U164" i="15"/>
  <c r="U168" i="15"/>
  <c r="U175" i="15"/>
  <c r="R175" i="15"/>
  <c r="U187" i="15"/>
  <c r="R35" i="15"/>
  <c r="R82" i="15"/>
  <c r="R115" i="15"/>
  <c r="R123" i="15"/>
  <c r="R127" i="15"/>
  <c r="U135" i="15"/>
  <c r="U143" i="15"/>
  <c r="U151" i="15"/>
  <c r="U156" i="15"/>
  <c r="M17" i="15"/>
  <c r="U34" i="15"/>
  <c r="U46" i="15"/>
  <c r="U67" i="15"/>
  <c r="U72" i="15"/>
  <c r="U91" i="15"/>
  <c r="U92" i="15"/>
  <c r="U105" i="15"/>
  <c r="U139" i="15"/>
  <c r="U140" i="15"/>
  <c r="U144" i="15"/>
  <c r="U110" i="15"/>
  <c r="U153" i="15"/>
  <c r="U160" i="15"/>
  <c r="U178" i="15"/>
  <c r="R28" i="15"/>
  <c r="U28" i="15"/>
  <c r="R36" i="15"/>
  <c r="U36" i="15"/>
  <c r="AA192" i="15"/>
  <c r="AA188" i="15"/>
  <c r="AA184" i="15"/>
  <c r="AA180" i="15"/>
  <c r="AA194" i="15"/>
  <c r="AA190" i="15"/>
  <c r="AA186" i="15"/>
  <c r="AA182" i="15"/>
  <c r="AA175" i="15"/>
  <c r="AA171" i="15"/>
  <c r="AA195" i="15"/>
  <c r="AA187" i="15"/>
  <c r="AA176" i="15"/>
  <c r="AA168" i="15"/>
  <c r="AA164" i="15"/>
  <c r="AA189" i="15"/>
  <c r="AA181" i="15"/>
  <c r="AA174" i="15"/>
  <c r="AA173" i="15"/>
  <c r="AA167" i="15"/>
  <c r="AA163" i="15"/>
  <c r="AA159" i="15"/>
  <c r="AA155" i="15"/>
  <c r="AA151" i="15"/>
  <c r="AA147" i="15"/>
  <c r="AA169" i="15"/>
  <c r="AA162" i="15"/>
  <c r="AA161" i="15"/>
  <c r="AA160" i="15"/>
  <c r="AA152" i="15"/>
  <c r="AA144" i="15"/>
  <c r="AA191" i="15"/>
  <c r="AA178" i="15"/>
  <c r="AA170" i="15"/>
  <c r="AA158" i="15"/>
  <c r="AA157" i="15"/>
  <c r="AA150" i="15"/>
  <c r="AA149" i="15"/>
  <c r="AA142" i="15"/>
  <c r="AA138" i="15"/>
  <c r="AA134" i="15"/>
  <c r="AA130" i="15"/>
  <c r="AA179" i="15"/>
  <c r="AA137" i="15"/>
  <c r="AA136" i="15"/>
  <c r="AA129" i="15"/>
  <c r="AA128" i="15"/>
  <c r="AA127" i="15"/>
  <c r="AA123" i="15"/>
  <c r="AA119" i="15"/>
  <c r="AA115" i="15"/>
  <c r="AA111" i="15"/>
  <c r="AA107" i="15"/>
  <c r="AA172" i="15"/>
  <c r="AA166" i="15"/>
  <c r="AA143" i="15"/>
  <c r="AA135" i="15"/>
  <c r="AA126" i="15"/>
  <c r="AA122" i="15"/>
  <c r="AA118" i="15"/>
  <c r="AA114" i="15"/>
  <c r="AA110" i="15"/>
  <c r="AA106" i="15"/>
  <c r="AA102" i="15"/>
  <c r="AA98" i="15"/>
  <c r="AA94" i="15"/>
  <c r="AA90" i="15"/>
  <c r="AA86" i="15"/>
  <c r="AA82" i="15"/>
  <c r="AA78" i="15"/>
  <c r="AA185" i="15"/>
  <c r="AA121" i="15"/>
  <c r="AA120" i="15"/>
  <c r="AA113" i="15"/>
  <c r="AA112" i="15"/>
  <c r="AA105" i="15"/>
  <c r="AA104" i="15"/>
  <c r="AA97" i="15"/>
  <c r="AA96" i="15"/>
  <c r="AA89" i="15"/>
  <c r="AA88" i="15"/>
  <c r="AA81" i="15"/>
  <c r="AA80" i="15"/>
  <c r="AA193" i="15"/>
  <c r="AA165" i="15"/>
  <c r="AA156" i="15"/>
  <c r="AA146" i="15"/>
  <c r="AA145" i="15"/>
  <c r="AA141" i="15"/>
  <c r="AA139" i="15"/>
  <c r="AA132" i="15"/>
  <c r="AA103" i="15"/>
  <c r="AA95" i="15"/>
  <c r="AA87" i="15"/>
  <c r="AA79" i="15"/>
  <c r="AA73" i="15"/>
  <c r="AA69" i="15"/>
  <c r="AA65" i="15"/>
  <c r="AA61" i="15"/>
  <c r="AA57" i="15"/>
  <c r="AA53" i="15"/>
  <c r="AA49" i="15"/>
  <c r="AA140" i="15"/>
  <c r="AA116" i="15"/>
  <c r="AA109" i="15"/>
  <c r="AA72" i="15"/>
  <c r="AA71" i="15"/>
  <c r="AA64" i="15"/>
  <c r="AA63" i="15"/>
  <c r="AA56" i="15"/>
  <c r="AA55" i="15"/>
  <c r="AA47" i="15"/>
  <c r="AA43" i="15"/>
  <c r="AA39" i="15"/>
  <c r="AA35" i="15"/>
  <c r="AA31" i="15"/>
  <c r="AA27" i="15"/>
  <c r="AA75" i="15"/>
  <c r="AA67" i="15"/>
  <c r="AA59" i="15"/>
  <c r="AA52" i="15"/>
  <c r="AA51" i="15"/>
  <c r="AA154" i="15"/>
  <c r="AA153" i="15"/>
  <c r="AA148" i="15"/>
  <c r="AA108" i="15"/>
  <c r="AA100" i="15"/>
  <c r="AA93" i="15"/>
  <c r="AA91" i="15"/>
  <c r="AA84" i="15"/>
  <c r="AA77" i="15"/>
  <c r="AA70" i="15"/>
  <c r="AA62" i="15"/>
  <c r="AA54" i="15"/>
  <c r="AA46" i="15"/>
  <c r="AA42" i="15"/>
  <c r="AA38" i="15"/>
  <c r="AA34" i="15"/>
  <c r="AA30" i="15"/>
  <c r="AA133" i="15"/>
  <c r="AA131" i="15"/>
  <c r="AA125" i="15"/>
  <c r="AA76" i="15"/>
  <c r="AA68" i="15"/>
  <c r="AA60" i="15"/>
  <c r="AA45" i="15"/>
  <c r="AH17" i="15"/>
  <c r="AA32" i="15"/>
  <c r="AA33" i="15"/>
  <c r="AA40" i="15"/>
  <c r="R88" i="15"/>
  <c r="U88" i="15"/>
  <c r="AA99" i="15"/>
  <c r="T17" i="15"/>
  <c r="AA50" i="15"/>
  <c r="AA66" i="15"/>
  <c r="AA83" i="15"/>
  <c r="AA85" i="15"/>
  <c r="AA28" i="15"/>
  <c r="AA29" i="15"/>
  <c r="R31" i="15"/>
  <c r="R34" i="15"/>
  <c r="AA36" i="15"/>
  <c r="AA37" i="15"/>
  <c r="R39" i="15"/>
  <c r="R42" i="15"/>
  <c r="U54" i="15"/>
  <c r="U55" i="15"/>
  <c r="R104" i="15"/>
  <c r="U104" i="15"/>
  <c r="U111" i="15"/>
  <c r="AA117" i="15"/>
  <c r="R142" i="15"/>
  <c r="U142" i="15"/>
  <c r="AA183" i="15"/>
  <c r="X20" i="15"/>
  <c r="Y21" i="15" s="1"/>
  <c r="Y34" i="15" s="1"/>
  <c r="AA41" i="15"/>
  <c r="R80" i="15"/>
  <c r="U80" i="15"/>
  <c r="AA92" i="15"/>
  <c r="AA101" i="15"/>
  <c r="AA44" i="15"/>
  <c r="AA48" i="15"/>
  <c r="R61" i="15"/>
  <c r="U61" i="15"/>
  <c r="U29" i="15"/>
  <c r="U37" i="15"/>
  <c r="U43" i="15"/>
  <c r="U44" i="15"/>
  <c r="U47" i="15"/>
  <c r="U48" i="15"/>
  <c r="U49" i="15"/>
  <c r="U50" i="15"/>
  <c r="R53" i="15"/>
  <c r="U53" i="15"/>
  <c r="AA58" i="15"/>
  <c r="U59" i="15"/>
  <c r="U64" i="15"/>
  <c r="U65" i="15"/>
  <c r="U66" i="15"/>
  <c r="R69" i="15"/>
  <c r="U69" i="15"/>
  <c r="AA74" i="15"/>
  <c r="U75" i="15"/>
  <c r="R96" i="15"/>
  <c r="U96" i="15"/>
  <c r="U97" i="15"/>
  <c r="R124" i="15"/>
  <c r="U124" i="15"/>
  <c r="AA124" i="15"/>
  <c r="R177" i="15"/>
  <c r="U177" i="15"/>
  <c r="AA177" i="15"/>
  <c r="R78" i="15"/>
  <c r="U78" i="15"/>
  <c r="U90" i="15"/>
  <c r="U103" i="15"/>
  <c r="U119" i="15"/>
  <c r="R136" i="15"/>
  <c r="U136" i="15"/>
  <c r="R169" i="15"/>
  <c r="U169" i="15"/>
  <c r="R176" i="15"/>
  <c r="U176" i="15"/>
  <c r="U52" i="15"/>
  <c r="U60" i="15"/>
  <c r="U68" i="15"/>
  <c r="U76" i="15"/>
  <c r="U83" i="15"/>
  <c r="U89" i="15"/>
  <c r="U99" i="15"/>
  <c r="R106" i="15"/>
  <c r="R108" i="15"/>
  <c r="U108" i="15"/>
  <c r="U113" i="15"/>
  <c r="U128" i="15"/>
  <c r="R157" i="15"/>
  <c r="U157" i="15"/>
  <c r="R94" i="15"/>
  <c r="U94" i="15"/>
  <c r="U84" i="15"/>
  <c r="R86" i="15"/>
  <c r="U86" i="15"/>
  <c r="U100" i="15"/>
  <c r="R102" i="15"/>
  <c r="U102" i="15"/>
  <c r="R116" i="15"/>
  <c r="U116" i="15"/>
  <c r="U121" i="15"/>
  <c r="U77" i="15"/>
  <c r="U85" i="15"/>
  <c r="U93" i="15"/>
  <c r="U101" i="15"/>
  <c r="U109" i="15"/>
  <c r="U117" i="15"/>
  <c r="U125" i="15"/>
  <c r="U131" i="15"/>
  <c r="U137" i="15"/>
  <c r="R165" i="15"/>
  <c r="U165" i="15"/>
  <c r="R192" i="15"/>
  <c r="U192" i="15"/>
  <c r="U132" i="15"/>
  <c r="R134" i="15"/>
  <c r="U134" i="15"/>
  <c r="R149" i="15"/>
  <c r="U149" i="15"/>
  <c r="R171" i="15"/>
  <c r="U171" i="15"/>
  <c r="U133" i="15"/>
  <c r="U141" i="15"/>
  <c r="U147" i="15"/>
  <c r="U155" i="15"/>
  <c r="R184" i="15"/>
  <c r="U184" i="15"/>
  <c r="U146" i="15"/>
  <c r="U154" i="15"/>
  <c r="U166" i="15"/>
  <c r="R173" i="15"/>
  <c r="U173" i="15"/>
  <c r="U181" i="15"/>
  <c r="R186" i="15"/>
  <c r="U186" i="15"/>
  <c r="U150" i="15"/>
  <c r="U158" i="15"/>
  <c r="U189" i="15"/>
  <c r="R194" i="15"/>
  <c r="U194" i="15"/>
  <c r="R182" i="15"/>
  <c r="U182" i="15"/>
  <c r="U185" i="15"/>
  <c r="R190" i="15"/>
  <c r="U190" i="15"/>
  <c r="U193" i="15"/>
  <c r="U174" i="15"/>
  <c r="U183" i="15"/>
  <c r="R188" i="15"/>
  <c r="U188" i="15"/>
  <c r="U191" i="15"/>
  <c r="U179" i="15"/>
  <c r="Y99" i="15" l="1"/>
  <c r="AB99" i="15" s="1"/>
  <c r="AC99" i="15" s="1"/>
  <c r="AD99" i="15" s="1"/>
  <c r="Y135" i="15"/>
  <c r="AB135" i="15" s="1"/>
  <c r="AC135" i="15" s="1"/>
  <c r="AD135" i="15" s="1"/>
  <c r="AI135" i="15" s="1"/>
  <c r="AJ135" i="15" s="1"/>
  <c r="AM135" i="15" s="1"/>
  <c r="Y87" i="15"/>
  <c r="AB87" i="15" s="1"/>
  <c r="AC87" i="15" s="1"/>
  <c r="AD87" i="15" s="1"/>
  <c r="Y91" i="15"/>
  <c r="AB91" i="15" s="1"/>
  <c r="AC91" i="15" s="1"/>
  <c r="AD91" i="15" s="1"/>
  <c r="AI91" i="15" s="1"/>
  <c r="AJ91" i="15" s="1"/>
  <c r="AM91" i="15" s="1"/>
  <c r="Y62" i="15"/>
  <c r="Y119" i="15"/>
  <c r="AB119" i="15" s="1"/>
  <c r="AC119" i="15" s="1"/>
  <c r="AD119" i="15" s="1"/>
  <c r="Y106" i="15"/>
  <c r="Y189" i="15"/>
  <c r="AB189" i="15" s="1"/>
  <c r="AC189" i="15" s="1"/>
  <c r="AD189" i="15" s="1"/>
  <c r="AI189" i="15" s="1"/>
  <c r="AJ189" i="15" s="1"/>
  <c r="AM189" i="15" s="1"/>
  <c r="Y139" i="15"/>
  <c r="Y58" i="15"/>
  <c r="AI87" i="15"/>
  <c r="AJ87" i="15" s="1"/>
  <c r="AM87" i="15" s="1"/>
  <c r="AB139" i="15"/>
  <c r="AC139" i="15" s="1"/>
  <c r="AD139" i="15" s="1"/>
  <c r="AI139" i="15" s="1"/>
  <c r="AJ139" i="15" s="1"/>
  <c r="AM139" i="15" s="1"/>
  <c r="AB106" i="15"/>
  <c r="AC106" i="15" s="1"/>
  <c r="AD106" i="15" s="1"/>
  <c r="AB34" i="15"/>
  <c r="AC34" i="15" s="1"/>
  <c r="AD34" i="15" s="1"/>
  <c r="AI34" i="15" s="1"/>
  <c r="AJ34" i="15" s="1"/>
  <c r="AM34" i="15" s="1"/>
  <c r="Y193" i="15"/>
  <c r="Y185" i="15"/>
  <c r="AB185" i="15" s="1"/>
  <c r="AC185" i="15" s="1"/>
  <c r="AD185" i="15" s="1"/>
  <c r="Y160" i="15"/>
  <c r="AB160" i="15" s="1"/>
  <c r="AC160" i="15" s="1"/>
  <c r="AD160" i="15" s="1"/>
  <c r="AI160" i="15" s="1"/>
  <c r="AJ160" i="15" s="1"/>
  <c r="AM160" i="15" s="1"/>
  <c r="Y81" i="15"/>
  <c r="AB81" i="15" s="1"/>
  <c r="AC81" i="15" s="1"/>
  <c r="AD81" i="15" s="1"/>
  <c r="AI81" i="15" s="1"/>
  <c r="AJ81" i="15" s="1"/>
  <c r="AM81" i="15" s="1"/>
  <c r="AB62" i="15"/>
  <c r="AC62" i="15" s="1"/>
  <c r="AD62" i="15" s="1"/>
  <c r="AI62" i="15" s="1"/>
  <c r="AJ62" i="15" s="1"/>
  <c r="AM62" i="15" s="1"/>
  <c r="Y56" i="15"/>
  <c r="AB56" i="15" s="1"/>
  <c r="AC56" i="15" s="1"/>
  <c r="AD56" i="15" s="1"/>
  <c r="AI56" i="15" s="1"/>
  <c r="AJ56" i="15" s="1"/>
  <c r="AM56" i="15" s="1"/>
  <c r="Y31" i="15"/>
  <c r="AB31" i="15" s="1"/>
  <c r="AC31" i="15" s="1"/>
  <c r="AD31" i="15" s="1"/>
  <c r="AI31" i="15" s="1"/>
  <c r="AJ31" i="15" s="1"/>
  <c r="AM31" i="15" s="1"/>
  <c r="Y143" i="15"/>
  <c r="AB143" i="15" s="1"/>
  <c r="AC143" i="15" s="1"/>
  <c r="AD143" i="15" s="1"/>
  <c r="AI143" i="15" s="1"/>
  <c r="AJ143" i="15" s="1"/>
  <c r="Y152" i="15"/>
  <c r="AB152" i="15" s="1"/>
  <c r="AC152" i="15" s="1"/>
  <c r="AD152" i="15" s="1"/>
  <c r="AI152" i="15" s="1"/>
  <c r="AJ152" i="15" s="1"/>
  <c r="AM152" i="15" s="1"/>
  <c r="Y50" i="15"/>
  <c r="AB50" i="15" s="1"/>
  <c r="AC50" i="15" s="1"/>
  <c r="AD50" i="15" s="1"/>
  <c r="AI50" i="15" s="1"/>
  <c r="AJ50" i="15" s="1"/>
  <c r="AM50" i="15" s="1"/>
  <c r="Y103" i="15"/>
  <c r="AI106" i="15"/>
  <c r="AJ106" i="15" s="1"/>
  <c r="AM106" i="15" s="1"/>
  <c r="Y72" i="15"/>
  <c r="AB72" i="15" s="1"/>
  <c r="AC72" i="15" s="1"/>
  <c r="AD72" i="15" s="1"/>
  <c r="AI72" i="15" s="1"/>
  <c r="AJ72" i="15" s="1"/>
  <c r="AM72" i="15" s="1"/>
  <c r="Y43" i="15"/>
  <c r="AB43" i="15" s="1"/>
  <c r="AC43" i="15" s="1"/>
  <c r="AD43" i="15" s="1"/>
  <c r="AI43" i="15" s="1"/>
  <c r="AJ43" i="15" s="1"/>
  <c r="AM43" i="15" s="1"/>
  <c r="Y144" i="15"/>
  <c r="AB144" i="15" s="1"/>
  <c r="AC144" i="15" s="1"/>
  <c r="AD144" i="15" s="1"/>
  <c r="AI144" i="15" s="1"/>
  <c r="AJ144" i="15" s="1"/>
  <c r="AM144" i="15" s="1"/>
  <c r="Y148" i="15"/>
  <c r="AB148" i="15" s="1"/>
  <c r="AC148" i="15" s="1"/>
  <c r="AD148" i="15" s="1"/>
  <c r="AI148" i="15" s="1"/>
  <c r="AJ148" i="15" s="1"/>
  <c r="AM148" i="15" s="1"/>
  <c r="Y131" i="15"/>
  <c r="AB131" i="15" s="1"/>
  <c r="AC131" i="15" s="1"/>
  <c r="AD131" i="15" s="1"/>
  <c r="AI131" i="15" s="1"/>
  <c r="AJ131" i="15" s="1"/>
  <c r="AM131" i="15" s="1"/>
  <c r="Y137" i="15"/>
  <c r="AB137" i="15" s="1"/>
  <c r="AC137" i="15" s="1"/>
  <c r="AD137" i="15" s="1"/>
  <c r="AI137" i="15" s="1"/>
  <c r="AJ137" i="15" s="1"/>
  <c r="AM137" i="15" s="1"/>
  <c r="Y123" i="15"/>
  <c r="AB123" i="15" s="1"/>
  <c r="AC123" i="15" s="1"/>
  <c r="AD123" i="15" s="1"/>
  <c r="AI123" i="15" s="1"/>
  <c r="AJ123" i="15" s="1"/>
  <c r="AM123" i="15" s="1"/>
  <c r="Y54" i="15"/>
  <c r="AB54" i="15" s="1"/>
  <c r="AC54" i="15" s="1"/>
  <c r="AD54" i="15" s="1"/>
  <c r="AI54" i="15" s="1"/>
  <c r="AJ54" i="15" s="1"/>
  <c r="AM54" i="15" s="1"/>
  <c r="Y129" i="15"/>
  <c r="AB129" i="15" s="1"/>
  <c r="AC129" i="15" s="1"/>
  <c r="AD129" i="15" s="1"/>
  <c r="AI129" i="15" s="1"/>
  <c r="AJ129" i="15" s="1"/>
  <c r="AM129" i="15" s="1"/>
  <c r="Y97" i="15"/>
  <c r="AB97" i="15" s="1"/>
  <c r="AC97" i="15" s="1"/>
  <c r="AD97" i="15" s="1"/>
  <c r="AI97" i="15" s="1"/>
  <c r="AJ97" i="15" s="1"/>
  <c r="AM97" i="15" s="1"/>
  <c r="Y64" i="15"/>
  <c r="AB64" i="15" s="1"/>
  <c r="AC64" i="15" s="1"/>
  <c r="AD64" i="15" s="1"/>
  <c r="AI64" i="15" s="1"/>
  <c r="AJ64" i="15" s="1"/>
  <c r="Y35" i="15"/>
  <c r="AB35" i="15" s="1"/>
  <c r="AC35" i="15" s="1"/>
  <c r="AD35" i="15" s="1"/>
  <c r="AI35" i="15" s="1"/>
  <c r="AJ35" i="15" s="1"/>
  <c r="AM35" i="15" s="1"/>
  <c r="R17" i="15"/>
  <c r="Y195" i="15"/>
  <c r="AB195" i="15" s="1"/>
  <c r="AC195" i="15" s="1"/>
  <c r="AD195" i="15" s="1"/>
  <c r="AI195" i="15" s="1"/>
  <c r="AJ195" i="15" s="1"/>
  <c r="Y187" i="15"/>
  <c r="AB187" i="15" s="1"/>
  <c r="AC187" i="15" s="1"/>
  <c r="AD187" i="15" s="1"/>
  <c r="AI187" i="15" s="1"/>
  <c r="AJ187" i="15" s="1"/>
  <c r="AM187" i="15" s="1"/>
  <c r="Y176" i="15"/>
  <c r="AB176" i="15" s="1"/>
  <c r="AC176" i="15" s="1"/>
  <c r="AD176" i="15" s="1"/>
  <c r="AI176" i="15" s="1"/>
  <c r="AJ176" i="15" s="1"/>
  <c r="AM176" i="15" s="1"/>
  <c r="Y181" i="15"/>
  <c r="AB181" i="15" s="1"/>
  <c r="AC181" i="15" s="1"/>
  <c r="AD181" i="15" s="1"/>
  <c r="AI181" i="15" s="1"/>
  <c r="AJ181" i="15" s="1"/>
  <c r="AM181" i="15" s="1"/>
  <c r="Y156" i="15"/>
  <c r="AB156" i="15" s="1"/>
  <c r="AC156" i="15" s="1"/>
  <c r="AD156" i="15" s="1"/>
  <c r="AI156" i="15" s="1"/>
  <c r="AJ156" i="15" s="1"/>
  <c r="AM156" i="15" s="1"/>
  <c r="Y191" i="15"/>
  <c r="AB191" i="15" s="1"/>
  <c r="AC191" i="15" s="1"/>
  <c r="AD191" i="15" s="1"/>
  <c r="AI191" i="15" s="1"/>
  <c r="AJ191" i="15" s="1"/>
  <c r="AM191" i="15" s="1"/>
  <c r="Y107" i="15"/>
  <c r="AB107" i="15" s="1"/>
  <c r="AC107" i="15" s="1"/>
  <c r="AD107" i="15" s="1"/>
  <c r="AI107" i="15" s="1"/>
  <c r="AJ107" i="15" s="1"/>
  <c r="AM107" i="15" s="1"/>
  <c r="Y138" i="15"/>
  <c r="Y66" i="15"/>
  <c r="AB66" i="15" s="1"/>
  <c r="AC66" i="15" s="1"/>
  <c r="AD66" i="15" s="1"/>
  <c r="AI66" i="15" s="1"/>
  <c r="AJ66" i="15" s="1"/>
  <c r="AM66" i="15" s="1"/>
  <c r="Y168" i="15"/>
  <c r="AB168" i="15" s="1"/>
  <c r="AC168" i="15" s="1"/>
  <c r="AD168" i="15" s="1"/>
  <c r="AI168" i="15" s="1"/>
  <c r="AJ168" i="15" s="1"/>
  <c r="AM168" i="15" s="1"/>
  <c r="Y90" i="15"/>
  <c r="AB90" i="15" s="1"/>
  <c r="AC90" i="15" s="1"/>
  <c r="AD90" i="15" s="1"/>
  <c r="AI90" i="15" s="1"/>
  <c r="AJ90" i="15" s="1"/>
  <c r="AM90" i="15" s="1"/>
  <c r="Y111" i="15"/>
  <c r="AB111" i="15" s="1"/>
  <c r="AC111" i="15" s="1"/>
  <c r="AD111" i="15" s="1"/>
  <c r="AI111" i="15" s="1"/>
  <c r="AJ111" i="15" s="1"/>
  <c r="AM111" i="15" s="1"/>
  <c r="Y95" i="15"/>
  <c r="AB95" i="15" s="1"/>
  <c r="AC95" i="15" s="1"/>
  <c r="AD95" i="15" s="1"/>
  <c r="AI95" i="15" s="1"/>
  <c r="AJ95" i="15" s="1"/>
  <c r="AM95" i="15" s="1"/>
  <c r="Y27" i="15"/>
  <c r="AB27" i="15" s="1"/>
  <c r="AC27" i="15" s="1"/>
  <c r="Y49" i="15"/>
  <c r="AB49" i="15" s="1"/>
  <c r="AC49" i="15" s="1"/>
  <c r="AD49" i="15" s="1"/>
  <c r="AI49" i="15" s="1"/>
  <c r="AJ49" i="15" s="1"/>
  <c r="AM49" i="15" s="1"/>
  <c r="AN31" i="15"/>
  <c r="AB193" i="15"/>
  <c r="AC193" i="15" s="1"/>
  <c r="AD193" i="15" s="1"/>
  <c r="AI193" i="15" s="1"/>
  <c r="AJ193" i="15" s="1"/>
  <c r="AM193" i="15" s="1"/>
  <c r="AB138" i="15"/>
  <c r="AC138" i="15" s="1"/>
  <c r="AD138" i="15" s="1"/>
  <c r="AI138" i="15" s="1"/>
  <c r="AJ138" i="15" s="1"/>
  <c r="AM138" i="15" s="1"/>
  <c r="AN87" i="15"/>
  <c r="AB103" i="15"/>
  <c r="AC103" i="15" s="1"/>
  <c r="AD103" i="15" s="1"/>
  <c r="AI103" i="15" s="1"/>
  <c r="AJ103" i="15" s="1"/>
  <c r="AM103" i="15" s="1"/>
  <c r="Y164" i="15"/>
  <c r="AB164" i="15" s="1"/>
  <c r="AC164" i="15" s="1"/>
  <c r="AD164" i="15" s="1"/>
  <c r="AI164" i="15" s="1"/>
  <c r="AJ164" i="15" s="1"/>
  <c r="AM164" i="15" s="1"/>
  <c r="Y183" i="15"/>
  <c r="AB183" i="15" s="1"/>
  <c r="AC183" i="15" s="1"/>
  <c r="AD183" i="15" s="1"/>
  <c r="AI183" i="15" s="1"/>
  <c r="AJ183" i="15" s="1"/>
  <c r="AM183" i="15" s="1"/>
  <c r="Y172" i="15"/>
  <c r="AB172" i="15" s="1"/>
  <c r="AC172" i="15" s="1"/>
  <c r="AD172" i="15" s="1"/>
  <c r="AI172" i="15" s="1"/>
  <c r="AJ172" i="15" s="1"/>
  <c r="AM172" i="15" s="1"/>
  <c r="Y115" i="15"/>
  <c r="AB115" i="15" s="1"/>
  <c r="AC115" i="15" s="1"/>
  <c r="AD115" i="15" s="1"/>
  <c r="AI115" i="15" s="1"/>
  <c r="AJ115" i="15" s="1"/>
  <c r="AM115" i="15" s="1"/>
  <c r="Y83" i="15"/>
  <c r="AB83" i="15" s="1"/>
  <c r="AC83" i="15" s="1"/>
  <c r="AD83" i="15" s="1"/>
  <c r="AI83" i="15" s="1"/>
  <c r="AJ83" i="15" s="1"/>
  <c r="AM83" i="15" s="1"/>
  <c r="Y127" i="15"/>
  <c r="AB127" i="15" s="1"/>
  <c r="AC127" i="15" s="1"/>
  <c r="AD127" i="15" s="1"/>
  <c r="AI127" i="15" s="1"/>
  <c r="AJ127" i="15" s="1"/>
  <c r="AM127" i="15" s="1"/>
  <c r="Y89" i="15"/>
  <c r="AB89" i="15" s="1"/>
  <c r="AC89" i="15" s="1"/>
  <c r="AD89" i="15" s="1"/>
  <c r="AI89" i="15" s="1"/>
  <c r="AJ89" i="15" s="1"/>
  <c r="AM89" i="15" s="1"/>
  <c r="Y74" i="15"/>
  <c r="AB74" i="15" s="1"/>
  <c r="AC74" i="15" s="1"/>
  <c r="AD74" i="15" s="1"/>
  <c r="AI74" i="15" s="1"/>
  <c r="AJ74" i="15" s="1"/>
  <c r="AM74" i="15" s="1"/>
  <c r="Y70" i="15"/>
  <c r="AB70" i="15" s="1"/>
  <c r="AC70" i="15" s="1"/>
  <c r="AD70" i="15" s="1"/>
  <c r="AI70" i="15" s="1"/>
  <c r="AJ70" i="15" s="1"/>
  <c r="AM70" i="15" s="1"/>
  <c r="AI99" i="15"/>
  <c r="AJ99" i="15" s="1"/>
  <c r="AM99" i="15" s="1"/>
  <c r="AI119" i="15"/>
  <c r="AJ119" i="15" s="1"/>
  <c r="AM119" i="15" s="1"/>
  <c r="Y79" i="15"/>
  <c r="AB79" i="15" s="1"/>
  <c r="AC79" i="15" s="1"/>
  <c r="AD79" i="15" s="1"/>
  <c r="AI79" i="15" s="1"/>
  <c r="AJ79" i="15" s="1"/>
  <c r="AM79" i="15" s="1"/>
  <c r="Y39" i="15"/>
  <c r="AB39" i="15" s="1"/>
  <c r="AC39" i="15" s="1"/>
  <c r="AD39" i="15" s="1"/>
  <c r="AI39" i="15" s="1"/>
  <c r="AJ39" i="15" s="1"/>
  <c r="AM39" i="15" s="1"/>
  <c r="Y130" i="15"/>
  <c r="AB130" i="15" s="1"/>
  <c r="AC130" i="15" s="1"/>
  <c r="AD130" i="15" s="1"/>
  <c r="AI130" i="15" s="1"/>
  <c r="AJ130" i="15" s="1"/>
  <c r="AM130" i="15" s="1"/>
  <c r="Y65" i="15"/>
  <c r="AB65" i="15" s="1"/>
  <c r="AC65" i="15" s="1"/>
  <c r="AD65" i="15" s="1"/>
  <c r="AI65" i="15" s="1"/>
  <c r="AJ65" i="15" s="1"/>
  <c r="AM65" i="15" s="1"/>
  <c r="Y47" i="15"/>
  <c r="AB47" i="15" s="1"/>
  <c r="AC47" i="15" s="1"/>
  <c r="AD47" i="15" s="1"/>
  <c r="AI47" i="15" s="1"/>
  <c r="AJ47" i="15" s="1"/>
  <c r="AM47" i="15" s="1"/>
  <c r="Y42" i="15"/>
  <c r="AB42" i="15" s="1"/>
  <c r="AC42" i="15" s="1"/>
  <c r="AD42" i="15" s="1"/>
  <c r="AI42" i="15" s="1"/>
  <c r="AJ42" i="15" s="1"/>
  <c r="AM42" i="15" s="1"/>
  <c r="AI185" i="15"/>
  <c r="AJ185" i="15" s="1"/>
  <c r="AM185" i="15" s="1"/>
  <c r="AB58" i="15"/>
  <c r="AC58" i="15" s="1"/>
  <c r="AD58" i="15" s="1"/>
  <c r="AI58" i="15" s="1"/>
  <c r="AJ58" i="15" s="1"/>
  <c r="AM58" i="15" s="1"/>
  <c r="Y188" i="15"/>
  <c r="AB188" i="15" s="1"/>
  <c r="AC188" i="15" s="1"/>
  <c r="AD188" i="15" s="1"/>
  <c r="AI188" i="15" s="1"/>
  <c r="AJ188" i="15" s="1"/>
  <c r="AM188" i="15" s="1"/>
  <c r="Y180" i="15"/>
  <c r="AB180" i="15" s="1"/>
  <c r="AC180" i="15" s="1"/>
  <c r="AD180" i="15" s="1"/>
  <c r="AI180" i="15" s="1"/>
  <c r="AJ180" i="15" s="1"/>
  <c r="AM180" i="15" s="1"/>
  <c r="Y178" i="15"/>
  <c r="AB178" i="15" s="1"/>
  <c r="AC178" i="15" s="1"/>
  <c r="AD178" i="15" s="1"/>
  <c r="AI178" i="15" s="1"/>
  <c r="AJ178" i="15" s="1"/>
  <c r="AM178" i="15" s="1"/>
  <c r="Y177" i="15"/>
  <c r="AB177" i="15" s="1"/>
  <c r="AC177" i="15" s="1"/>
  <c r="AD177" i="15" s="1"/>
  <c r="AI177" i="15" s="1"/>
  <c r="AJ177" i="15" s="1"/>
  <c r="AM177" i="15" s="1"/>
  <c r="Y171" i="15"/>
  <c r="AB171" i="15" s="1"/>
  <c r="AC171" i="15" s="1"/>
  <c r="AD171" i="15" s="1"/>
  <c r="AI171" i="15" s="1"/>
  <c r="AJ171" i="15" s="1"/>
  <c r="AM171" i="15" s="1"/>
  <c r="Y170" i="15"/>
  <c r="AB170" i="15" s="1"/>
  <c r="AC170" i="15" s="1"/>
  <c r="AD170" i="15" s="1"/>
  <c r="AI170" i="15" s="1"/>
  <c r="AJ170" i="15" s="1"/>
  <c r="AM170" i="15" s="1"/>
  <c r="Y169" i="15"/>
  <c r="AB169" i="15" s="1"/>
  <c r="AC169" i="15" s="1"/>
  <c r="AD169" i="15" s="1"/>
  <c r="AI169" i="15" s="1"/>
  <c r="AJ169" i="15" s="1"/>
  <c r="AM169" i="15" s="1"/>
  <c r="Y165" i="15"/>
  <c r="AB165" i="15" s="1"/>
  <c r="AC165" i="15" s="1"/>
  <c r="AD165" i="15" s="1"/>
  <c r="AI165" i="15" s="1"/>
  <c r="AJ165" i="15" s="1"/>
  <c r="AM165" i="15" s="1"/>
  <c r="Y161" i="15"/>
  <c r="AB161" i="15" s="1"/>
  <c r="AC161" i="15" s="1"/>
  <c r="AD161" i="15" s="1"/>
  <c r="AI161" i="15" s="1"/>
  <c r="AJ161" i="15" s="1"/>
  <c r="AM161" i="15" s="1"/>
  <c r="Y190" i="15"/>
  <c r="AB190" i="15" s="1"/>
  <c r="AC190" i="15" s="1"/>
  <c r="AD190" i="15" s="1"/>
  <c r="AI190" i="15" s="1"/>
  <c r="AJ190" i="15" s="1"/>
  <c r="AM190" i="15" s="1"/>
  <c r="Y182" i="15"/>
  <c r="AB182" i="15" s="1"/>
  <c r="AC182" i="15" s="1"/>
  <c r="AD182" i="15" s="1"/>
  <c r="AI182" i="15" s="1"/>
  <c r="AJ182" i="15" s="1"/>
  <c r="AM182" i="15" s="1"/>
  <c r="Y194" i="15"/>
  <c r="AB194" i="15" s="1"/>
  <c r="AC194" i="15" s="1"/>
  <c r="AD194" i="15" s="1"/>
  <c r="AI194" i="15" s="1"/>
  <c r="AJ194" i="15" s="1"/>
  <c r="AM194" i="15" s="1"/>
  <c r="Y167" i="15"/>
  <c r="AB167" i="15" s="1"/>
  <c r="AC167" i="15" s="1"/>
  <c r="AD167" i="15" s="1"/>
  <c r="AI167" i="15" s="1"/>
  <c r="AJ167" i="15" s="1"/>
  <c r="AM167" i="15" s="1"/>
  <c r="Y155" i="15"/>
  <c r="AB155" i="15" s="1"/>
  <c r="AC155" i="15" s="1"/>
  <c r="AD155" i="15" s="1"/>
  <c r="AI155" i="15" s="1"/>
  <c r="AJ155" i="15" s="1"/>
  <c r="AM155" i="15" s="1"/>
  <c r="Y154" i="15"/>
  <c r="AB154" i="15" s="1"/>
  <c r="AC154" i="15" s="1"/>
  <c r="AD154" i="15" s="1"/>
  <c r="AI154" i="15" s="1"/>
  <c r="AJ154" i="15" s="1"/>
  <c r="AM154" i="15" s="1"/>
  <c r="Y153" i="15"/>
  <c r="AB153" i="15" s="1"/>
  <c r="AC153" i="15" s="1"/>
  <c r="AD153" i="15" s="1"/>
  <c r="AI153" i="15" s="1"/>
  <c r="AJ153" i="15" s="1"/>
  <c r="AM153" i="15" s="1"/>
  <c r="Y147" i="15"/>
  <c r="AB147" i="15" s="1"/>
  <c r="AC147" i="15" s="1"/>
  <c r="AD147" i="15" s="1"/>
  <c r="AI147" i="15" s="1"/>
  <c r="AJ147" i="15" s="1"/>
  <c r="AM147" i="15" s="1"/>
  <c r="Y146" i="15"/>
  <c r="AB146" i="15" s="1"/>
  <c r="AC146" i="15" s="1"/>
  <c r="AD146" i="15" s="1"/>
  <c r="AI146" i="15" s="1"/>
  <c r="AJ146" i="15" s="1"/>
  <c r="AM146" i="15" s="1"/>
  <c r="Y145" i="15"/>
  <c r="AB145" i="15" s="1"/>
  <c r="AC145" i="15" s="1"/>
  <c r="AD145" i="15" s="1"/>
  <c r="AI145" i="15" s="1"/>
  <c r="AJ145" i="15" s="1"/>
  <c r="AM145" i="15" s="1"/>
  <c r="Y186" i="15"/>
  <c r="AB186" i="15" s="1"/>
  <c r="AC186" i="15" s="1"/>
  <c r="AD186" i="15" s="1"/>
  <c r="AI186" i="15" s="1"/>
  <c r="AJ186" i="15" s="1"/>
  <c r="AM186" i="15" s="1"/>
  <c r="Y173" i="15"/>
  <c r="AB173" i="15" s="1"/>
  <c r="AC173" i="15" s="1"/>
  <c r="AD173" i="15" s="1"/>
  <c r="AI173" i="15" s="1"/>
  <c r="AJ173" i="15" s="1"/>
  <c r="AM173" i="15" s="1"/>
  <c r="Y162" i="15"/>
  <c r="AB162" i="15" s="1"/>
  <c r="AC162" i="15" s="1"/>
  <c r="AD162" i="15" s="1"/>
  <c r="AI162" i="15" s="1"/>
  <c r="AJ162" i="15" s="1"/>
  <c r="AM162" i="15" s="1"/>
  <c r="Y158" i="15"/>
  <c r="AB158" i="15" s="1"/>
  <c r="AC158" i="15" s="1"/>
  <c r="AD158" i="15" s="1"/>
  <c r="AI158" i="15" s="1"/>
  <c r="AJ158" i="15" s="1"/>
  <c r="AM158" i="15" s="1"/>
  <c r="Y150" i="15"/>
  <c r="AB150" i="15" s="1"/>
  <c r="AC150" i="15" s="1"/>
  <c r="AD150" i="15" s="1"/>
  <c r="AI150" i="15" s="1"/>
  <c r="AJ150" i="15" s="1"/>
  <c r="AM150" i="15" s="1"/>
  <c r="Y124" i="15"/>
  <c r="AB124" i="15" s="1"/>
  <c r="AC124" i="15" s="1"/>
  <c r="AD124" i="15" s="1"/>
  <c r="AI124" i="15" s="1"/>
  <c r="AJ124" i="15" s="1"/>
  <c r="AM124" i="15" s="1"/>
  <c r="Y120" i="15"/>
  <c r="AB120" i="15" s="1"/>
  <c r="AC120" i="15" s="1"/>
  <c r="AD120" i="15" s="1"/>
  <c r="AI120" i="15" s="1"/>
  <c r="AJ120" i="15" s="1"/>
  <c r="AM120" i="15" s="1"/>
  <c r="Y116" i="15"/>
  <c r="AB116" i="15" s="1"/>
  <c r="AC116" i="15" s="1"/>
  <c r="AD116" i="15" s="1"/>
  <c r="AI116" i="15" s="1"/>
  <c r="AJ116" i="15" s="1"/>
  <c r="AM116" i="15" s="1"/>
  <c r="Y112" i="15"/>
  <c r="AB112" i="15" s="1"/>
  <c r="AC112" i="15" s="1"/>
  <c r="AD112" i="15" s="1"/>
  <c r="AI112" i="15" s="1"/>
  <c r="AJ112" i="15" s="1"/>
  <c r="AM112" i="15" s="1"/>
  <c r="Y108" i="15"/>
  <c r="AB108" i="15" s="1"/>
  <c r="AC108" i="15" s="1"/>
  <c r="AD108" i="15" s="1"/>
  <c r="AI108" i="15" s="1"/>
  <c r="AJ108" i="15" s="1"/>
  <c r="AM108" i="15" s="1"/>
  <c r="Y184" i="15"/>
  <c r="AB184" i="15" s="1"/>
  <c r="AC184" i="15" s="1"/>
  <c r="AD184" i="15" s="1"/>
  <c r="AI184" i="15" s="1"/>
  <c r="AJ184" i="15" s="1"/>
  <c r="AM184" i="15" s="1"/>
  <c r="Y179" i="15"/>
  <c r="AB179" i="15" s="1"/>
  <c r="AC179" i="15" s="1"/>
  <c r="AD179" i="15" s="1"/>
  <c r="AI179" i="15" s="1"/>
  <c r="AJ179" i="15" s="1"/>
  <c r="AM179" i="15" s="1"/>
  <c r="Y136" i="15"/>
  <c r="AB136" i="15" s="1"/>
  <c r="AC136" i="15" s="1"/>
  <c r="AD136" i="15" s="1"/>
  <c r="AI136" i="15" s="1"/>
  <c r="AJ136" i="15" s="1"/>
  <c r="AM136" i="15" s="1"/>
  <c r="Y128" i="15"/>
  <c r="AB128" i="15" s="1"/>
  <c r="AC128" i="15" s="1"/>
  <c r="AD128" i="15" s="1"/>
  <c r="AI128" i="15" s="1"/>
  <c r="AJ128" i="15" s="1"/>
  <c r="AM128" i="15" s="1"/>
  <c r="Y159" i="15"/>
  <c r="AB159" i="15" s="1"/>
  <c r="AC159" i="15" s="1"/>
  <c r="AD159" i="15" s="1"/>
  <c r="AI159" i="15" s="1"/>
  <c r="AJ159" i="15" s="1"/>
  <c r="AM159" i="15" s="1"/>
  <c r="Y149" i="15"/>
  <c r="AB149" i="15" s="1"/>
  <c r="AC149" i="15" s="1"/>
  <c r="AD149" i="15" s="1"/>
  <c r="AI149" i="15" s="1"/>
  <c r="AJ149" i="15" s="1"/>
  <c r="AM149" i="15" s="1"/>
  <c r="Y140" i="15"/>
  <c r="AB140" i="15" s="1"/>
  <c r="AC140" i="15" s="1"/>
  <c r="AD140" i="15" s="1"/>
  <c r="AI140" i="15" s="1"/>
  <c r="AJ140" i="15" s="1"/>
  <c r="AM140" i="15" s="1"/>
  <c r="Y134" i="15"/>
  <c r="AB134" i="15" s="1"/>
  <c r="AC134" i="15" s="1"/>
  <c r="AD134" i="15" s="1"/>
  <c r="AI134" i="15" s="1"/>
  <c r="AJ134" i="15" s="1"/>
  <c r="AM134" i="15" s="1"/>
  <c r="Y133" i="15"/>
  <c r="AB133" i="15" s="1"/>
  <c r="AC133" i="15" s="1"/>
  <c r="AD133" i="15" s="1"/>
  <c r="AI133" i="15" s="1"/>
  <c r="AJ133" i="15" s="1"/>
  <c r="AM133" i="15" s="1"/>
  <c r="Y126" i="15"/>
  <c r="AB126" i="15" s="1"/>
  <c r="AC126" i="15" s="1"/>
  <c r="AD126" i="15" s="1"/>
  <c r="AI126" i="15" s="1"/>
  <c r="AJ126" i="15" s="1"/>
  <c r="AM126" i="15" s="1"/>
  <c r="Y118" i="15"/>
  <c r="AB118" i="15" s="1"/>
  <c r="AC118" i="15" s="1"/>
  <c r="AD118" i="15" s="1"/>
  <c r="AI118" i="15" s="1"/>
  <c r="AJ118" i="15" s="1"/>
  <c r="AM118" i="15" s="1"/>
  <c r="Y110" i="15"/>
  <c r="AB110" i="15" s="1"/>
  <c r="AC110" i="15" s="1"/>
  <c r="AD110" i="15" s="1"/>
  <c r="AI110" i="15" s="1"/>
  <c r="AJ110" i="15" s="1"/>
  <c r="AM110" i="15" s="1"/>
  <c r="Y192" i="15"/>
  <c r="AB192" i="15" s="1"/>
  <c r="AC192" i="15" s="1"/>
  <c r="AD192" i="15" s="1"/>
  <c r="AI192" i="15" s="1"/>
  <c r="AJ192" i="15" s="1"/>
  <c r="AM192" i="15" s="1"/>
  <c r="Y166" i="15"/>
  <c r="AB166" i="15" s="1"/>
  <c r="AC166" i="15" s="1"/>
  <c r="AD166" i="15" s="1"/>
  <c r="AI166" i="15" s="1"/>
  <c r="AJ166" i="15" s="1"/>
  <c r="AM166" i="15" s="1"/>
  <c r="Y121" i="15"/>
  <c r="AB121" i="15" s="1"/>
  <c r="AC121" i="15" s="1"/>
  <c r="AD121" i="15" s="1"/>
  <c r="AI121" i="15" s="1"/>
  <c r="AJ121" i="15" s="1"/>
  <c r="AM121" i="15" s="1"/>
  <c r="Y113" i="15"/>
  <c r="AB113" i="15" s="1"/>
  <c r="AC113" i="15" s="1"/>
  <c r="AD113" i="15" s="1"/>
  <c r="AI113" i="15" s="1"/>
  <c r="AJ113" i="15" s="1"/>
  <c r="AM113" i="15" s="1"/>
  <c r="Y105" i="15"/>
  <c r="AB105" i="15" s="1"/>
  <c r="AC105" i="15" s="1"/>
  <c r="AD105" i="15" s="1"/>
  <c r="AI105" i="15" s="1"/>
  <c r="AJ105" i="15" s="1"/>
  <c r="AM105" i="15" s="1"/>
  <c r="Y104" i="15"/>
  <c r="AB104" i="15" s="1"/>
  <c r="AC104" i="15" s="1"/>
  <c r="AD104" i="15" s="1"/>
  <c r="AI104" i="15" s="1"/>
  <c r="AJ104" i="15" s="1"/>
  <c r="AM104" i="15" s="1"/>
  <c r="Y96" i="15"/>
  <c r="AB96" i="15" s="1"/>
  <c r="AC96" i="15" s="1"/>
  <c r="AD96" i="15" s="1"/>
  <c r="AI96" i="15" s="1"/>
  <c r="AJ96" i="15" s="1"/>
  <c r="AM96" i="15" s="1"/>
  <c r="Y88" i="15"/>
  <c r="AB88" i="15" s="1"/>
  <c r="AC88" i="15" s="1"/>
  <c r="AD88" i="15" s="1"/>
  <c r="AI88" i="15" s="1"/>
  <c r="AJ88" i="15" s="1"/>
  <c r="AM88" i="15" s="1"/>
  <c r="Y80" i="15"/>
  <c r="AB80" i="15" s="1"/>
  <c r="AC80" i="15" s="1"/>
  <c r="AD80" i="15" s="1"/>
  <c r="AI80" i="15" s="1"/>
  <c r="AJ80" i="15" s="1"/>
  <c r="AM80" i="15" s="1"/>
  <c r="Y151" i="15"/>
  <c r="AB151" i="15" s="1"/>
  <c r="AC151" i="15" s="1"/>
  <c r="AD151" i="15" s="1"/>
  <c r="AI151" i="15" s="1"/>
  <c r="AJ151" i="15" s="1"/>
  <c r="AM151" i="15" s="1"/>
  <c r="Y117" i="15"/>
  <c r="AB117" i="15" s="1"/>
  <c r="AC117" i="15" s="1"/>
  <c r="AD117" i="15" s="1"/>
  <c r="AI117" i="15" s="1"/>
  <c r="AJ117" i="15" s="1"/>
  <c r="AM117" i="15" s="1"/>
  <c r="Y114" i="15"/>
  <c r="AB114" i="15" s="1"/>
  <c r="AC114" i="15" s="1"/>
  <c r="AD114" i="15" s="1"/>
  <c r="AI114" i="15" s="1"/>
  <c r="AJ114" i="15" s="1"/>
  <c r="AM114" i="15" s="1"/>
  <c r="Y102" i="15"/>
  <c r="AB102" i="15" s="1"/>
  <c r="AC102" i="15" s="1"/>
  <c r="AD102" i="15" s="1"/>
  <c r="AI102" i="15" s="1"/>
  <c r="AJ102" i="15" s="1"/>
  <c r="AM102" i="15" s="1"/>
  <c r="Y101" i="15"/>
  <c r="AB101" i="15" s="1"/>
  <c r="AC101" i="15" s="1"/>
  <c r="AD101" i="15" s="1"/>
  <c r="AI101" i="15" s="1"/>
  <c r="AJ101" i="15" s="1"/>
  <c r="AM101" i="15" s="1"/>
  <c r="Y92" i="15"/>
  <c r="AB92" i="15" s="1"/>
  <c r="AC92" i="15" s="1"/>
  <c r="AD92" i="15" s="1"/>
  <c r="AI92" i="15" s="1"/>
  <c r="AJ92" i="15" s="1"/>
  <c r="AM92" i="15" s="1"/>
  <c r="Y86" i="15"/>
  <c r="AB86" i="15" s="1"/>
  <c r="AC86" i="15" s="1"/>
  <c r="AD86" i="15" s="1"/>
  <c r="AI86" i="15" s="1"/>
  <c r="AJ86" i="15" s="1"/>
  <c r="AM86" i="15" s="1"/>
  <c r="Y85" i="15"/>
  <c r="AB85" i="15" s="1"/>
  <c r="AC85" i="15" s="1"/>
  <c r="AD85" i="15" s="1"/>
  <c r="AI85" i="15" s="1"/>
  <c r="AJ85" i="15" s="1"/>
  <c r="AM85" i="15" s="1"/>
  <c r="Y48" i="15"/>
  <c r="AB48" i="15" s="1"/>
  <c r="AC48" i="15" s="1"/>
  <c r="AD48" i="15" s="1"/>
  <c r="AI48" i="15" s="1"/>
  <c r="AJ48" i="15" s="1"/>
  <c r="AM48" i="15" s="1"/>
  <c r="Y44" i="15"/>
  <c r="AB44" i="15" s="1"/>
  <c r="AC44" i="15" s="1"/>
  <c r="AD44" i="15" s="1"/>
  <c r="AI44" i="15" s="1"/>
  <c r="AJ44" i="15" s="1"/>
  <c r="AM44" i="15" s="1"/>
  <c r="Y40" i="15"/>
  <c r="AB40" i="15" s="1"/>
  <c r="AC40" i="15" s="1"/>
  <c r="AD40" i="15" s="1"/>
  <c r="AI40" i="15" s="1"/>
  <c r="AJ40" i="15" s="1"/>
  <c r="AM40" i="15" s="1"/>
  <c r="Y36" i="15"/>
  <c r="AB36" i="15" s="1"/>
  <c r="AC36" i="15" s="1"/>
  <c r="AD36" i="15" s="1"/>
  <c r="AI36" i="15" s="1"/>
  <c r="AJ36" i="15" s="1"/>
  <c r="AM36" i="15" s="1"/>
  <c r="Y32" i="15"/>
  <c r="AB32" i="15" s="1"/>
  <c r="AC32" i="15" s="1"/>
  <c r="AD32" i="15" s="1"/>
  <c r="AI32" i="15" s="1"/>
  <c r="AJ32" i="15" s="1"/>
  <c r="AM32" i="15" s="1"/>
  <c r="Y28" i="15"/>
  <c r="AB28" i="15" s="1"/>
  <c r="AC28" i="15" s="1"/>
  <c r="AD28" i="15" s="1"/>
  <c r="AI28" i="15" s="1"/>
  <c r="AJ28" i="15" s="1"/>
  <c r="AM28" i="15" s="1"/>
  <c r="Y78" i="15"/>
  <c r="AB78" i="15" s="1"/>
  <c r="AC78" i="15" s="1"/>
  <c r="AD78" i="15" s="1"/>
  <c r="AI78" i="15" s="1"/>
  <c r="AJ78" i="15" s="1"/>
  <c r="AM78" i="15" s="1"/>
  <c r="Y77" i="15"/>
  <c r="AB77" i="15" s="1"/>
  <c r="AC77" i="15" s="1"/>
  <c r="AD77" i="15" s="1"/>
  <c r="AI77" i="15" s="1"/>
  <c r="AJ77" i="15" s="1"/>
  <c r="AM77" i="15" s="1"/>
  <c r="Y175" i="15"/>
  <c r="AB175" i="15" s="1"/>
  <c r="AC175" i="15" s="1"/>
  <c r="AD175" i="15" s="1"/>
  <c r="AI175" i="15" s="1"/>
  <c r="AJ175" i="15" s="1"/>
  <c r="AM175" i="15" s="1"/>
  <c r="Y163" i="15"/>
  <c r="AB163" i="15" s="1"/>
  <c r="AC163" i="15" s="1"/>
  <c r="AD163" i="15" s="1"/>
  <c r="AI163" i="15" s="1"/>
  <c r="AJ163" i="15" s="1"/>
  <c r="AM163" i="15" s="1"/>
  <c r="Y157" i="15"/>
  <c r="AB157" i="15" s="1"/>
  <c r="AC157" i="15" s="1"/>
  <c r="AD157" i="15" s="1"/>
  <c r="AI157" i="15" s="1"/>
  <c r="AJ157" i="15" s="1"/>
  <c r="AM157" i="15" s="1"/>
  <c r="Y141" i="15"/>
  <c r="AB141" i="15" s="1"/>
  <c r="AC141" i="15" s="1"/>
  <c r="AD141" i="15" s="1"/>
  <c r="AI141" i="15" s="1"/>
  <c r="AJ141" i="15" s="1"/>
  <c r="AM141" i="15" s="1"/>
  <c r="Y109" i="15"/>
  <c r="AB109" i="15" s="1"/>
  <c r="AC109" i="15" s="1"/>
  <c r="AD109" i="15" s="1"/>
  <c r="AI109" i="15" s="1"/>
  <c r="AJ109" i="15" s="1"/>
  <c r="AM109" i="15" s="1"/>
  <c r="Y71" i="15"/>
  <c r="AB71" i="15" s="1"/>
  <c r="AC71" i="15" s="1"/>
  <c r="AD71" i="15" s="1"/>
  <c r="AI71" i="15" s="1"/>
  <c r="AJ71" i="15" s="1"/>
  <c r="AM71" i="15" s="1"/>
  <c r="Y63" i="15"/>
  <c r="AB63" i="15" s="1"/>
  <c r="AC63" i="15" s="1"/>
  <c r="AD63" i="15" s="1"/>
  <c r="AI63" i="15" s="1"/>
  <c r="AJ63" i="15" s="1"/>
  <c r="AM63" i="15" s="1"/>
  <c r="Y55" i="15"/>
  <c r="AB55" i="15" s="1"/>
  <c r="AC55" i="15" s="1"/>
  <c r="AD55" i="15" s="1"/>
  <c r="AI55" i="15" s="1"/>
  <c r="AJ55" i="15" s="1"/>
  <c r="AM55" i="15" s="1"/>
  <c r="Y132" i="15"/>
  <c r="AB132" i="15" s="1"/>
  <c r="AC132" i="15" s="1"/>
  <c r="AD132" i="15" s="1"/>
  <c r="AI132" i="15" s="1"/>
  <c r="AJ132" i="15" s="1"/>
  <c r="AM132" i="15" s="1"/>
  <c r="Y100" i="15"/>
  <c r="AB100" i="15" s="1"/>
  <c r="AC100" i="15" s="1"/>
  <c r="AD100" i="15" s="1"/>
  <c r="AI100" i="15" s="1"/>
  <c r="AJ100" i="15" s="1"/>
  <c r="AM100" i="15" s="1"/>
  <c r="Y94" i="15"/>
  <c r="AB94" i="15" s="1"/>
  <c r="AC94" i="15" s="1"/>
  <c r="AD94" i="15" s="1"/>
  <c r="AI94" i="15" s="1"/>
  <c r="AJ94" i="15" s="1"/>
  <c r="AM94" i="15" s="1"/>
  <c r="Y93" i="15"/>
  <c r="AB93" i="15" s="1"/>
  <c r="AC93" i="15" s="1"/>
  <c r="AD93" i="15" s="1"/>
  <c r="AI93" i="15" s="1"/>
  <c r="AJ93" i="15" s="1"/>
  <c r="AM93" i="15" s="1"/>
  <c r="Y84" i="15"/>
  <c r="AB84" i="15" s="1"/>
  <c r="AC84" i="15" s="1"/>
  <c r="AD84" i="15" s="1"/>
  <c r="AI84" i="15" s="1"/>
  <c r="AJ84" i="15" s="1"/>
  <c r="AM84" i="15" s="1"/>
  <c r="Y69" i="15"/>
  <c r="AB69" i="15" s="1"/>
  <c r="AC69" i="15" s="1"/>
  <c r="AD69" i="15" s="1"/>
  <c r="AI69" i="15" s="1"/>
  <c r="AJ69" i="15" s="1"/>
  <c r="AM69" i="15" s="1"/>
  <c r="Y67" i="15"/>
  <c r="AB67" i="15" s="1"/>
  <c r="AC67" i="15" s="1"/>
  <c r="AD67" i="15" s="1"/>
  <c r="AI67" i="15" s="1"/>
  <c r="AJ67" i="15" s="1"/>
  <c r="AM67" i="15" s="1"/>
  <c r="Y53" i="15"/>
  <c r="AB53" i="15" s="1"/>
  <c r="AC53" i="15" s="1"/>
  <c r="AD53" i="15" s="1"/>
  <c r="AI53" i="15" s="1"/>
  <c r="AJ53" i="15" s="1"/>
  <c r="AM53" i="15" s="1"/>
  <c r="Y51" i="15"/>
  <c r="AB51" i="15" s="1"/>
  <c r="AC51" i="15" s="1"/>
  <c r="AD51" i="15" s="1"/>
  <c r="AI51" i="15" s="1"/>
  <c r="AJ51" i="15" s="1"/>
  <c r="AM51" i="15" s="1"/>
  <c r="Y45" i="15"/>
  <c r="AB45" i="15" s="1"/>
  <c r="AC45" i="15" s="1"/>
  <c r="AD45" i="15" s="1"/>
  <c r="AI45" i="15" s="1"/>
  <c r="AJ45" i="15" s="1"/>
  <c r="AM45" i="15" s="1"/>
  <c r="Y41" i="15"/>
  <c r="AB41" i="15" s="1"/>
  <c r="AC41" i="15" s="1"/>
  <c r="AD41" i="15" s="1"/>
  <c r="AI41" i="15" s="1"/>
  <c r="AJ41" i="15" s="1"/>
  <c r="AM41" i="15" s="1"/>
  <c r="Y33" i="15"/>
  <c r="AB33" i="15" s="1"/>
  <c r="AC33" i="15" s="1"/>
  <c r="AD33" i="15" s="1"/>
  <c r="AI33" i="15" s="1"/>
  <c r="AJ33" i="15" s="1"/>
  <c r="AM33" i="15" s="1"/>
  <c r="Y75" i="15"/>
  <c r="AB75" i="15" s="1"/>
  <c r="AC75" i="15" s="1"/>
  <c r="AD75" i="15" s="1"/>
  <c r="AI75" i="15" s="1"/>
  <c r="AJ75" i="15" s="1"/>
  <c r="AM75" i="15" s="1"/>
  <c r="Y59" i="15"/>
  <c r="AB59" i="15" s="1"/>
  <c r="AC59" i="15" s="1"/>
  <c r="AD59" i="15" s="1"/>
  <c r="AI59" i="15" s="1"/>
  <c r="AJ59" i="15" s="1"/>
  <c r="AM59" i="15" s="1"/>
  <c r="Y37" i="15"/>
  <c r="AB37" i="15" s="1"/>
  <c r="AC37" i="15" s="1"/>
  <c r="AD37" i="15" s="1"/>
  <c r="AI37" i="15" s="1"/>
  <c r="AJ37" i="15" s="1"/>
  <c r="AM37" i="15" s="1"/>
  <c r="Y29" i="15"/>
  <c r="AB29" i="15" s="1"/>
  <c r="AC29" i="15" s="1"/>
  <c r="AD29" i="15" s="1"/>
  <c r="AI29" i="15" s="1"/>
  <c r="AJ29" i="15" s="1"/>
  <c r="AM29" i="15" s="1"/>
  <c r="Y122" i="15"/>
  <c r="AB122" i="15" s="1"/>
  <c r="AC122" i="15" s="1"/>
  <c r="AD122" i="15" s="1"/>
  <c r="AI122" i="15" s="1"/>
  <c r="AJ122" i="15" s="1"/>
  <c r="AM122" i="15" s="1"/>
  <c r="Y76" i="15"/>
  <c r="AB76" i="15" s="1"/>
  <c r="AC76" i="15" s="1"/>
  <c r="AD76" i="15" s="1"/>
  <c r="AI76" i="15" s="1"/>
  <c r="AJ76" i="15" s="1"/>
  <c r="AM76" i="15" s="1"/>
  <c r="Y38" i="15"/>
  <c r="AB38" i="15" s="1"/>
  <c r="AC38" i="15" s="1"/>
  <c r="AD38" i="15" s="1"/>
  <c r="AI38" i="15" s="1"/>
  <c r="AJ38" i="15" s="1"/>
  <c r="AM38" i="15" s="1"/>
  <c r="Y30" i="15"/>
  <c r="AB30" i="15" s="1"/>
  <c r="AC30" i="15" s="1"/>
  <c r="AD30" i="15" s="1"/>
  <c r="AI30" i="15" s="1"/>
  <c r="AJ30" i="15" s="1"/>
  <c r="AM30" i="15" s="1"/>
  <c r="Y142" i="15"/>
  <c r="AB142" i="15" s="1"/>
  <c r="AC142" i="15" s="1"/>
  <c r="AD142" i="15" s="1"/>
  <c r="AI142" i="15" s="1"/>
  <c r="AJ142" i="15" s="1"/>
  <c r="AM142" i="15" s="1"/>
  <c r="Y125" i="15"/>
  <c r="AB125" i="15" s="1"/>
  <c r="AC125" i="15" s="1"/>
  <c r="AD125" i="15" s="1"/>
  <c r="AI125" i="15" s="1"/>
  <c r="AJ125" i="15" s="1"/>
  <c r="AM125" i="15" s="1"/>
  <c r="Y68" i="15"/>
  <c r="AB68" i="15" s="1"/>
  <c r="AC68" i="15" s="1"/>
  <c r="AD68" i="15" s="1"/>
  <c r="AI68" i="15" s="1"/>
  <c r="AJ68" i="15" s="1"/>
  <c r="AM68" i="15" s="1"/>
  <c r="Y52" i="15"/>
  <c r="AB52" i="15" s="1"/>
  <c r="AC52" i="15" s="1"/>
  <c r="AD52" i="15" s="1"/>
  <c r="AI52" i="15" s="1"/>
  <c r="AJ52" i="15" s="1"/>
  <c r="AM52" i="15" s="1"/>
  <c r="Y174" i="15"/>
  <c r="AB174" i="15" s="1"/>
  <c r="AC174" i="15" s="1"/>
  <c r="AD174" i="15" s="1"/>
  <c r="AI174" i="15" s="1"/>
  <c r="AJ174" i="15" s="1"/>
  <c r="AM174" i="15" s="1"/>
  <c r="Y61" i="15"/>
  <c r="AB61" i="15" s="1"/>
  <c r="AC61" i="15" s="1"/>
  <c r="AD61" i="15" s="1"/>
  <c r="AI61" i="15" s="1"/>
  <c r="AJ61" i="15" s="1"/>
  <c r="AM61" i="15" s="1"/>
  <c r="Y60" i="15"/>
  <c r="AB60" i="15" s="1"/>
  <c r="AC60" i="15" s="1"/>
  <c r="AD60" i="15" s="1"/>
  <c r="AI60" i="15" s="1"/>
  <c r="AJ60" i="15" s="1"/>
  <c r="AM60" i="15" s="1"/>
  <c r="Y82" i="15"/>
  <c r="AB82" i="15" s="1"/>
  <c r="AC82" i="15" s="1"/>
  <c r="AD82" i="15" s="1"/>
  <c r="AI82" i="15" s="1"/>
  <c r="AJ82" i="15" s="1"/>
  <c r="AM82" i="15" s="1"/>
  <c r="Y73" i="15"/>
  <c r="AB73" i="15" s="1"/>
  <c r="AC73" i="15" s="1"/>
  <c r="AD73" i="15" s="1"/>
  <c r="AI73" i="15" s="1"/>
  <c r="AJ73" i="15" s="1"/>
  <c r="AM73" i="15" s="1"/>
  <c r="Y57" i="15"/>
  <c r="AB57" i="15" s="1"/>
  <c r="AC57" i="15" s="1"/>
  <c r="AD57" i="15" s="1"/>
  <c r="AI57" i="15" s="1"/>
  <c r="AJ57" i="15" s="1"/>
  <c r="AM57" i="15" s="1"/>
  <c r="Y46" i="15"/>
  <c r="AB46" i="15" s="1"/>
  <c r="AC46" i="15" s="1"/>
  <c r="AD46" i="15" s="1"/>
  <c r="AI46" i="15" s="1"/>
  <c r="AJ46" i="15" s="1"/>
  <c r="AM46" i="15" s="1"/>
  <c r="Y98" i="15"/>
  <c r="AB98" i="15" s="1"/>
  <c r="AC98" i="15" s="1"/>
  <c r="AD98" i="15" s="1"/>
  <c r="AI98" i="15" s="1"/>
  <c r="AJ98" i="15" s="1"/>
  <c r="AM98" i="15" s="1"/>
  <c r="U17" i="15"/>
  <c r="AN168" i="15" l="1"/>
  <c r="AO168" i="15" s="1"/>
  <c r="AP168" i="15" s="1"/>
  <c r="AQ168" i="15" s="1"/>
  <c r="AR168" i="15" s="1"/>
  <c r="AN139" i="15"/>
  <c r="AN135" i="15"/>
  <c r="AO135" i="15" s="1"/>
  <c r="AP135" i="15" s="1"/>
  <c r="AQ135" i="15" s="1"/>
  <c r="AR135" i="15" s="1"/>
  <c r="AN34" i="15"/>
  <c r="AO34" i="15" s="1"/>
  <c r="AP34" i="15" s="1"/>
  <c r="AQ34" i="15" s="1"/>
  <c r="AR34" i="15" s="1"/>
  <c r="AN81" i="15"/>
  <c r="AO81" i="15" s="1"/>
  <c r="AP81" i="15" s="1"/>
  <c r="AQ81" i="15" s="1"/>
  <c r="AR81" i="15" s="1"/>
  <c r="AM143" i="15"/>
  <c r="AN143" i="15"/>
  <c r="AO143" i="15" s="1"/>
  <c r="AP143" i="15" s="1"/>
  <c r="AQ143" i="15" s="1"/>
  <c r="AR143" i="15" s="1"/>
  <c r="AN91" i="15"/>
  <c r="AO91" i="15" s="1"/>
  <c r="AP91" i="15" s="1"/>
  <c r="AQ91" i="15" s="1"/>
  <c r="AR91" i="15" s="1"/>
  <c r="AN152" i="15"/>
  <c r="AO152" i="15" s="1"/>
  <c r="AP152" i="15" s="1"/>
  <c r="AQ152" i="15" s="1"/>
  <c r="AR152" i="15" s="1"/>
  <c r="AN56" i="15"/>
  <c r="AN123" i="15"/>
  <c r="AO123" i="15" s="1"/>
  <c r="AP123" i="15" s="1"/>
  <c r="AQ123" i="15" s="1"/>
  <c r="AR123" i="15" s="1"/>
  <c r="AN62" i="15"/>
  <c r="AO62" i="15" s="1"/>
  <c r="AP62" i="15" s="1"/>
  <c r="AQ62" i="15" s="1"/>
  <c r="AR62" i="15" s="1"/>
  <c r="AM64" i="15"/>
  <c r="AN64" i="15"/>
  <c r="AN160" i="15"/>
  <c r="AO160" i="15" s="1"/>
  <c r="AP160" i="15" s="1"/>
  <c r="AQ160" i="15" s="1"/>
  <c r="AR160" i="15" s="1"/>
  <c r="AN148" i="15"/>
  <c r="AO148" i="15" s="1"/>
  <c r="AP148" i="15" s="1"/>
  <c r="AQ148" i="15" s="1"/>
  <c r="AR148" i="15" s="1"/>
  <c r="AN187" i="15"/>
  <c r="AO187" i="15" s="1"/>
  <c r="AP187" i="15" s="1"/>
  <c r="AQ187" i="15" s="1"/>
  <c r="AR187" i="15" s="1"/>
  <c r="AN144" i="15"/>
  <c r="AO144" i="15" s="1"/>
  <c r="AP144" i="15" s="1"/>
  <c r="AQ144" i="15" s="1"/>
  <c r="AR144" i="15" s="1"/>
  <c r="AN54" i="15"/>
  <c r="AO54" i="15" s="1"/>
  <c r="AP54" i="15" s="1"/>
  <c r="AQ54" i="15" s="1"/>
  <c r="AR54" i="15" s="1"/>
  <c r="AN176" i="15"/>
  <c r="AO176" i="15" s="1"/>
  <c r="AP176" i="15" s="1"/>
  <c r="AQ176" i="15" s="1"/>
  <c r="AR176" i="15" s="1"/>
  <c r="AN129" i="15"/>
  <c r="AO129" i="15" s="1"/>
  <c r="AP129" i="15" s="1"/>
  <c r="AQ129" i="15" s="1"/>
  <c r="AR129" i="15" s="1"/>
  <c r="AN106" i="15"/>
  <c r="AO106" i="15" s="1"/>
  <c r="AP106" i="15" s="1"/>
  <c r="AQ106" i="15" s="1"/>
  <c r="AR106" i="15" s="1"/>
  <c r="AN35" i="15"/>
  <c r="AO35" i="15" s="1"/>
  <c r="AP35" i="15" s="1"/>
  <c r="AQ35" i="15" s="1"/>
  <c r="AR35" i="15" s="1"/>
  <c r="AN107" i="15"/>
  <c r="AO107" i="15" s="1"/>
  <c r="AP107" i="15" s="1"/>
  <c r="AQ107" i="15" s="1"/>
  <c r="AR107" i="15" s="1"/>
  <c r="AO139" i="15"/>
  <c r="AP139" i="15" s="1"/>
  <c r="AQ139" i="15" s="1"/>
  <c r="AR139" i="15" s="1"/>
  <c r="AO64" i="15"/>
  <c r="AP64" i="15" s="1"/>
  <c r="AQ64" i="15" s="1"/>
  <c r="AR64" i="15" s="1"/>
  <c r="AO56" i="15"/>
  <c r="AP56" i="15" s="1"/>
  <c r="AQ56" i="15" s="1"/>
  <c r="AR56" i="15" s="1"/>
  <c r="AN95" i="15"/>
  <c r="AO87" i="15"/>
  <c r="AP87" i="15" s="1"/>
  <c r="AQ87" i="15" s="1"/>
  <c r="AR87" i="15" s="1"/>
  <c r="AO31" i="15"/>
  <c r="AP31" i="15" s="1"/>
  <c r="AQ31" i="15" s="1"/>
  <c r="AR31" i="15" s="1"/>
  <c r="AN195" i="15"/>
  <c r="AM195" i="15"/>
  <c r="AN49" i="15"/>
  <c r="AN181" i="15"/>
  <c r="AN72" i="15"/>
  <c r="AN156" i="15"/>
  <c r="AN94" i="15"/>
  <c r="AN78" i="15"/>
  <c r="AN134" i="15"/>
  <c r="AN173" i="15"/>
  <c r="AN171" i="15"/>
  <c r="AN61" i="15"/>
  <c r="AN125" i="15"/>
  <c r="AN76" i="15"/>
  <c r="AN59" i="15"/>
  <c r="AN69" i="15"/>
  <c r="AN100" i="15"/>
  <c r="AN28" i="15"/>
  <c r="AN44" i="15"/>
  <c r="AN117" i="15"/>
  <c r="AN96" i="15"/>
  <c r="AN121" i="15"/>
  <c r="AN136" i="15"/>
  <c r="AN150" i="15"/>
  <c r="AN186" i="15"/>
  <c r="AN194" i="15"/>
  <c r="AN165" i="15"/>
  <c r="AN177" i="15"/>
  <c r="AN183" i="15"/>
  <c r="AN137" i="15"/>
  <c r="AN142" i="15"/>
  <c r="AN75" i="15"/>
  <c r="AN84" i="15"/>
  <c r="AN48" i="15"/>
  <c r="AN104" i="15"/>
  <c r="AN149" i="15"/>
  <c r="AN116" i="15"/>
  <c r="AN158" i="15"/>
  <c r="AN169" i="15"/>
  <c r="AN65" i="15"/>
  <c r="AN193" i="15"/>
  <c r="AN86" i="15"/>
  <c r="AN128" i="15"/>
  <c r="AN147" i="15"/>
  <c r="AN188" i="15"/>
  <c r="AN52" i="15"/>
  <c r="AN29" i="15"/>
  <c r="AN53" i="15"/>
  <c r="AN93" i="15"/>
  <c r="AN55" i="15"/>
  <c r="AN141" i="15"/>
  <c r="AN77" i="15"/>
  <c r="AN36" i="15"/>
  <c r="AN85" i="15"/>
  <c r="AN102" i="15"/>
  <c r="AN80" i="15"/>
  <c r="AN192" i="15"/>
  <c r="AN133" i="15"/>
  <c r="AN184" i="15"/>
  <c r="AN146" i="15"/>
  <c r="AN155" i="15"/>
  <c r="AN190" i="15"/>
  <c r="AN98" i="15"/>
  <c r="AN57" i="15"/>
  <c r="AN45" i="15"/>
  <c r="AN71" i="15"/>
  <c r="AN163" i="15"/>
  <c r="AN92" i="15"/>
  <c r="AN118" i="15"/>
  <c r="AN140" i="15"/>
  <c r="AN112" i="15"/>
  <c r="AN153" i="15"/>
  <c r="AN124" i="15"/>
  <c r="AN68" i="15"/>
  <c r="AN101" i="15"/>
  <c r="AN185" i="15"/>
  <c r="AB17" i="15"/>
  <c r="AN157" i="15"/>
  <c r="AN174" i="15"/>
  <c r="AN79" i="15"/>
  <c r="AN103" i="15"/>
  <c r="AN83" i="15"/>
  <c r="AN70" i="15"/>
  <c r="AN127" i="15"/>
  <c r="AN172" i="15"/>
  <c r="AN154" i="15"/>
  <c r="AN111" i="15"/>
  <c r="AN66" i="15"/>
  <c r="AN60" i="15"/>
  <c r="AN73" i="15"/>
  <c r="AN122" i="15"/>
  <c r="AN51" i="15"/>
  <c r="AN175" i="15"/>
  <c r="AN32" i="15"/>
  <c r="AN151" i="15"/>
  <c r="AN126" i="15"/>
  <c r="AN145" i="15"/>
  <c r="AN178" i="15"/>
  <c r="AN90" i="15"/>
  <c r="AN89" i="15"/>
  <c r="AN131" i="15"/>
  <c r="AN130" i="15"/>
  <c r="AN119" i="15"/>
  <c r="AN99" i="15"/>
  <c r="AN43" i="15"/>
  <c r="AN82" i="15"/>
  <c r="AN30" i="15"/>
  <c r="AN33" i="15"/>
  <c r="AN105" i="15"/>
  <c r="AN159" i="15"/>
  <c r="AN120" i="15"/>
  <c r="AN162" i="15"/>
  <c r="AN170" i="15"/>
  <c r="AN180" i="15"/>
  <c r="AN50" i="15"/>
  <c r="AN58" i="15"/>
  <c r="AN132" i="15"/>
  <c r="AN179" i="15"/>
  <c r="AN88" i="15"/>
  <c r="AN109" i="15"/>
  <c r="AN42" i="15"/>
  <c r="AN39" i="15"/>
  <c r="AN37" i="15"/>
  <c r="AN97" i="15"/>
  <c r="AN108" i="15"/>
  <c r="AN74" i="15"/>
  <c r="AN115" i="15"/>
  <c r="AN166" i="15"/>
  <c r="AN191" i="15"/>
  <c r="AN113" i="15"/>
  <c r="AN138" i="15"/>
  <c r="AN182" i="15"/>
  <c r="AN47" i="15"/>
  <c r="AN46" i="15"/>
  <c r="AN38" i="15"/>
  <c r="AN41" i="15"/>
  <c r="AN67" i="15"/>
  <c r="AN63" i="15"/>
  <c r="AN40" i="15"/>
  <c r="AN114" i="15"/>
  <c r="AN110" i="15"/>
  <c r="AN167" i="15"/>
  <c r="AN161" i="15"/>
  <c r="AN189" i="15"/>
  <c r="AD27" i="15"/>
  <c r="AI27" i="15" s="1"/>
  <c r="AC17" i="15"/>
  <c r="AN164" i="15"/>
  <c r="AO164" i="15" l="1"/>
  <c r="AP164" i="15" s="1"/>
  <c r="AQ164" i="15" s="1"/>
  <c r="AR164" i="15" s="1"/>
  <c r="AO161" i="15"/>
  <c r="AP161" i="15" s="1"/>
  <c r="AQ161" i="15" s="1"/>
  <c r="AR161" i="15" s="1"/>
  <c r="AO40" i="15"/>
  <c r="AP40" i="15" s="1"/>
  <c r="AQ40" i="15" s="1"/>
  <c r="AR40" i="15" s="1"/>
  <c r="AO38" i="15"/>
  <c r="AP38" i="15" s="1"/>
  <c r="AQ38" i="15" s="1"/>
  <c r="AR38" i="15" s="1"/>
  <c r="AO138" i="15"/>
  <c r="AP138" i="15" s="1"/>
  <c r="AQ138" i="15" s="1"/>
  <c r="AR138" i="15" s="1"/>
  <c r="AO115" i="15"/>
  <c r="AP115" i="15" s="1"/>
  <c r="AQ115" i="15" s="1"/>
  <c r="AR115" i="15" s="1"/>
  <c r="AO37" i="15"/>
  <c r="AP37" i="15" s="1"/>
  <c r="AQ37" i="15" s="1"/>
  <c r="AR37" i="15" s="1"/>
  <c r="AO88" i="15"/>
  <c r="AP88" i="15" s="1"/>
  <c r="AQ88" i="15" s="1"/>
  <c r="AR88" i="15" s="1"/>
  <c r="AO50" i="15"/>
  <c r="AP50" i="15" s="1"/>
  <c r="AQ50" i="15" s="1"/>
  <c r="AR50" i="15" s="1"/>
  <c r="AO120" i="15"/>
  <c r="AP120" i="15" s="1"/>
  <c r="AQ120" i="15" s="1"/>
  <c r="AR120" i="15" s="1"/>
  <c r="AO30" i="15"/>
  <c r="AP30" i="15" s="1"/>
  <c r="AQ30" i="15" s="1"/>
  <c r="AR30" i="15" s="1"/>
  <c r="AO119" i="15"/>
  <c r="AP119" i="15" s="1"/>
  <c r="AQ119" i="15" s="1"/>
  <c r="AR119" i="15" s="1"/>
  <c r="AO90" i="15"/>
  <c r="AP90" i="15" s="1"/>
  <c r="AQ90" i="15" s="1"/>
  <c r="AR90" i="15" s="1"/>
  <c r="AO151" i="15"/>
  <c r="AP151" i="15" s="1"/>
  <c r="AQ151" i="15" s="1"/>
  <c r="AR151" i="15" s="1"/>
  <c r="AO122" i="15"/>
  <c r="AP122" i="15" s="1"/>
  <c r="AQ122" i="15" s="1"/>
  <c r="AR122" i="15" s="1"/>
  <c r="AO111" i="15"/>
  <c r="AP111" i="15" s="1"/>
  <c r="AQ111" i="15" s="1"/>
  <c r="AR111" i="15" s="1"/>
  <c r="AO70" i="15"/>
  <c r="AP70" i="15" s="1"/>
  <c r="AQ70" i="15" s="1"/>
  <c r="AR70" i="15" s="1"/>
  <c r="AO174" i="15"/>
  <c r="AP174" i="15" s="1"/>
  <c r="AQ174" i="15" s="1"/>
  <c r="AR174" i="15" s="1"/>
  <c r="AO101" i="15"/>
  <c r="AP101" i="15" s="1"/>
  <c r="AQ101" i="15" s="1"/>
  <c r="AR101" i="15" s="1"/>
  <c r="AO112" i="15"/>
  <c r="AP112" i="15" s="1"/>
  <c r="AQ112" i="15" s="1"/>
  <c r="AR112" i="15" s="1"/>
  <c r="AO163" i="15"/>
  <c r="AP163" i="15" s="1"/>
  <c r="AQ163" i="15" s="1"/>
  <c r="AR163" i="15" s="1"/>
  <c r="AO98" i="15"/>
  <c r="AP98" i="15" s="1"/>
  <c r="AQ98" i="15" s="1"/>
  <c r="AR98" i="15" s="1"/>
  <c r="AO184" i="15"/>
  <c r="AP184" i="15" s="1"/>
  <c r="AQ184" i="15" s="1"/>
  <c r="AR184" i="15" s="1"/>
  <c r="AO102" i="15"/>
  <c r="AP102" i="15" s="1"/>
  <c r="AQ102" i="15" s="1"/>
  <c r="AR102" i="15" s="1"/>
  <c r="AO141" i="15"/>
  <c r="AP141" i="15" s="1"/>
  <c r="AQ141" i="15" s="1"/>
  <c r="AR141" i="15" s="1"/>
  <c r="AO29" i="15"/>
  <c r="AP29" i="15" s="1"/>
  <c r="AQ29" i="15" s="1"/>
  <c r="AR29" i="15" s="1"/>
  <c r="AO128" i="15"/>
  <c r="AP128" i="15" s="1"/>
  <c r="AQ128" i="15" s="1"/>
  <c r="AR128" i="15" s="1"/>
  <c r="AO169" i="15"/>
  <c r="AP169" i="15" s="1"/>
  <c r="AQ169" i="15" s="1"/>
  <c r="AR169" i="15" s="1"/>
  <c r="AO104" i="15"/>
  <c r="AP104" i="15" s="1"/>
  <c r="AQ104" i="15" s="1"/>
  <c r="AR104" i="15" s="1"/>
  <c r="AO142" i="15"/>
  <c r="AP142" i="15" s="1"/>
  <c r="AQ142" i="15" s="1"/>
  <c r="AR142" i="15" s="1"/>
  <c r="AO165" i="15"/>
  <c r="AP165" i="15" s="1"/>
  <c r="AQ165" i="15" s="1"/>
  <c r="AR165" i="15" s="1"/>
  <c r="AO136" i="15"/>
  <c r="AP136" i="15" s="1"/>
  <c r="AQ136" i="15" s="1"/>
  <c r="AR136" i="15" s="1"/>
  <c r="AO44" i="15"/>
  <c r="AP44" i="15" s="1"/>
  <c r="AQ44" i="15" s="1"/>
  <c r="AR44" i="15" s="1"/>
  <c r="AO59" i="15"/>
  <c r="AP59" i="15" s="1"/>
  <c r="AQ59" i="15" s="1"/>
  <c r="AR59" i="15" s="1"/>
  <c r="AO171" i="15"/>
  <c r="AP171" i="15" s="1"/>
  <c r="AQ171" i="15" s="1"/>
  <c r="AR171" i="15" s="1"/>
  <c r="AO94" i="15"/>
  <c r="AP94" i="15" s="1"/>
  <c r="AQ94" i="15" s="1"/>
  <c r="AR94" i="15" s="1"/>
  <c r="AO49" i="15"/>
  <c r="AP49" i="15" s="1"/>
  <c r="AQ49" i="15" s="1"/>
  <c r="AR49" i="15" s="1"/>
  <c r="AO167" i="15"/>
  <c r="AP167" i="15" s="1"/>
  <c r="AQ167" i="15" s="1"/>
  <c r="AR167" i="15" s="1"/>
  <c r="AO63" i="15"/>
  <c r="AP63" i="15" s="1"/>
  <c r="AQ63" i="15" s="1"/>
  <c r="AR63" i="15" s="1"/>
  <c r="AO46" i="15"/>
  <c r="AP46" i="15" s="1"/>
  <c r="AQ46" i="15" s="1"/>
  <c r="AR46" i="15" s="1"/>
  <c r="AO113" i="15"/>
  <c r="AP113" i="15" s="1"/>
  <c r="AQ113" i="15" s="1"/>
  <c r="AR113" i="15" s="1"/>
  <c r="AO74" i="15"/>
  <c r="AP74" i="15" s="1"/>
  <c r="AQ74" i="15" s="1"/>
  <c r="AR74" i="15" s="1"/>
  <c r="AO39" i="15"/>
  <c r="AP39" i="15" s="1"/>
  <c r="AQ39" i="15" s="1"/>
  <c r="AR39" i="15" s="1"/>
  <c r="AO179" i="15"/>
  <c r="AP179" i="15" s="1"/>
  <c r="AQ179" i="15" s="1"/>
  <c r="AR179" i="15" s="1"/>
  <c r="AO180" i="15"/>
  <c r="AP180" i="15" s="1"/>
  <c r="AQ180" i="15" s="1"/>
  <c r="AR180" i="15" s="1"/>
  <c r="AO159" i="15"/>
  <c r="AP159" i="15" s="1"/>
  <c r="AQ159" i="15" s="1"/>
  <c r="AR159" i="15" s="1"/>
  <c r="AO82" i="15"/>
  <c r="AP82" i="15" s="1"/>
  <c r="AQ82" i="15" s="1"/>
  <c r="AR82" i="15" s="1"/>
  <c r="AO130" i="15"/>
  <c r="AP130" i="15" s="1"/>
  <c r="AQ130" i="15" s="1"/>
  <c r="AR130" i="15" s="1"/>
  <c r="AO178" i="15"/>
  <c r="AP178" i="15" s="1"/>
  <c r="AQ178" i="15" s="1"/>
  <c r="AR178" i="15" s="1"/>
  <c r="AO32" i="15"/>
  <c r="AP32" i="15" s="1"/>
  <c r="AQ32" i="15" s="1"/>
  <c r="AR32" i="15" s="1"/>
  <c r="AO73" i="15"/>
  <c r="AP73" i="15" s="1"/>
  <c r="AQ73" i="15" s="1"/>
  <c r="AR73" i="15" s="1"/>
  <c r="AO154" i="15"/>
  <c r="AP154" i="15" s="1"/>
  <c r="AQ154" i="15" s="1"/>
  <c r="AR154" i="15" s="1"/>
  <c r="AO83" i="15"/>
  <c r="AP83" i="15" s="1"/>
  <c r="AQ83" i="15" s="1"/>
  <c r="AR83" i="15" s="1"/>
  <c r="AO157" i="15"/>
  <c r="AP157" i="15" s="1"/>
  <c r="AQ157" i="15" s="1"/>
  <c r="AR157" i="15" s="1"/>
  <c r="AO68" i="15"/>
  <c r="AP68" i="15" s="1"/>
  <c r="AQ68" i="15" s="1"/>
  <c r="AR68" i="15" s="1"/>
  <c r="AO140" i="15"/>
  <c r="AP140" i="15" s="1"/>
  <c r="AQ140" i="15" s="1"/>
  <c r="AR140" i="15" s="1"/>
  <c r="AO71" i="15"/>
  <c r="AP71" i="15" s="1"/>
  <c r="AQ71" i="15" s="1"/>
  <c r="AR71" i="15" s="1"/>
  <c r="AO190" i="15"/>
  <c r="AP190" i="15" s="1"/>
  <c r="AQ190" i="15" s="1"/>
  <c r="AR190" i="15" s="1"/>
  <c r="AO133" i="15"/>
  <c r="AP133" i="15" s="1"/>
  <c r="AQ133" i="15" s="1"/>
  <c r="AR133" i="15" s="1"/>
  <c r="AO85" i="15"/>
  <c r="AP85" i="15" s="1"/>
  <c r="AQ85" i="15" s="1"/>
  <c r="AR85" i="15" s="1"/>
  <c r="AO55" i="15"/>
  <c r="AP55" i="15" s="1"/>
  <c r="AQ55" i="15" s="1"/>
  <c r="AR55" i="15" s="1"/>
  <c r="AO52" i="15"/>
  <c r="AP52" i="15" s="1"/>
  <c r="AQ52" i="15" s="1"/>
  <c r="AR52" i="15" s="1"/>
  <c r="AO86" i="15"/>
  <c r="AP86" i="15" s="1"/>
  <c r="AQ86" i="15" s="1"/>
  <c r="AR86" i="15" s="1"/>
  <c r="AO158" i="15"/>
  <c r="AP158" i="15" s="1"/>
  <c r="AQ158" i="15" s="1"/>
  <c r="AR158" i="15" s="1"/>
  <c r="AO48" i="15"/>
  <c r="AP48" i="15" s="1"/>
  <c r="AQ48" i="15" s="1"/>
  <c r="AR48" i="15" s="1"/>
  <c r="AO137" i="15"/>
  <c r="AP137" i="15" s="1"/>
  <c r="AQ137" i="15" s="1"/>
  <c r="AR137" i="15" s="1"/>
  <c r="AO194" i="15"/>
  <c r="AP194" i="15" s="1"/>
  <c r="AQ194" i="15" s="1"/>
  <c r="AR194" i="15" s="1"/>
  <c r="AO121" i="15"/>
  <c r="AP121" i="15" s="1"/>
  <c r="AQ121" i="15" s="1"/>
  <c r="AR121" i="15" s="1"/>
  <c r="AO28" i="15"/>
  <c r="AP28" i="15" s="1"/>
  <c r="AQ28" i="15" s="1"/>
  <c r="AR28" i="15" s="1"/>
  <c r="AO76" i="15"/>
  <c r="AP76" i="15" s="1"/>
  <c r="AQ76" i="15" s="1"/>
  <c r="AR76" i="15" s="1"/>
  <c r="AO173" i="15"/>
  <c r="AP173" i="15" s="1"/>
  <c r="AQ173" i="15" s="1"/>
  <c r="AR173" i="15" s="1"/>
  <c r="AO156" i="15"/>
  <c r="AP156" i="15" s="1"/>
  <c r="AQ156" i="15" s="1"/>
  <c r="AR156" i="15" s="1"/>
  <c r="AO110" i="15"/>
  <c r="AP110" i="15" s="1"/>
  <c r="AQ110" i="15" s="1"/>
  <c r="AR110" i="15" s="1"/>
  <c r="AO67" i="15"/>
  <c r="AP67" i="15" s="1"/>
  <c r="AQ67" i="15" s="1"/>
  <c r="AR67" i="15" s="1"/>
  <c r="AO47" i="15"/>
  <c r="AP47" i="15" s="1"/>
  <c r="AQ47" i="15" s="1"/>
  <c r="AR47" i="15" s="1"/>
  <c r="AO191" i="15"/>
  <c r="AP191" i="15" s="1"/>
  <c r="AQ191" i="15" s="1"/>
  <c r="AR191" i="15" s="1"/>
  <c r="AO108" i="15"/>
  <c r="AP108" i="15" s="1"/>
  <c r="AQ108" i="15" s="1"/>
  <c r="AR108" i="15" s="1"/>
  <c r="AO42" i="15"/>
  <c r="AP42" i="15" s="1"/>
  <c r="AQ42" i="15" s="1"/>
  <c r="AR42" i="15" s="1"/>
  <c r="AO132" i="15"/>
  <c r="AP132" i="15" s="1"/>
  <c r="AQ132" i="15" s="1"/>
  <c r="AR132" i="15" s="1"/>
  <c r="AO170" i="15"/>
  <c r="AP170" i="15" s="1"/>
  <c r="AQ170" i="15" s="1"/>
  <c r="AR170" i="15" s="1"/>
  <c r="AO105" i="15"/>
  <c r="AP105" i="15" s="1"/>
  <c r="AQ105" i="15" s="1"/>
  <c r="AR105" i="15" s="1"/>
  <c r="AO43" i="15"/>
  <c r="AP43" i="15" s="1"/>
  <c r="AQ43" i="15" s="1"/>
  <c r="AR43" i="15" s="1"/>
  <c r="AO131" i="15"/>
  <c r="AP131" i="15" s="1"/>
  <c r="AQ131" i="15" s="1"/>
  <c r="AR131" i="15" s="1"/>
  <c r="AO145" i="15"/>
  <c r="AP145" i="15" s="1"/>
  <c r="AQ145" i="15" s="1"/>
  <c r="AR145" i="15" s="1"/>
  <c r="AO175" i="15"/>
  <c r="AP175" i="15" s="1"/>
  <c r="AQ175" i="15" s="1"/>
  <c r="AR175" i="15" s="1"/>
  <c r="AO60" i="15"/>
  <c r="AP60" i="15" s="1"/>
  <c r="AQ60" i="15" s="1"/>
  <c r="AR60" i="15" s="1"/>
  <c r="AO172" i="15"/>
  <c r="AP172" i="15" s="1"/>
  <c r="AQ172" i="15" s="1"/>
  <c r="AR172" i="15" s="1"/>
  <c r="AO103" i="15"/>
  <c r="AP103" i="15" s="1"/>
  <c r="AQ103" i="15" s="1"/>
  <c r="AR103" i="15" s="1"/>
  <c r="AO124" i="15"/>
  <c r="AP124" i="15" s="1"/>
  <c r="AQ124" i="15" s="1"/>
  <c r="AR124" i="15" s="1"/>
  <c r="AO118" i="15"/>
  <c r="AP118" i="15" s="1"/>
  <c r="AQ118" i="15" s="1"/>
  <c r="AR118" i="15" s="1"/>
  <c r="AO45" i="15"/>
  <c r="AP45" i="15" s="1"/>
  <c r="AQ45" i="15" s="1"/>
  <c r="AR45" i="15" s="1"/>
  <c r="AO155" i="15"/>
  <c r="AP155" i="15" s="1"/>
  <c r="AQ155" i="15" s="1"/>
  <c r="AR155" i="15" s="1"/>
  <c r="AO192" i="15"/>
  <c r="AP192" i="15" s="1"/>
  <c r="AQ192" i="15" s="1"/>
  <c r="AR192" i="15" s="1"/>
  <c r="AO36" i="15"/>
  <c r="AP36" i="15" s="1"/>
  <c r="AQ36" i="15" s="1"/>
  <c r="AR36" i="15" s="1"/>
  <c r="AO93" i="15"/>
  <c r="AP93" i="15" s="1"/>
  <c r="AQ93" i="15" s="1"/>
  <c r="AR93" i="15" s="1"/>
  <c r="AO188" i="15"/>
  <c r="AP188" i="15" s="1"/>
  <c r="AQ188" i="15" s="1"/>
  <c r="AR188" i="15" s="1"/>
  <c r="AO193" i="15"/>
  <c r="AP193" i="15" s="1"/>
  <c r="AQ193" i="15" s="1"/>
  <c r="AR193" i="15" s="1"/>
  <c r="AO116" i="15"/>
  <c r="AP116" i="15" s="1"/>
  <c r="AQ116" i="15" s="1"/>
  <c r="AR116" i="15" s="1"/>
  <c r="AO84" i="15"/>
  <c r="AP84" i="15" s="1"/>
  <c r="AQ84" i="15" s="1"/>
  <c r="AR84" i="15" s="1"/>
  <c r="AO183" i="15"/>
  <c r="AP183" i="15" s="1"/>
  <c r="AQ183" i="15" s="1"/>
  <c r="AR183" i="15" s="1"/>
  <c r="AO186" i="15"/>
  <c r="AP186" i="15" s="1"/>
  <c r="AQ186" i="15" s="1"/>
  <c r="AR186" i="15" s="1"/>
  <c r="AO96" i="15"/>
  <c r="AP96" i="15" s="1"/>
  <c r="AQ96" i="15" s="1"/>
  <c r="AR96" i="15" s="1"/>
  <c r="AO100" i="15"/>
  <c r="AP100" i="15" s="1"/>
  <c r="AQ100" i="15" s="1"/>
  <c r="AR100" i="15" s="1"/>
  <c r="AO125" i="15"/>
  <c r="AP125" i="15" s="1"/>
  <c r="AQ125" i="15" s="1"/>
  <c r="AR125" i="15" s="1"/>
  <c r="AO134" i="15"/>
  <c r="AP134" i="15" s="1"/>
  <c r="AQ134" i="15" s="1"/>
  <c r="AR134" i="15" s="1"/>
  <c r="AO72" i="15"/>
  <c r="AP72" i="15" s="1"/>
  <c r="AQ72" i="15" s="1"/>
  <c r="AR72" i="15" s="1"/>
  <c r="AO195" i="15"/>
  <c r="AP195" i="15" s="1"/>
  <c r="AQ195" i="15" s="1"/>
  <c r="AR195" i="15" s="1"/>
  <c r="AO189" i="15"/>
  <c r="AP189" i="15" s="1"/>
  <c r="AQ189" i="15" s="1"/>
  <c r="AR189" i="15" s="1"/>
  <c r="AO114" i="15"/>
  <c r="AP114" i="15" s="1"/>
  <c r="AQ114" i="15" s="1"/>
  <c r="AR114" i="15" s="1"/>
  <c r="AO41" i="15"/>
  <c r="AP41" i="15" s="1"/>
  <c r="AQ41" i="15" s="1"/>
  <c r="AR41" i="15" s="1"/>
  <c r="AO182" i="15"/>
  <c r="AP182" i="15" s="1"/>
  <c r="AQ182" i="15" s="1"/>
  <c r="AR182" i="15" s="1"/>
  <c r="AO166" i="15"/>
  <c r="AP166" i="15" s="1"/>
  <c r="AQ166" i="15" s="1"/>
  <c r="AR166" i="15" s="1"/>
  <c r="AO97" i="15"/>
  <c r="AP97" i="15" s="1"/>
  <c r="AQ97" i="15" s="1"/>
  <c r="AR97" i="15" s="1"/>
  <c r="AO109" i="15"/>
  <c r="AP109" i="15" s="1"/>
  <c r="AQ109" i="15" s="1"/>
  <c r="AR109" i="15" s="1"/>
  <c r="AO58" i="15"/>
  <c r="AP58" i="15" s="1"/>
  <c r="AQ58" i="15" s="1"/>
  <c r="AR58" i="15" s="1"/>
  <c r="AO162" i="15"/>
  <c r="AP162" i="15" s="1"/>
  <c r="AQ162" i="15" s="1"/>
  <c r="AR162" i="15" s="1"/>
  <c r="AO33" i="15"/>
  <c r="AP33" i="15" s="1"/>
  <c r="AQ33" i="15" s="1"/>
  <c r="AR33" i="15" s="1"/>
  <c r="AO99" i="15"/>
  <c r="AP99" i="15" s="1"/>
  <c r="AQ99" i="15" s="1"/>
  <c r="AR99" i="15" s="1"/>
  <c r="AO89" i="15"/>
  <c r="AP89" i="15" s="1"/>
  <c r="AQ89" i="15" s="1"/>
  <c r="AR89" i="15" s="1"/>
  <c r="AO126" i="15"/>
  <c r="AP126" i="15" s="1"/>
  <c r="AQ126" i="15" s="1"/>
  <c r="AR126" i="15" s="1"/>
  <c r="AO51" i="15"/>
  <c r="AP51" i="15" s="1"/>
  <c r="AQ51" i="15" s="1"/>
  <c r="AR51" i="15" s="1"/>
  <c r="AO66" i="15"/>
  <c r="AP66" i="15" s="1"/>
  <c r="AQ66" i="15" s="1"/>
  <c r="AR66" i="15" s="1"/>
  <c r="AO127" i="15"/>
  <c r="AP127" i="15" s="1"/>
  <c r="AQ127" i="15" s="1"/>
  <c r="AR127" i="15" s="1"/>
  <c r="AO79" i="15"/>
  <c r="AP79" i="15" s="1"/>
  <c r="AQ79" i="15" s="1"/>
  <c r="AR79" i="15" s="1"/>
  <c r="AO185" i="15"/>
  <c r="AP185" i="15" s="1"/>
  <c r="AQ185" i="15" s="1"/>
  <c r="AR185" i="15" s="1"/>
  <c r="AO153" i="15"/>
  <c r="AP153" i="15" s="1"/>
  <c r="AQ153" i="15" s="1"/>
  <c r="AR153" i="15" s="1"/>
  <c r="AO92" i="15"/>
  <c r="AP92" i="15" s="1"/>
  <c r="AQ92" i="15" s="1"/>
  <c r="AR92" i="15" s="1"/>
  <c r="AO57" i="15"/>
  <c r="AP57" i="15" s="1"/>
  <c r="AQ57" i="15" s="1"/>
  <c r="AR57" i="15" s="1"/>
  <c r="AO146" i="15"/>
  <c r="AP146" i="15" s="1"/>
  <c r="AQ146" i="15" s="1"/>
  <c r="AR146" i="15" s="1"/>
  <c r="AO80" i="15"/>
  <c r="AP80" i="15" s="1"/>
  <c r="AQ80" i="15" s="1"/>
  <c r="AR80" i="15" s="1"/>
  <c r="AO77" i="15"/>
  <c r="AP77" i="15" s="1"/>
  <c r="AQ77" i="15" s="1"/>
  <c r="AR77" i="15" s="1"/>
  <c r="AO53" i="15"/>
  <c r="AP53" i="15" s="1"/>
  <c r="AQ53" i="15" s="1"/>
  <c r="AR53" i="15" s="1"/>
  <c r="AO147" i="15"/>
  <c r="AP147" i="15" s="1"/>
  <c r="AQ147" i="15" s="1"/>
  <c r="AR147" i="15" s="1"/>
  <c r="AO65" i="15"/>
  <c r="AP65" i="15" s="1"/>
  <c r="AQ65" i="15" s="1"/>
  <c r="AR65" i="15" s="1"/>
  <c r="AO149" i="15"/>
  <c r="AP149" i="15" s="1"/>
  <c r="AQ149" i="15" s="1"/>
  <c r="AR149" i="15" s="1"/>
  <c r="AO75" i="15"/>
  <c r="AP75" i="15" s="1"/>
  <c r="AQ75" i="15" s="1"/>
  <c r="AR75" i="15" s="1"/>
  <c r="AO177" i="15"/>
  <c r="AP177" i="15" s="1"/>
  <c r="AQ177" i="15" s="1"/>
  <c r="AR177" i="15" s="1"/>
  <c r="AO150" i="15"/>
  <c r="AP150" i="15" s="1"/>
  <c r="AQ150" i="15" s="1"/>
  <c r="AR150" i="15" s="1"/>
  <c r="AO117" i="15"/>
  <c r="AP117" i="15" s="1"/>
  <c r="AQ117" i="15" s="1"/>
  <c r="AR117" i="15" s="1"/>
  <c r="AO69" i="15"/>
  <c r="AP69" i="15" s="1"/>
  <c r="AQ69" i="15" s="1"/>
  <c r="AR69" i="15" s="1"/>
  <c r="AO61" i="15"/>
  <c r="AP61" i="15" s="1"/>
  <c r="AQ61" i="15" s="1"/>
  <c r="AR61" i="15" s="1"/>
  <c r="AO78" i="15"/>
  <c r="AP78" i="15" s="1"/>
  <c r="AQ78" i="15" s="1"/>
  <c r="AR78" i="15" s="1"/>
  <c r="AO181" i="15"/>
  <c r="AP181" i="15" s="1"/>
  <c r="AQ181" i="15" s="1"/>
  <c r="AR181" i="15" s="1"/>
  <c r="AO95" i="15"/>
  <c r="AP95" i="15" s="1"/>
  <c r="AQ95" i="15" s="1"/>
  <c r="AR95" i="15" s="1"/>
  <c r="AI17" i="15"/>
  <c r="AJ27" i="15"/>
  <c r="AM27" i="15" s="1"/>
  <c r="AM17" i="15" l="1"/>
  <c r="AJ17" i="15"/>
  <c r="AN27" i="15"/>
  <c r="AN17" i="15" s="1"/>
  <c r="AO27" i="15" l="1"/>
  <c r="AP27" i="15" l="1"/>
  <c r="AO17" i="15"/>
  <c r="AQ27" i="15"/>
  <c r="AR27" i="15" s="1"/>
  <c r="AP17" i="15"/>
  <c r="AP11" i="15" s="1"/>
  <c r="AQ18" i="15" l="1"/>
  <c r="AQ16" i="15"/>
  <c r="AP18" i="15"/>
  <c r="AR18" i="15"/>
  <c r="AR16" i="15"/>
</calcChain>
</file>

<file path=xl/sharedStrings.xml><?xml version="1.0" encoding="utf-8"?>
<sst xmlns="http://schemas.openxmlformats.org/spreadsheetml/2006/main" count="525" uniqueCount="335">
  <si>
    <t xml:space="preserve">A.  </t>
  </si>
  <si>
    <t>Need Weighting Factor for Col 3:</t>
  </si>
  <si>
    <t xml:space="preserve">B.  </t>
  </si>
  <si>
    <t>ENGL per Capita and MHI Threshold Factor for Col 8 &amp; Col 10:</t>
  </si>
  <si>
    <t xml:space="preserve">C.  </t>
  </si>
  <si>
    <t>ENGL per Capita Weight for Col 11:</t>
  </si>
  <si>
    <t xml:space="preserve">D.  </t>
  </si>
  <si>
    <t>MHI Weight for Col 11:</t>
  </si>
  <si>
    <t xml:space="preserve">E.  </t>
  </si>
  <si>
    <t>Non-Alliance District Minimum Aid Ratio for use in Column 12:</t>
  </si>
  <si>
    <t xml:space="preserve">F.  </t>
  </si>
  <si>
    <t>Alliance District Minimum Aid Ratio for use in Column 12:</t>
  </si>
  <si>
    <t xml:space="preserve">G.  </t>
  </si>
  <si>
    <t>Foundation for Column 17:</t>
  </si>
  <si>
    <t xml:space="preserve">K.  </t>
  </si>
  <si>
    <t>2014-15 Non-Alliance District Phase-In Rate for Col 24:</t>
  </si>
  <si>
    <t xml:space="preserve">L.  </t>
  </si>
  <si>
    <t>2014-15 Alliance District Phase-In Rate for Col 24:</t>
  </si>
  <si>
    <t xml:space="preserve">M.  </t>
  </si>
  <si>
    <t>2014-15 Reform District Phase-In Rate for Col 24:</t>
  </si>
  <si>
    <t xml:space="preserve">Totals 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</si>
  <si>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</si>
  <si>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</si>
  <si>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</si>
  <si>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</si>
  <si>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</si>
  <si>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</si>
  <si>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</si>
  <si>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</si>
  <si>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</si>
  <si>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</si>
  <si>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</si>
  <si>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</si>
  <si>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</si>
  <si>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</si>
  <si>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</si>
  <si>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</si>
  <si>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</si>
  <si>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</si>
  <si>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</si>
  <si>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</si>
  <si>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</si>
  <si>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</si>
  <si>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</si>
  <si>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</si>
  <si>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</si>
  <si>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</si>
  <si>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</si>
  <si>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(Non-Alliance Districts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</si>
  <si>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</si>
  <si>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</si>
  <si>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</si>
  <si>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</si>
  <si>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</si>
  <si>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</si>
  <si>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</si>
  <si>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</si>
  <si>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</si>
  <si>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</si>
  <si>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HH Alliance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</si>
  <si>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</si>
  <si>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</si>
  <si>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</si>
  <si>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</si>
  <si>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</si>
  <si>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</si>
  <si>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</si>
  <si>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</si>
  <si>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Item E or Col 11),</t>
  </si>
  <si>
    <t>Sent To</t>
  </si>
  <si>
    <t>per Pupil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</si>
  <si>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</si>
  <si>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</si>
  <si>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</si>
  <si>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</si>
  <si>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</si>
  <si>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</si>
  <si>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</si>
  <si>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</si>
  <si>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</si>
  <si>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</si>
  <si>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</si>
  <si>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</si>
  <si>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</si>
  <si>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(1 - ((Col 8 x</t>
  </si>
  <si>
    <t>(Alliance Districts: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</si>
  <si>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</si>
  <si>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</si>
  <si>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</si>
  <si>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</si>
  <si>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</si>
  <si>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</si>
  <si>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</si>
  <si>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</si>
  <si>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</si>
  <si>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</si>
  <si>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</si>
  <si>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(Col 1 +</t>
  </si>
  <si>
    <t>(ECS ENGL)</t>
  </si>
  <si>
    <t>Population</t>
  </si>
  <si>
    <t>(EEPC)</t>
  </si>
  <si>
    <t>(Col 7 /</t>
  </si>
  <si>
    <t>(MHI)</t>
  </si>
  <si>
    <t>(Col 9 /</t>
  </si>
  <si>
    <t>Item C) +</t>
  </si>
  <si>
    <t>Grades</t>
  </si>
  <si>
    <t>((Col 14 /</t>
  </si>
  <si>
    <t>(Col 13 x</t>
  </si>
  <si>
    <t>(Col 4 x Col 12</t>
  </si>
  <si>
    <t>(Col 16 +</t>
  </si>
  <si>
    <t>ECS</t>
  </si>
  <si>
    <t>DRG</t>
  </si>
  <si>
    <t>Districts</t>
  </si>
  <si>
    <t>Decile</t>
  </si>
  <si>
    <t>Code</t>
  </si>
  <si>
    <t>Name</t>
  </si>
  <si>
    <t>Item A)</t>
  </si>
  <si>
    <t>(Col 5 / Col 6)</t>
  </si>
  <si>
    <t>Threshold)</t>
  </si>
  <si>
    <t>Col 10 x Item D))</t>
  </si>
  <si>
    <t>Item F or Col 11)</t>
  </si>
  <si>
    <t>13) x 100)</t>
  </si>
  <si>
    <t>Col 15)</t>
  </si>
  <si>
    <t>x Found)</t>
  </si>
  <si>
    <t>Col 17)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</si>
  <si>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</si>
  <si>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</si>
  <si>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</si>
  <si>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</si>
  <si>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</si>
  <si>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</si>
  <si>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</si>
  <si>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</si>
  <si>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</si>
  <si>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</si>
  <si>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</si>
  <si>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</si>
  <si>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</si>
  <si>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</si>
  <si>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</si>
  <si>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</si>
  <si>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</si>
  <si>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</si>
  <si>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</si>
  <si>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</si>
  <si>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</si>
  <si>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</si>
  <si>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</si>
  <si>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</si>
  <si>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</si>
  <si>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</si>
  <si>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</si>
  <si>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</si>
  <si>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</si>
  <si>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</si>
  <si>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</si>
  <si>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</si>
  <si>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</si>
  <si>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</si>
  <si>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</si>
  <si>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</si>
  <si>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</si>
  <si>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</si>
  <si>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</si>
  <si>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</si>
  <si>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</si>
  <si>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</si>
  <si>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</si>
  <si>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</si>
  <si>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</si>
  <si>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</si>
  <si>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</si>
  <si>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</si>
  <si>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</si>
  <si>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</si>
  <si>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</si>
  <si>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</si>
  <si>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</si>
  <si>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</si>
  <si>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</si>
  <si>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</si>
  <si>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</si>
  <si>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</si>
  <si>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</si>
  <si>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</si>
  <si>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</si>
  <si>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</si>
  <si>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</si>
  <si>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</si>
  <si>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</si>
  <si>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</si>
  <si>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</si>
  <si>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</si>
  <si>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</si>
  <si>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</si>
  <si>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</si>
  <si>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</si>
  <si>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</si>
  <si>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</si>
  <si>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</si>
  <si>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</si>
  <si>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</si>
  <si>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</si>
  <si>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</si>
  <si>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</si>
  <si>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</si>
  <si>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</si>
  <si>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</si>
  <si>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</si>
  <si>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</si>
  <si>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</si>
  <si>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</si>
  <si>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</si>
  <si>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</si>
  <si>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</si>
  <si>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</si>
  <si>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</si>
  <si>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</si>
  <si>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</si>
  <si>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</si>
  <si>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</si>
  <si>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</si>
  <si>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</si>
  <si>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</si>
  <si>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</si>
  <si>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</si>
  <si>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</si>
  <si>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</si>
  <si>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</si>
  <si>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</si>
  <si>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</si>
  <si>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</si>
  <si>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</si>
  <si>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</si>
  <si>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</si>
  <si>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</si>
  <si>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</si>
  <si>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</si>
  <si>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</si>
  <si>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</si>
  <si>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</si>
  <si>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</si>
  <si>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</si>
  <si>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</si>
  <si>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</si>
  <si>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</si>
  <si>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</si>
  <si>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</si>
  <si>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</si>
  <si>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</si>
  <si>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</si>
  <si>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</si>
  <si>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</si>
  <si>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</si>
  <si>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</si>
  <si>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</si>
  <si>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</si>
  <si>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</si>
  <si>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</si>
  <si>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</si>
  <si>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</si>
  <si>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</si>
  <si>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</si>
  <si>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</si>
  <si>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</si>
  <si>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</si>
  <si>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</si>
  <si>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</si>
  <si>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</si>
  <si>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</si>
  <si>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</si>
  <si>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</si>
  <si>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</si>
  <si>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</si>
  <si>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</si>
  <si>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</si>
  <si>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</si>
  <si>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</si>
  <si>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</si>
  <si>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</si>
  <si>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</si>
  <si>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</si>
  <si>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</si>
  <si>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</si>
  <si>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</si>
  <si>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</si>
  <si>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</si>
  <si>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</si>
  <si>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</si>
  <si>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</si>
  <si>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</si>
  <si>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</si>
  <si>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</si>
  <si>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</si>
  <si>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</si>
  <si>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</si>
  <si>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</si>
  <si>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</si>
  <si>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</si>
  <si>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</si>
  <si>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</si>
  <si>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</si>
  <si>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</si>
  <si>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FY 19</t>
  </si>
  <si>
    <t>7U Adjusted - FY 19D</t>
  </si>
  <si>
    <t>Difference from FY17</t>
  </si>
  <si>
    <t>Max</t>
  </si>
  <si>
    <t>Min</t>
  </si>
  <si>
    <t>HH alliance all yrs</t>
  </si>
  <si>
    <t>HH losers FY 18</t>
  </si>
  <si>
    <t>Fully Funded Less</t>
  </si>
  <si>
    <t>Adjustment with HH</t>
  </si>
  <si>
    <t>Change from FY 17</t>
  </si>
  <si>
    <t>% Change from FY 17</t>
  </si>
  <si>
    <t>Concentrated</t>
  </si>
  <si>
    <t>PIC</t>
  </si>
  <si>
    <t>Poverty</t>
  </si>
  <si>
    <t>(Full Adjustment)</t>
  </si>
  <si>
    <t>FY 17</t>
  </si>
  <si>
    <t>at 75%</t>
  </si>
  <si>
    <t>Col 3)</t>
  </si>
  <si>
    <t>ACTUAL</t>
  </si>
  <si>
    <t>SGL 1.35</t>
  </si>
  <si>
    <t>Fdtn. $11,525</t>
  </si>
  <si>
    <t>Oct. 18 Negotiations</t>
  </si>
  <si>
    <t>If FRPL % above 75%,</t>
  </si>
  <si>
    <t>% above 75%</t>
  </si>
  <si>
    <t>(# students above 75%)</t>
  </si>
  <si>
    <t>PIC add</t>
  </si>
  <si>
    <t>2018-19</t>
  </si>
  <si>
    <t>Entitlement</t>
  </si>
  <si>
    <t>10.66% increase for winners (using FY 18 base)</t>
  </si>
  <si>
    <t>8.33% decrease for losers (FY 18 base)</t>
  </si>
  <si>
    <t>(10/2018)</t>
  </si>
  <si>
    <t>(2014/15/16)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</si>
</sst>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sz val="9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9" fontId="1" fillId="0" borderId="0" applyFont="0" applyFill="0" applyBorder="0" applyAlignment="0" applyProtection="0"/>
    <xf numFmtId="0" fontId="8" fillId="0" borderId="0" applyFill="0" applyBorder="0">
      <alignment horizontal="center" wrapText="1"/>
    </xf>
    <xf numFmtId="169" fontId="9" fillId="0" borderId="1" applyFill="0"/>
    <xf numFmtId="0" fontId="9" fillId="0" borderId="1" applyFill="0"/>
    <xf numFmtId="0" fontId="8" fillId="0" borderId="0" applyNumberFormat="0" applyFill="0" applyBorder="0">
      <alignment horizontal="left" wrapText="1"/>
    </xf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6" applyNumberFormat="0" applyAlignment="0" applyProtection="0"/>
    <xf numFmtId="0" fontId="19" fillId="11" borderId="7" applyNumberFormat="0" applyAlignment="0" applyProtection="0"/>
    <xf numFmtId="0" fontId="20" fillId="11" borderId="6" applyNumberFormat="0" applyAlignment="0" applyProtection="0"/>
    <xf numFmtId="0" fontId="21" fillId="0" borderId="8" applyNumberFormat="0" applyFill="0" applyAlignment="0" applyProtection="0"/>
    <xf numFmtId="0" fontId="22" fillId="12" borderId="9" applyNumberFormat="0" applyAlignment="0" applyProtection="0"/>
    <xf numFmtId="0" fontId="23" fillId="0" borderId="0" applyNumberFormat="0" applyFill="0" applyBorder="0" applyAlignment="0" applyProtection="0"/>
    <xf numFmtId="0" fontId="1" fillId="13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6" fillId="37" borderId="0" applyNumberFormat="0" applyBorder="0" applyAlignment="0" applyProtection="0"/>
  </cellStyleXfs>
  <cellXfs count="82">
    <xf numFmtId="0" fontId="0" fillId="0" borderId="0" xfId="0"/>
    <xf numFmtId="0" fontId="2" fillId="0" borderId="0" xfId="0" applyFont="1"/>
    <xf numFmtId="15" fontId="3" fillId="0" borderId="0" xfId="0" quotePrefix="1" applyNumberFormat="1" applyFont="1" applyFill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NumberFormat="1" applyFont="1" applyFill="1"/>
    <xf numFmtId="10" fontId="2" fillId="0" borderId="0" xfId="0" applyNumberFormat="1" applyFont="1" applyFill="1"/>
    <xf numFmtId="164" fontId="2" fillId="0" borderId="0" xfId="0" applyNumberFormat="1" applyFont="1"/>
    <xf numFmtId="0" fontId="2" fillId="0" borderId="0" xfId="0" applyNumberFormat="1" applyFont="1" applyFill="1" applyAlignment="1">
      <alignment horizontal="center"/>
    </xf>
    <xf numFmtId="39" fontId="2" fillId="0" borderId="0" xfId="0" applyNumberFormat="1" applyFont="1" applyFill="1"/>
    <xf numFmtId="165" fontId="2" fillId="0" borderId="0" xfId="0" applyNumberFormat="1" applyFont="1" applyFill="1"/>
    <xf numFmtId="37" fontId="2" fillId="0" borderId="0" xfId="0" applyNumberFormat="1" applyFont="1" applyFill="1"/>
    <xf numFmtId="5" fontId="2" fillId="0" borderId="0" xfId="0" applyNumberFormat="1" applyFont="1" applyFill="1"/>
    <xf numFmtId="3" fontId="2" fillId="0" borderId="0" xfId="0" applyNumberFormat="1" applyFont="1" applyFill="1"/>
    <xf numFmtId="166" fontId="2" fillId="0" borderId="0" xfId="0" applyNumberFormat="1" applyFont="1" applyFill="1"/>
    <xf numFmtId="0" fontId="2" fillId="0" borderId="0" xfId="0" applyFont="1" applyAlignment="1">
      <alignment horizontal="right"/>
    </xf>
    <xf numFmtId="0" fontId="2" fillId="0" borderId="0" xfId="0" quotePrefix="1" applyNumberFormat="1" applyFont="1" applyFill="1"/>
    <xf numFmtId="37" fontId="3" fillId="0" borderId="0" xfId="0" applyNumberFormat="1" applyFont="1" applyFill="1"/>
    <xf numFmtId="40" fontId="2" fillId="0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3" fontId="2" fillId="0" borderId="0" xfId="0" applyNumberFormat="1" applyFont="1"/>
    <xf numFmtId="0" fontId="2" fillId="0" borderId="0" xfId="0" quotePrefix="1" applyFont="1" applyAlignment="1">
      <alignment horizontal="center"/>
    </xf>
    <xf numFmtId="0" fontId="3" fillId="0" borderId="0" xfId="0" quotePrefix="1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40" fontId="5" fillId="0" borderId="0" xfId="0" applyNumberFormat="1" applyFont="1" applyFill="1"/>
    <xf numFmtId="6" fontId="5" fillId="0" borderId="0" xfId="0" applyNumberFormat="1" applyFont="1" applyFill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8" fontId="5" fillId="0" borderId="0" xfId="0" applyNumberFormat="1" applyFont="1" applyFill="1" applyAlignment="1">
      <alignment horizontal="center"/>
    </xf>
    <xf numFmtId="5" fontId="5" fillId="0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quotePrefix="1" applyNumberFormat="1" applyFont="1" applyFill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40" fontId="2" fillId="0" borderId="0" xfId="0" applyNumberFormat="1" applyFont="1"/>
    <xf numFmtId="164" fontId="2" fillId="0" borderId="0" xfId="0" applyNumberFormat="1" applyFont="1" applyFill="1"/>
    <xf numFmtId="168" fontId="2" fillId="0" borderId="0" xfId="0" applyNumberFormat="1" applyFont="1" applyFill="1"/>
    <xf numFmtId="0" fontId="6" fillId="0" borderId="0" xfId="0" applyFont="1"/>
    <xf numFmtId="0" fontId="7" fillId="0" borderId="0" xfId="0" applyNumberFormat="1" applyFont="1" applyFill="1" applyAlignment="1">
      <alignment horizontal="center"/>
    </xf>
    <xf numFmtId="0" fontId="2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37" fontId="2" fillId="3" borderId="0" xfId="0" applyNumberFormat="1" applyFont="1" applyFill="1"/>
    <xf numFmtId="37" fontId="2" fillId="2" borderId="0" xfId="0" applyNumberFormat="1" applyFont="1" applyFill="1"/>
    <xf numFmtId="37" fontId="2" fillId="4" borderId="0" xfId="0" applyNumberFormat="1" applyFont="1" applyFill="1"/>
    <xf numFmtId="9" fontId="2" fillId="4" borderId="0" xfId="1" applyFont="1" applyFill="1"/>
    <xf numFmtId="0" fontId="3" fillId="2" borderId="0" xfId="0" quotePrefix="1" applyNumberFormat="1" applyFont="1" applyFill="1" applyAlignment="1">
      <alignment horizontal="center"/>
    </xf>
    <xf numFmtId="3" fontId="3" fillId="4" borderId="0" xfId="0" quotePrefix="1" applyNumberFormat="1" applyFont="1" applyFill="1" applyAlignment="1">
      <alignment horizontal="center"/>
    </xf>
    <xf numFmtId="9" fontId="3" fillId="4" borderId="0" xfId="1" quotePrefix="1" applyFont="1" applyFill="1" applyAlignment="1">
      <alignment horizontal="center"/>
    </xf>
    <xf numFmtId="37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2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2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3" fillId="4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4" fontId="10" fillId="5" borderId="2" xfId="0" applyNumberFormat="1" applyFont="1" applyFill="1" applyBorder="1" applyAlignment="1">
      <alignment horizontal="right"/>
    </xf>
    <xf numFmtId="168" fontId="6" fillId="0" borderId="0" xfId="0" applyNumberFormat="1" applyFont="1"/>
    <xf numFmtId="3" fontId="6" fillId="2" borderId="0" xfId="0" applyNumberFormat="1" applyFont="1" applyFill="1"/>
    <xf numFmtId="3" fontId="6" fillId="3" borderId="0" xfId="0" applyNumberFormat="1" applyFont="1" applyFill="1"/>
    <xf numFmtId="9" fontId="6" fillId="0" borderId="0" xfId="1" applyFont="1"/>
    <xf numFmtId="4" fontId="10" fillId="2" borderId="2" xfId="0" applyNumberFormat="1" applyFont="1" applyFill="1" applyBorder="1" applyAlignment="1">
      <alignment horizontal="right"/>
    </xf>
    <xf numFmtId="37" fontId="3" fillId="6" borderId="0" xfId="0" quotePrefix="1" applyNumberFormat="1" applyFont="1" applyFill="1" applyAlignment="1">
      <alignment horizontal="center"/>
    </xf>
    <xf numFmtId="0" fontId="0" fillId="0" borderId="0" xfId="0"/>
    <xf numFmtId="39" fontId="3" fillId="0" borderId="0" xfId="0" applyNumberFormat="1" applyFont="1" applyFill="1"/>
    <xf numFmtId="4" fontId="2" fillId="0" borderId="0" xfId="0" applyNumberFormat="1" applyFont="1" applyFill="1" applyAlignment="1">
      <alignment horizontal="center"/>
    </xf>
    <xf numFmtId="39" fontId="2" fillId="0" borderId="0" xfId="0" applyNumberFormat="1" applyFont="1"/>
    <xf numFmtId="2" fontId="2" fillId="0" borderId="0" xfId="0" applyNumberFormat="1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te" xfId="20" builtinId="10" customBuiltin="1"/>
    <cellStyle name="Number Headers" xfId="2"/>
    <cellStyle name="Numbers" xfId="3"/>
    <cellStyle name="Output" xfId="15" builtinId="21" customBuiltin="1"/>
    <cellStyle name="Percent" xfId="1" builtinId="5"/>
    <cellStyle name="Text" xfId="4"/>
    <cellStyle name="Text Headers" xfId="5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63"/>
  <sheetViews>
    <sheetView tabSelected="1" topLeftCell="AL3" workbookViewId="0">
      <selection activeCell="AU3" sqref="AU1:AU1048576"/>
    </sheetView>
  </sheetViews>
  <sheetFormatPr defaultColWidth="8.85546875" defaultRowHeight="14.25" x14ac:dyDescent="0.2"/>
  <cols>
    <col min="1" max="7" width="9.140625" style="3" customWidth="1"/>
    <col min="8" max="8" width="8.85546875" style="3"/>
    <col min="9" max="10" width="19.42578125" style="3" customWidth="1"/>
    <col min="11" max="13" width="16.85546875" style="3" customWidth="1"/>
    <col min="14" max="20" width="15.85546875" style="3" customWidth="1"/>
    <col min="21" max="21" width="16.85546875" style="3" customWidth="1"/>
    <col min="22" max="22" width="28.42578125" style="3" customWidth="1"/>
    <col min="23" max="23" width="17.140625" style="3" customWidth="1"/>
    <col min="24" max="24" width="26.7109375" style="3" customWidth="1"/>
    <col min="25" max="25" width="22.42578125" style="3" customWidth="1"/>
    <col min="26" max="26" width="18.42578125" style="3" customWidth="1"/>
    <col min="27" max="27" width="21.7109375" style="3" customWidth="1"/>
    <col min="28" max="28" width="18" style="3" customWidth="1"/>
    <col min="29" max="30" width="20.28515625" style="3" customWidth="1"/>
    <col min="31" max="31" width="15.42578125" style="3" customWidth="1"/>
    <col min="32" max="32" width="16.42578125" style="3" customWidth="1"/>
    <col min="33" max="33" width="15" style="3" customWidth="1"/>
    <col min="34" max="34" width="19.7109375" style="3" customWidth="1"/>
    <col min="35" max="35" width="23.140625" style="3" customWidth="1"/>
    <col min="36" max="39" width="17.85546875" style="3" customWidth="1"/>
    <col min="40" max="40" width="17.85546875" style="42" customWidth="1"/>
    <col min="41" max="41" width="20.42578125" style="42" customWidth="1"/>
    <col min="42" max="42" width="36.42578125" style="43" customWidth="1"/>
    <col min="43" max="45" width="17.85546875" style="3" customWidth="1"/>
    <col min="46" max="46" width="17.140625" style="1" customWidth="1"/>
    <col min="47" max="47" width="8.85546875" style="1"/>
    <col min="48" max="48" width="15.28515625" style="1" customWidth="1"/>
    <col min="49" max="49" width="13.7109375" style="1" customWidth="1"/>
    <col min="50" max="52" width="8.85546875" style="1"/>
    <col min="53" max="57" width="15" style="1" bestFit="1" customWidth="1"/>
    <col min="58" max="16384" width="8.85546875" style="1"/>
  </cols>
  <sheetData>
    <row r="1" spans="1:45" x14ac:dyDescent="0.2">
      <c r="A1" s="1"/>
      <c r="B1" s="2"/>
      <c r="AQ1" s="44"/>
      <c r="AR1" s="44"/>
    </row>
    <row r="2" spans="1:45" x14ac:dyDescent="0.2">
      <c r="A2" s="1"/>
      <c r="B2" s="1"/>
      <c r="C2" s="2"/>
      <c r="D2" s="2"/>
      <c r="E2" s="2"/>
      <c r="F2" s="4" t="s">
        <v>0</v>
      </c>
      <c r="G2" s="4"/>
      <c r="H2" s="5" t="s">
        <v>1</v>
      </c>
      <c r="K2" s="1"/>
      <c r="L2" s="6">
        <v>0.3</v>
      </c>
      <c r="M2" s="1"/>
      <c r="N2" s="6"/>
      <c r="O2" s="6"/>
      <c r="P2" s="6"/>
      <c r="Q2" s="6"/>
      <c r="R2" s="6"/>
      <c r="S2" s="6"/>
      <c r="T2" s="6">
        <v>0.3</v>
      </c>
      <c r="U2" s="7"/>
      <c r="V2" s="8"/>
      <c r="AQ2" s="44"/>
      <c r="AR2" s="44"/>
    </row>
    <row r="3" spans="1:45" x14ac:dyDescent="0.2">
      <c r="A3" s="1"/>
      <c r="B3" s="1"/>
      <c r="C3" s="2"/>
      <c r="D3" s="2"/>
      <c r="E3" s="2"/>
      <c r="F3" s="4" t="s">
        <v>2</v>
      </c>
      <c r="G3" s="4"/>
      <c r="H3" s="5" t="s">
        <v>3</v>
      </c>
      <c r="L3" s="9">
        <v>1.35</v>
      </c>
      <c r="N3" s="9"/>
      <c r="O3" s="9"/>
      <c r="P3" s="9"/>
      <c r="Q3" s="9"/>
      <c r="R3" s="9"/>
      <c r="S3" s="9"/>
      <c r="T3" s="9">
        <v>1.35</v>
      </c>
      <c r="U3" s="7"/>
      <c r="V3" s="8"/>
      <c r="AQ3" s="44"/>
      <c r="AR3" s="44"/>
    </row>
    <row r="4" spans="1:45" x14ac:dyDescent="0.2">
      <c r="A4" s="1"/>
      <c r="B4" s="1"/>
      <c r="C4" s="2"/>
      <c r="D4" s="2"/>
      <c r="E4" s="2"/>
      <c r="F4" s="4" t="s">
        <v>4</v>
      </c>
      <c r="G4" s="4"/>
      <c r="H4" s="5" t="s">
        <v>5</v>
      </c>
      <c r="K4" s="1"/>
      <c r="L4" s="6">
        <v>0.7</v>
      </c>
      <c r="M4" s="1"/>
      <c r="N4" s="6"/>
      <c r="O4" s="6"/>
      <c r="P4" s="6"/>
      <c r="Q4" s="6"/>
      <c r="R4" s="6"/>
      <c r="S4" s="6"/>
      <c r="T4" s="6">
        <v>0.7</v>
      </c>
      <c r="U4" s="7"/>
      <c r="V4" s="8"/>
      <c r="AQ4" s="44"/>
      <c r="AR4" s="44"/>
    </row>
    <row r="5" spans="1:45" x14ac:dyDescent="0.2">
      <c r="F5" s="4" t="s">
        <v>6</v>
      </c>
      <c r="G5" s="4"/>
      <c r="H5" s="1" t="s">
        <v>7</v>
      </c>
      <c r="I5" s="1"/>
      <c r="J5" s="1"/>
      <c r="K5" s="1"/>
      <c r="L5" s="6">
        <v>0.3</v>
      </c>
      <c r="M5" s="1"/>
      <c r="N5" s="1"/>
      <c r="O5" s="1"/>
      <c r="P5" s="1"/>
      <c r="Q5" s="1"/>
      <c r="R5" s="1"/>
      <c r="S5" s="1"/>
      <c r="T5" s="6">
        <v>0.3</v>
      </c>
      <c r="U5" s="10"/>
      <c r="W5" s="8"/>
      <c r="Z5" s="8"/>
      <c r="AA5" s="8"/>
      <c r="AB5" s="8"/>
      <c r="AC5" s="8"/>
      <c r="AD5" s="8"/>
      <c r="AQ5" s="44"/>
      <c r="AR5" s="44"/>
    </row>
    <row r="6" spans="1:45" x14ac:dyDescent="0.2">
      <c r="F6" s="4" t="s">
        <v>8</v>
      </c>
      <c r="G6" s="4"/>
      <c r="H6" s="5" t="s">
        <v>9</v>
      </c>
      <c r="L6" s="6">
        <v>0.01</v>
      </c>
      <c r="N6" s="6"/>
      <c r="O6" s="6"/>
      <c r="P6" s="6"/>
      <c r="Q6" s="6"/>
      <c r="R6" s="6"/>
      <c r="S6" s="6"/>
      <c r="T6" s="6">
        <v>0.01</v>
      </c>
      <c r="U6" s="6"/>
      <c r="W6" s="8"/>
      <c r="Z6" s="8"/>
      <c r="AA6" s="8"/>
      <c r="AB6" s="8"/>
      <c r="AC6" s="8"/>
      <c r="AD6" s="8"/>
      <c r="AQ6" s="44"/>
      <c r="AR6" s="44"/>
    </row>
    <row r="7" spans="1:45" x14ac:dyDescent="0.2">
      <c r="F7" s="4" t="s">
        <v>10</v>
      </c>
      <c r="G7" s="4"/>
      <c r="H7" s="5" t="s">
        <v>11</v>
      </c>
      <c r="L7" s="6">
        <v>0.1</v>
      </c>
      <c r="N7" s="6"/>
      <c r="O7" s="6"/>
      <c r="P7" s="6"/>
      <c r="Q7" s="6"/>
      <c r="R7" s="6"/>
      <c r="S7" s="6"/>
      <c r="T7" s="6">
        <v>0.1</v>
      </c>
      <c r="U7" s="6"/>
      <c r="W7" s="8"/>
      <c r="Z7" s="8"/>
      <c r="AA7" s="8"/>
      <c r="AB7" s="8"/>
      <c r="AC7" s="8"/>
      <c r="AD7" s="8"/>
      <c r="AP7" s="43" t="s">
        <v>303</v>
      </c>
      <c r="AQ7" s="44"/>
      <c r="AR7" s="44"/>
    </row>
    <row r="8" spans="1:45" x14ac:dyDescent="0.2">
      <c r="F8" s="4" t="s">
        <v>12</v>
      </c>
      <c r="G8" s="4"/>
      <c r="H8" s="5" t="s">
        <v>13</v>
      </c>
      <c r="K8" s="1"/>
      <c r="L8" s="12">
        <v>11525</v>
      </c>
      <c r="M8" s="1"/>
      <c r="N8" s="12"/>
      <c r="O8" s="12"/>
      <c r="P8" s="12"/>
      <c r="Q8" s="12"/>
      <c r="R8" s="12"/>
      <c r="S8" s="12"/>
      <c r="T8" s="12">
        <v>11525</v>
      </c>
      <c r="W8" s="8"/>
      <c r="Z8" s="8"/>
      <c r="AA8" s="8"/>
      <c r="AB8" s="8"/>
      <c r="AC8" s="8"/>
      <c r="AD8" s="8"/>
      <c r="AP8" s="43" t="s">
        <v>324</v>
      </c>
      <c r="AQ8" s="44"/>
      <c r="AR8" s="44"/>
    </row>
    <row r="9" spans="1:45" x14ac:dyDescent="0.2">
      <c r="F9" s="4"/>
      <c r="G9" s="4"/>
      <c r="T9" s="6"/>
      <c r="U9" s="6"/>
      <c r="V9" s="14"/>
      <c r="W9" s="8"/>
      <c r="Z9" s="8"/>
      <c r="AA9" s="8"/>
      <c r="AB9" s="8"/>
      <c r="AC9" s="8"/>
      <c r="AD9" s="8"/>
      <c r="AP9" s="43" t="s">
        <v>304</v>
      </c>
      <c r="AQ9" s="44"/>
      <c r="AR9" s="44"/>
    </row>
    <row r="10" spans="1:45" x14ac:dyDescent="0.2">
      <c r="F10" s="15"/>
      <c r="G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  <c r="U10" s="6"/>
      <c r="V10" s="14"/>
      <c r="W10" s="8"/>
      <c r="Z10" s="8"/>
      <c r="AA10" s="8"/>
      <c r="AB10" s="8"/>
      <c r="AC10" s="8"/>
      <c r="AD10" s="8"/>
      <c r="AP10" s="43" t="s">
        <v>305</v>
      </c>
      <c r="AQ10" s="44"/>
      <c r="AR10" s="44"/>
    </row>
    <row r="11" spans="1:45" x14ac:dyDescent="0.2">
      <c r="F11" s="15"/>
      <c r="G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  <c r="U11" s="6"/>
      <c r="V11" s="14"/>
      <c r="W11" s="8"/>
      <c r="Z11" s="8"/>
      <c r="AA11" s="8"/>
      <c r="AB11" s="8"/>
      <c r="AC11" s="8"/>
      <c r="AD11" s="8"/>
      <c r="AP11" s="45">
        <f>AP17-2017132864</f>
        <v>37148495.801399231</v>
      </c>
      <c r="AQ11" s="44"/>
      <c r="AR11" s="44"/>
    </row>
    <row r="12" spans="1:45" hidden="1" x14ac:dyDescent="0.2">
      <c r="F12" s="4" t="s">
        <v>14</v>
      </c>
      <c r="G12" s="4"/>
      <c r="H12" s="3" t="s">
        <v>15</v>
      </c>
      <c r="T12" s="6">
        <v>1.7999999999999999E-2</v>
      </c>
      <c r="W12" s="8"/>
      <c r="Z12" s="8"/>
      <c r="AA12" s="8"/>
      <c r="AB12" s="8"/>
      <c r="AC12" s="8"/>
      <c r="AD12" s="8"/>
      <c r="AQ12" s="44"/>
      <c r="AR12" s="44"/>
    </row>
    <row r="13" spans="1:45" hidden="1" x14ac:dyDescent="0.2">
      <c r="F13" s="15" t="s">
        <v>16</v>
      </c>
      <c r="G13" s="15"/>
      <c r="H13" s="3" t="s">
        <v>17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>
        <v>0.14399999999999999</v>
      </c>
      <c r="W13" s="8"/>
      <c r="Z13" s="8"/>
      <c r="AA13" s="8"/>
      <c r="AB13" s="8"/>
      <c r="AC13" s="8"/>
      <c r="AD13" s="8"/>
      <c r="AQ13" s="44"/>
      <c r="AR13" s="44"/>
    </row>
    <row r="14" spans="1:45" hidden="1" x14ac:dyDescent="0.2">
      <c r="F14" s="15" t="s">
        <v>18</v>
      </c>
      <c r="G14" s="15"/>
      <c r="H14" s="3" t="s">
        <v>19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>
        <v>0.216</v>
      </c>
      <c r="W14" s="8"/>
      <c r="Z14" s="8"/>
      <c r="AA14" s="8"/>
      <c r="AB14" s="8"/>
      <c r="AC14" s="8"/>
      <c r="AD14" s="8"/>
      <c r="AQ14" s="44"/>
      <c r="AR14" s="44"/>
    </row>
    <row r="15" spans="1:45" x14ac:dyDescent="0.2">
      <c r="F15" s="15"/>
      <c r="G15" s="15"/>
      <c r="I15" s="1"/>
      <c r="J15" s="1"/>
      <c r="K15" s="1"/>
      <c r="L15" s="1"/>
      <c r="M15" s="1"/>
      <c r="N15" s="76"/>
      <c r="O15" s="1"/>
      <c r="P15" s="1"/>
      <c r="Q15" s="1"/>
      <c r="R15" s="1"/>
      <c r="S15" s="1"/>
      <c r="T15" s="6"/>
      <c r="W15" s="8"/>
      <c r="Z15" s="8"/>
      <c r="AA15" s="8"/>
      <c r="AB15" s="8"/>
      <c r="AC15" s="8"/>
      <c r="AD15" s="8"/>
      <c r="AQ15" s="44" t="s">
        <v>306</v>
      </c>
      <c r="AR15" s="44" t="s">
        <v>306</v>
      </c>
    </row>
    <row r="16" spans="1:45" x14ac:dyDescent="0.2">
      <c r="H16" s="16"/>
      <c r="K16" s="74"/>
      <c r="L16" s="17"/>
      <c r="M16" s="17"/>
      <c r="N16" s="9"/>
      <c r="O16" s="9"/>
      <c r="P16" s="9"/>
      <c r="Q16" s="9"/>
      <c r="R16" s="9"/>
      <c r="S16" s="9"/>
      <c r="T16" s="9"/>
      <c r="U16" s="9"/>
      <c r="V16" s="75"/>
      <c r="W16" s="11"/>
      <c r="X16" s="8"/>
      <c r="Y16" s="18"/>
      <c r="Z16" s="8"/>
      <c r="AA16" s="8"/>
      <c r="AB16" s="8"/>
      <c r="AC16" s="19"/>
      <c r="AD16" s="77">
        <v>0.06</v>
      </c>
      <c r="AE16" s="11"/>
      <c r="AH16" s="11"/>
      <c r="AI16" s="11"/>
      <c r="AJ16" s="11"/>
      <c r="AK16" s="11"/>
      <c r="AL16" s="11"/>
      <c r="AM16" s="11"/>
      <c r="AN16" s="46"/>
      <c r="AO16" s="46"/>
      <c r="AP16" s="45"/>
      <c r="AQ16" s="47">
        <f>MAX(AQ27:AQ195)</f>
        <v>6819388.4433999956</v>
      </c>
      <c r="AR16" s="48">
        <f>MAX(AR27:AR195)</f>
        <v>0.58162718743638775</v>
      </c>
      <c r="AS16" s="11"/>
    </row>
    <row r="17" spans="1:57" ht="15" x14ac:dyDescent="0.25">
      <c r="C17" s="11">
        <f>SUM(C27:C195)</f>
        <v>33</v>
      </c>
      <c r="D17" s="11">
        <f>SUM(D27:D195)</f>
        <v>20</v>
      </c>
      <c r="E17" s="11">
        <f>SUM(E27:E195)</f>
        <v>10</v>
      </c>
      <c r="I17" s="20" t="s">
        <v>20</v>
      </c>
      <c r="J17" s="11">
        <f t="shared" ref="J17:W17" si="0">SUM(J27:J195)</f>
        <v>0</v>
      </c>
      <c r="K17" s="9">
        <f t="shared" si="0"/>
        <v>503794.68999999977</v>
      </c>
      <c r="L17" s="9">
        <f t="shared" si="0"/>
        <v>0</v>
      </c>
      <c r="M17" s="9">
        <f t="shared" si="0"/>
        <v>0</v>
      </c>
      <c r="N17" s="11">
        <f t="shared" si="0"/>
        <v>208372</v>
      </c>
      <c r="O17" s="11"/>
      <c r="P17" s="11"/>
      <c r="Q17" s="11"/>
      <c r="R17" s="11">
        <f t="shared" si="0"/>
        <v>154.76887500000001</v>
      </c>
      <c r="S17" s="11">
        <f t="shared" si="0"/>
        <v>39340</v>
      </c>
      <c r="T17" s="9">
        <f t="shared" si="0"/>
        <v>62511.600000000006</v>
      </c>
      <c r="U17" s="9">
        <f t="shared" si="0"/>
        <v>572362.05887499999</v>
      </c>
      <c r="V17" s="9">
        <f t="shared" si="0"/>
        <v>544007731549.64996</v>
      </c>
      <c r="W17" s="11">
        <f t="shared" si="0"/>
        <v>3564206</v>
      </c>
      <c r="X17" s="18">
        <f>ROUND(V17/W17,2)</f>
        <v>152630.82999999999</v>
      </c>
      <c r="Y17" s="1"/>
      <c r="Z17" s="11">
        <f>SUM(Z27:Z195)</f>
        <v>14664380</v>
      </c>
      <c r="AA17" s="11"/>
      <c r="AB17" s="21">
        <f>SUM(AB27:AB195)</f>
        <v>21.977919000000014</v>
      </c>
      <c r="AC17" s="21">
        <f>SUM(AC27:AC195)</f>
        <v>42.080543000000013</v>
      </c>
      <c r="AD17" s="77">
        <v>0.05</v>
      </c>
      <c r="AE17" s="11">
        <f>SUM(AE27:AE195)</f>
        <v>23950</v>
      </c>
      <c r="AH17" s="11">
        <f t="shared" ref="AH17:AO17" si="1">SUM(AH27:AH195)</f>
        <v>1926094</v>
      </c>
      <c r="AI17" s="11">
        <f t="shared" si="1"/>
        <v>2364418832</v>
      </c>
      <c r="AJ17" s="11">
        <f t="shared" si="1"/>
        <v>2366344926</v>
      </c>
      <c r="AK17" s="11">
        <f t="shared" si="1"/>
        <v>2017587098</v>
      </c>
      <c r="AL17" s="11">
        <f t="shared" si="1"/>
        <v>2013828681.9910004</v>
      </c>
      <c r="AM17" s="11">
        <f t="shared" si="1"/>
        <v>348757828</v>
      </c>
      <c r="AN17" s="11">
        <f t="shared" si="1"/>
        <v>2378034658</v>
      </c>
      <c r="AO17" s="11">
        <f t="shared" si="1"/>
        <v>360447560</v>
      </c>
      <c r="AP17" s="45">
        <f>SUM(AP27:AP195)</f>
        <v>2054281359.8013992</v>
      </c>
      <c r="AQ17" s="47" t="s">
        <v>307</v>
      </c>
      <c r="AR17" s="47" t="s">
        <v>307</v>
      </c>
      <c r="AS17" s="11"/>
      <c r="AT17" s="11"/>
      <c r="AV17" s="11"/>
      <c r="AW17" s="11"/>
      <c r="BA17" s="11"/>
      <c r="BB17" s="11"/>
      <c r="BC17" s="11"/>
      <c r="BD17" s="11"/>
      <c r="BE17" s="11"/>
    </row>
    <row r="18" spans="1:57" x14ac:dyDescent="0.2">
      <c r="I18" s="11"/>
      <c r="J18" s="11"/>
      <c r="K18" s="8" t="s">
        <v>21</v>
      </c>
      <c r="L18" s="8"/>
      <c r="M18" s="8"/>
      <c r="N18" s="23" t="s">
        <v>22</v>
      </c>
      <c r="O18" s="23"/>
      <c r="P18" s="23"/>
      <c r="Q18" s="23"/>
      <c r="R18" s="23"/>
      <c r="S18" s="23"/>
      <c r="T18" s="24" t="s">
        <v>23</v>
      </c>
      <c r="U18" s="24" t="s">
        <v>24</v>
      </c>
      <c r="V18" s="24" t="s">
        <v>25</v>
      </c>
      <c r="W18" s="24" t="s">
        <v>26</v>
      </c>
      <c r="X18" s="24" t="s">
        <v>27</v>
      </c>
      <c r="Y18" s="24" t="s">
        <v>28</v>
      </c>
      <c r="Z18" s="23" t="s">
        <v>29</v>
      </c>
      <c r="AA18" s="23" t="s">
        <v>30</v>
      </c>
      <c r="AB18" s="23" t="s">
        <v>31</v>
      </c>
      <c r="AC18" s="23" t="s">
        <v>32</v>
      </c>
      <c r="AD18" s="23">
        <v>0.04</v>
      </c>
      <c r="AE18" s="24" t="s">
        <v>33</v>
      </c>
      <c r="AF18" s="24" t="s">
        <v>34</v>
      </c>
      <c r="AG18" s="24" t="s">
        <v>35</v>
      </c>
      <c r="AH18" s="24" t="s">
        <v>36</v>
      </c>
      <c r="AI18" s="24" t="s">
        <v>37</v>
      </c>
      <c r="AJ18" s="24" t="s">
        <v>38</v>
      </c>
      <c r="AK18" s="24"/>
      <c r="AL18" s="24" t="s">
        <v>39</v>
      </c>
      <c r="AM18" s="24"/>
      <c r="AN18" s="49"/>
      <c r="AO18" s="49"/>
      <c r="AP18" s="72" t="e">
        <f>AP17-#REF!</f>
        <v>#REF!</v>
      </c>
      <c r="AQ18" s="50">
        <f>MIN(AQ27:AQ195)</f>
        <v>-311420.71519999951</v>
      </c>
      <c r="AR18" s="51">
        <f>MIN(AR27:AR195)</f>
        <v>-9.0397182096003045E-2</v>
      </c>
      <c r="AS18" s="24"/>
      <c r="BB18" s="52"/>
      <c r="BC18" s="52"/>
      <c r="BD18" s="52"/>
      <c r="BE18" s="52"/>
    </row>
    <row r="19" spans="1:57" ht="15" x14ac:dyDescent="0.25">
      <c r="I19" s="11"/>
      <c r="J19" s="11"/>
      <c r="U19" s="1"/>
      <c r="X19" s="25" t="s">
        <v>40</v>
      </c>
      <c r="Y19" s="25" t="s">
        <v>41</v>
      </c>
      <c r="Z19" s="25" t="s">
        <v>40</v>
      </c>
      <c r="AA19" s="25" t="s">
        <v>42</v>
      </c>
      <c r="AB19" s="25"/>
      <c r="AC19" s="26" t="s">
        <v>43</v>
      </c>
      <c r="AD19" s="26">
        <v>0.03</v>
      </c>
      <c r="AI19" s="25" t="s">
        <v>44</v>
      </c>
      <c r="AJ19" s="1"/>
      <c r="AK19" s="1"/>
      <c r="AL19" s="1"/>
      <c r="AM19" s="1"/>
      <c r="AN19" s="53"/>
      <c r="AO19" s="53"/>
      <c r="AP19" s="54" t="s">
        <v>308</v>
      </c>
      <c r="AQ19" s="55"/>
      <c r="AR19" s="55"/>
      <c r="AS19" s="1"/>
    </row>
    <row r="20" spans="1:57" ht="15" x14ac:dyDescent="0.25">
      <c r="I20" s="11"/>
      <c r="J20" s="11"/>
      <c r="N20" s="26" t="s">
        <v>45</v>
      </c>
      <c r="O20" s="26"/>
      <c r="P20" s="26"/>
      <c r="Q20" s="26"/>
      <c r="R20" s="26"/>
      <c r="S20" s="26"/>
      <c r="X20" s="27">
        <f>MEDIAN(X27:X195)</f>
        <v>136597.79</v>
      </c>
      <c r="Y20" s="25" t="s">
        <v>46</v>
      </c>
      <c r="Z20" s="28">
        <f>MEDIAN(Z27:Z195)</f>
        <v>82714</v>
      </c>
      <c r="AA20" s="25" t="s">
        <v>46</v>
      </c>
      <c r="AB20" s="8" t="s">
        <v>47</v>
      </c>
      <c r="AC20" s="8" t="s">
        <v>48</v>
      </c>
      <c r="AD20" s="8"/>
      <c r="AG20" s="8" t="s">
        <v>49</v>
      </c>
      <c r="AI20" s="29" t="s">
        <v>50</v>
      </c>
      <c r="AJ20" s="8"/>
      <c r="AK20" s="8"/>
      <c r="AL20" s="8"/>
      <c r="AM20" s="8"/>
      <c r="AN20" s="56"/>
      <c r="AO20" s="56"/>
      <c r="AP20" s="57" t="s">
        <v>309</v>
      </c>
      <c r="AQ20" s="58"/>
      <c r="AR20" s="58"/>
      <c r="AS20" s="8"/>
    </row>
    <row r="21" spans="1:57" ht="15" x14ac:dyDescent="0.25">
      <c r="K21" s="8"/>
      <c r="L21" s="8"/>
      <c r="M21" s="8"/>
      <c r="N21" s="30" t="s">
        <v>51</v>
      </c>
      <c r="O21" s="30"/>
      <c r="P21" s="30"/>
      <c r="Q21" s="30"/>
      <c r="R21" s="30"/>
      <c r="S21" s="30"/>
      <c r="T21" s="1"/>
      <c r="V21" s="8" t="s">
        <v>52</v>
      </c>
      <c r="X21" s="8"/>
      <c r="Y21" s="31">
        <f>ROUND(X20*$T$3,2)</f>
        <v>184407.02</v>
      </c>
      <c r="Z21" s="8" t="s">
        <v>53</v>
      </c>
      <c r="AA21" s="31">
        <f>ROUND(Z20*$T$3,2)</f>
        <v>111663.9</v>
      </c>
      <c r="AB21" s="8" t="s">
        <v>54</v>
      </c>
      <c r="AC21" s="8" t="s">
        <v>55</v>
      </c>
      <c r="AD21" s="8"/>
      <c r="AE21" s="8" t="s">
        <v>56</v>
      </c>
      <c r="AF21" s="8" t="s">
        <v>57</v>
      </c>
      <c r="AG21" s="8" t="s">
        <v>58</v>
      </c>
      <c r="AH21" s="8" t="s">
        <v>49</v>
      </c>
      <c r="AI21" s="32">
        <f>T8</f>
        <v>11525</v>
      </c>
      <c r="AN21" s="42" t="s">
        <v>72</v>
      </c>
      <c r="AP21" s="43">
        <v>0.1066</v>
      </c>
      <c r="AQ21" s="44"/>
      <c r="AR21" s="44"/>
    </row>
    <row r="22" spans="1:57" ht="29.25" x14ac:dyDescent="0.25">
      <c r="K22" s="26" t="s">
        <v>45</v>
      </c>
      <c r="L22" s="26"/>
      <c r="M22" s="26"/>
      <c r="N22" s="30" t="s">
        <v>60</v>
      </c>
      <c r="O22" s="30"/>
      <c r="P22" s="30" t="s">
        <v>325</v>
      </c>
      <c r="Q22" s="30"/>
      <c r="R22" s="30"/>
      <c r="S22" s="30"/>
      <c r="T22" s="33" t="s">
        <v>61</v>
      </c>
      <c r="U22" s="8" t="s">
        <v>62</v>
      </c>
      <c r="V22" s="8" t="s">
        <v>63</v>
      </c>
      <c r="X22" s="8" t="s">
        <v>64</v>
      </c>
      <c r="Y22" s="25" t="s">
        <v>65</v>
      </c>
      <c r="Z22" s="8" t="s">
        <v>66</v>
      </c>
      <c r="AA22" s="25" t="s">
        <v>65</v>
      </c>
      <c r="AB22" s="8" t="s">
        <v>67</v>
      </c>
      <c r="AC22" s="8" t="s">
        <v>68</v>
      </c>
      <c r="AD22" s="8" t="s">
        <v>328</v>
      </c>
      <c r="AE22" s="8" t="s">
        <v>69</v>
      </c>
      <c r="AF22" s="8" t="s">
        <v>49</v>
      </c>
      <c r="AG22" s="8" t="s">
        <v>70</v>
      </c>
      <c r="AH22" s="8" t="s">
        <v>58</v>
      </c>
      <c r="AI22" s="8" t="s">
        <v>71</v>
      </c>
      <c r="AJ22" s="8" t="s">
        <v>72</v>
      </c>
      <c r="AK22" s="8"/>
      <c r="AL22" s="1"/>
      <c r="AM22" s="1" t="s">
        <v>310</v>
      </c>
      <c r="AN22" s="53" t="s">
        <v>59</v>
      </c>
      <c r="AO22" s="53" t="s">
        <v>311</v>
      </c>
      <c r="AP22" s="59" t="s">
        <v>331</v>
      </c>
      <c r="AQ22" s="55" t="s">
        <v>312</v>
      </c>
      <c r="AR22" s="55" t="s">
        <v>313</v>
      </c>
      <c r="AS22" s="1"/>
    </row>
    <row r="23" spans="1:57" x14ac:dyDescent="0.2">
      <c r="A23" s="1"/>
      <c r="B23" s="33"/>
      <c r="C23" s="8"/>
      <c r="D23" s="8" t="s">
        <v>73</v>
      </c>
      <c r="E23" s="8"/>
      <c r="F23" s="8" t="s">
        <v>74</v>
      </c>
      <c r="G23" s="8"/>
      <c r="K23" s="8" t="s">
        <v>75</v>
      </c>
      <c r="L23" s="8"/>
      <c r="M23" s="8"/>
      <c r="N23" s="30" t="s">
        <v>76</v>
      </c>
      <c r="O23" s="30"/>
      <c r="P23" s="30" t="s">
        <v>326</v>
      </c>
      <c r="Q23" s="30" t="s">
        <v>314</v>
      </c>
      <c r="R23" s="30"/>
      <c r="S23" s="30"/>
      <c r="T23" s="8" t="s">
        <v>77</v>
      </c>
      <c r="U23" s="8" t="s">
        <v>56</v>
      </c>
      <c r="V23" s="8" t="s">
        <v>78</v>
      </c>
      <c r="W23" s="8" t="s">
        <v>79</v>
      </c>
      <c r="X23" s="8" t="s">
        <v>80</v>
      </c>
      <c r="Y23" s="8" t="s">
        <v>81</v>
      </c>
      <c r="Z23" s="8" t="s">
        <v>82</v>
      </c>
      <c r="AA23" s="8" t="s">
        <v>83</v>
      </c>
      <c r="AB23" s="23" t="s">
        <v>84</v>
      </c>
      <c r="AC23" s="26" t="s">
        <v>85</v>
      </c>
      <c r="AD23" s="26"/>
      <c r="AE23" s="8" t="s">
        <v>49</v>
      </c>
      <c r="AF23" s="8" t="s">
        <v>58</v>
      </c>
      <c r="AG23" s="8" t="s">
        <v>86</v>
      </c>
      <c r="AH23" s="8" t="s">
        <v>86</v>
      </c>
      <c r="AI23" s="8" t="s">
        <v>87</v>
      </c>
      <c r="AJ23" s="26" t="s">
        <v>88</v>
      </c>
      <c r="AK23" s="26" t="s">
        <v>89</v>
      </c>
      <c r="AL23" s="26" t="s">
        <v>329</v>
      </c>
      <c r="AM23" s="26" t="s">
        <v>318</v>
      </c>
      <c r="AN23" s="60"/>
      <c r="AO23" s="60" t="s">
        <v>73</v>
      </c>
      <c r="AP23" s="61" t="s">
        <v>332</v>
      </c>
      <c r="AQ23" s="62"/>
      <c r="AR23" s="62"/>
      <c r="AS23" s="26"/>
    </row>
    <row r="24" spans="1:57" x14ac:dyDescent="0.2">
      <c r="B24" s="8" t="s">
        <v>90</v>
      </c>
      <c r="C24" s="26" t="s">
        <v>73</v>
      </c>
      <c r="D24" s="26" t="s">
        <v>91</v>
      </c>
      <c r="E24" s="26" t="s">
        <v>92</v>
      </c>
      <c r="F24" s="26" t="s">
        <v>47</v>
      </c>
      <c r="G24" s="26" t="s">
        <v>315</v>
      </c>
      <c r="H24" s="8" t="s">
        <v>93</v>
      </c>
      <c r="I24" s="3" t="s">
        <v>93</v>
      </c>
      <c r="K24" s="8" t="s">
        <v>56</v>
      </c>
      <c r="L24" s="8"/>
      <c r="M24" s="8"/>
      <c r="N24" s="30" t="s">
        <v>94</v>
      </c>
      <c r="O24" s="30"/>
      <c r="P24" s="30"/>
      <c r="Q24" s="30" t="s">
        <v>316</v>
      </c>
      <c r="R24" s="30"/>
      <c r="S24" s="30" t="s">
        <v>95</v>
      </c>
      <c r="T24" s="26" t="s">
        <v>96</v>
      </c>
      <c r="U24" s="8" t="s">
        <v>97</v>
      </c>
      <c r="V24" s="8" t="s">
        <v>98</v>
      </c>
      <c r="W24" s="8" t="s">
        <v>99</v>
      </c>
      <c r="X24" s="23" t="s">
        <v>100</v>
      </c>
      <c r="Y24" s="8" t="s">
        <v>101</v>
      </c>
      <c r="Z24" s="8" t="s">
        <v>102</v>
      </c>
      <c r="AA24" s="8" t="s">
        <v>103</v>
      </c>
      <c r="AB24" s="34" t="s">
        <v>104</v>
      </c>
      <c r="AC24" s="8" t="s">
        <v>55</v>
      </c>
      <c r="AD24" s="8"/>
      <c r="AE24" s="8" t="s">
        <v>58</v>
      </c>
      <c r="AF24" s="8" t="s">
        <v>105</v>
      </c>
      <c r="AG24" s="26" t="s">
        <v>106</v>
      </c>
      <c r="AH24" s="26" t="s">
        <v>107</v>
      </c>
      <c r="AI24" s="26" t="s">
        <v>108</v>
      </c>
      <c r="AJ24" s="23" t="s">
        <v>109</v>
      </c>
      <c r="AK24" s="23" t="s">
        <v>110</v>
      </c>
      <c r="AL24" s="23" t="s">
        <v>110</v>
      </c>
      <c r="AM24" s="23" t="s">
        <v>317</v>
      </c>
      <c r="AN24" s="63"/>
      <c r="AO24" s="63" t="s">
        <v>317</v>
      </c>
      <c r="AP24" s="64">
        <v>8.3299999999999999E-2</v>
      </c>
      <c r="AQ24" s="65"/>
      <c r="AR24" s="65"/>
      <c r="AS24" s="23"/>
    </row>
    <row r="25" spans="1:57" x14ac:dyDescent="0.2">
      <c r="A25" s="8" t="s">
        <v>111</v>
      </c>
      <c r="B25" s="8" t="s">
        <v>112</v>
      </c>
      <c r="C25" s="26" t="s">
        <v>112</v>
      </c>
      <c r="D25" s="26" t="s">
        <v>92</v>
      </c>
      <c r="E25" s="26" t="s">
        <v>112</v>
      </c>
      <c r="F25" s="8" t="s">
        <v>113</v>
      </c>
      <c r="G25" s="8" t="s">
        <v>318</v>
      </c>
      <c r="H25" s="8" t="s">
        <v>114</v>
      </c>
      <c r="I25" s="3" t="s">
        <v>115</v>
      </c>
      <c r="K25" s="26" t="s">
        <v>333</v>
      </c>
      <c r="L25" s="26"/>
      <c r="M25" s="26"/>
      <c r="N25" s="30">
        <v>2018</v>
      </c>
      <c r="O25" s="30"/>
      <c r="P25" s="30"/>
      <c r="Q25" s="30" t="s">
        <v>319</v>
      </c>
      <c r="R25" s="30"/>
      <c r="S25" s="30">
        <v>2018</v>
      </c>
      <c r="T25" s="8" t="s">
        <v>116</v>
      </c>
      <c r="U25" s="8" t="s">
        <v>320</v>
      </c>
      <c r="V25" s="26" t="s">
        <v>334</v>
      </c>
      <c r="W25" s="8">
        <v>2016</v>
      </c>
      <c r="X25" s="26" t="s">
        <v>117</v>
      </c>
      <c r="Y25" s="26" t="s">
        <v>118</v>
      </c>
      <c r="Z25" s="8">
        <v>2016</v>
      </c>
      <c r="AA25" s="26" t="s">
        <v>118</v>
      </c>
      <c r="AB25" s="26" t="s">
        <v>119</v>
      </c>
      <c r="AC25" s="8" t="s">
        <v>120</v>
      </c>
      <c r="AD25" s="8"/>
      <c r="AE25" s="26" t="s">
        <v>333</v>
      </c>
      <c r="AF25" s="26" t="s">
        <v>333</v>
      </c>
      <c r="AG25" s="8" t="s">
        <v>121</v>
      </c>
      <c r="AH25" s="26" t="s">
        <v>122</v>
      </c>
      <c r="AI25" s="8" t="s">
        <v>123</v>
      </c>
      <c r="AJ25" s="26" t="s">
        <v>124</v>
      </c>
      <c r="AK25" s="26" t="s">
        <v>321</v>
      </c>
      <c r="AL25" s="26" t="s">
        <v>330</v>
      </c>
      <c r="AM25" s="26"/>
      <c r="AN25" s="60"/>
      <c r="AO25" s="60"/>
      <c r="AP25" s="61" t="s">
        <v>322</v>
      </c>
      <c r="AQ25" s="62"/>
      <c r="AR25" s="62"/>
      <c r="AS25" s="26"/>
    </row>
    <row r="26" spans="1:57" x14ac:dyDescent="0.2">
      <c r="C26" s="5"/>
      <c r="D26" s="5"/>
      <c r="E26" s="5"/>
      <c r="F26" s="5"/>
      <c r="G26" s="5"/>
      <c r="Q26" s="3" t="s">
        <v>327</v>
      </c>
      <c r="AP26" s="43" t="s">
        <v>323</v>
      </c>
      <c r="AQ26" s="44"/>
      <c r="AR26" s="44"/>
    </row>
    <row r="27" spans="1:57" ht="15" x14ac:dyDescent="0.25">
      <c r="A27" s="8" t="s">
        <v>125</v>
      </c>
      <c r="B27" s="8"/>
      <c r="C27" s="26"/>
      <c r="D27" s="26"/>
      <c r="E27" s="26"/>
      <c r="F27" s="1">
        <v>7</v>
      </c>
      <c r="G27" s="66">
        <v>232.93016543140752</v>
      </c>
      <c r="H27" s="8">
        <v>1</v>
      </c>
      <c r="I27" s="3" t="s">
        <v>126</v>
      </c>
      <c r="J27" s="13">
        <f t="shared" ref="J27:J90" si="2">AW27</f>
        <v>0</v>
      </c>
      <c r="K27" s="78">
        <v>412.02</v>
      </c>
      <c r="L27" s="36"/>
      <c r="M27" s="35"/>
      <c r="N27" s="81">
        <v>73</v>
      </c>
      <c r="O27" s="67">
        <f t="shared" ref="O27:O90" si="3">N27/K27</f>
        <v>0.17717586524925974</v>
      </c>
      <c r="P27" s="67">
        <f t="shared" ref="P27:P90" si="4">IF(O27&gt;0.75,+O27-0.75,0)</f>
        <v>0</v>
      </c>
      <c r="Q27" s="36">
        <f t="shared" ref="Q27:Q90" si="5">P27*K27</f>
        <v>0</v>
      </c>
      <c r="R27" s="36">
        <f>Q27*0.05</f>
        <v>0</v>
      </c>
      <c r="S27" s="79">
        <v>4</v>
      </c>
      <c r="T27" s="37">
        <f t="shared" ref="T27:T58" si="6">ROUND(N27*$T$2,2)</f>
        <v>21.9</v>
      </c>
      <c r="U27" s="9">
        <f t="shared" ref="U27:U58" si="7">K27+T27+0.15*S27+0.05*Q27</f>
        <v>434.52</v>
      </c>
      <c r="V27" s="73">
        <v>366352607.67000002</v>
      </c>
      <c r="W27" s="73">
        <v>3252</v>
      </c>
      <c r="X27" s="18">
        <f t="shared" ref="X27:X90" si="8">ROUND(V27/W27,2)</f>
        <v>112654.55</v>
      </c>
      <c r="Y27" s="38">
        <f t="shared" ref="Y27:Y90" si="9">(ROUND(X27/$Y$21,6))</f>
        <v>0.61090199999999995</v>
      </c>
      <c r="Z27" s="73">
        <v>100724</v>
      </c>
      <c r="AA27" s="38">
        <f t="shared" ref="AA27:AA90" si="10">(ROUND(Z27/$AA$21,6))</f>
        <v>0.90202800000000005</v>
      </c>
      <c r="AB27" s="38">
        <f t="shared" ref="AB27:AB90" si="11">ROUND(1-((Y27*$T$4)+(AA27*$T$5)),6)</f>
        <v>0.30175999999999997</v>
      </c>
      <c r="AC27" s="39">
        <f t="shared" ref="AC27:AC58" si="12">IF(C27=1,MAX($T$7,AB27),MAX($T$6,AB27))</f>
        <v>0.30175999999999997</v>
      </c>
      <c r="AD27" s="39">
        <f t="shared" ref="AD27:AD40" si="13">IF(G27&gt;300,+AC27+$AD$17,AC27)</f>
        <v>0.30175999999999997</v>
      </c>
      <c r="AE27" s="80">
        <v>252</v>
      </c>
      <c r="AF27" s="40">
        <v>6</v>
      </c>
      <c r="AG27" s="9">
        <f t="shared" ref="AG27:AG90" si="14">ROUND((AF27/13)*100,2)</f>
        <v>46.15</v>
      </c>
      <c r="AH27" s="11">
        <f t="shared" ref="AH27:AH90" si="15">ROUND(AE27*AG27,0)</f>
        <v>11630</v>
      </c>
      <c r="AI27" s="11">
        <f t="shared" ref="AI27:AI90" si="16">ROUND(U27*AD27*$AI$21,0)</f>
        <v>1511167</v>
      </c>
      <c r="AJ27" s="11">
        <f t="shared" ref="AJ27:AJ90" si="17">IF(AI27=0, 0,AH27+AI27)</f>
        <v>1522797</v>
      </c>
      <c r="AK27" s="36">
        <v>2331185</v>
      </c>
      <c r="AL27" s="36">
        <v>2132334.5</v>
      </c>
      <c r="AM27" s="36">
        <f>AJ27-AK27</f>
        <v>-808388</v>
      </c>
      <c r="AN27" s="68">
        <f t="shared" ref="AN27:AN58" si="18">IF(AND(C27=1,AL27&gt;AJ27),AL27,AJ27)</f>
        <v>1522797</v>
      </c>
      <c r="AO27" s="68">
        <f>AN27-AK27</f>
        <v>-808388</v>
      </c>
      <c r="AP27" s="69">
        <f t="shared" ref="AP27:AP90" si="19">IF(AO27&gt;0,($AP$21*AO27)+AL27,($AP$24*AO27)+AL27)</f>
        <v>2064995.7796</v>
      </c>
      <c r="AQ27" s="36">
        <f t="shared" ref="AQ27:AQ90" si="20">AP27-AL27</f>
        <v>-67338.720399999991</v>
      </c>
      <c r="AR27" s="70">
        <f t="shared" ref="AR27:AR90" si="21">AQ27/AL27</f>
        <v>-3.1579810953675416E-2</v>
      </c>
      <c r="AS27" s="36"/>
      <c r="AT27" s="22"/>
      <c r="AV27" s="22"/>
      <c r="AW27" s="22"/>
      <c r="BA27" s="22"/>
      <c r="BB27" s="22"/>
      <c r="BC27" s="22"/>
      <c r="BD27" s="22"/>
      <c r="BE27" s="22"/>
    </row>
    <row r="28" spans="1:57" ht="15" x14ac:dyDescent="0.25">
      <c r="A28" s="8" t="s">
        <v>127</v>
      </c>
      <c r="B28" s="41"/>
      <c r="C28" s="26">
        <v>1</v>
      </c>
      <c r="D28" s="26">
        <v>1</v>
      </c>
      <c r="E28" s="26"/>
      <c r="F28" s="1">
        <v>10</v>
      </c>
      <c r="G28" s="71">
        <v>345.87379546229533</v>
      </c>
      <c r="H28" s="8">
        <v>2</v>
      </c>
      <c r="I28" s="3" t="s">
        <v>128</v>
      </c>
      <c r="J28" s="13">
        <f t="shared" si="2"/>
        <v>0</v>
      </c>
      <c r="K28" s="78">
        <v>2476.8000000000002</v>
      </c>
      <c r="L28" s="36"/>
      <c r="M28" s="35"/>
      <c r="N28" s="81">
        <v>1474</v>
      </c>
      <c r="O28" s="67">
        <f t="shared" si="3"/>
        <v>0.59512273901808777</v>
      </c>
      <c r="P28" s="67">
        <f t="shared" si="4"/>
        <v>0</v>
      </c>
      <c r="Q28" s="36">
        <f t="shared" si="5"/>
        <v>0</v>
      </c>
      <c r="R28" s="36">
        <f t="shared" ref="R28:R91" si="22">Q28*0.05</f>
        <v>0</v>
      </c>
      <c r="S28" s="79">
        <v>108</v>
      </c>
      <c r="T28" s="37">
        <f t="shared" si="6"/>
        <v>442.2</v>
      </c>
      <c r="U28" s="9">
        <f t="shared" si="7"/>
        <v>2935.2</v>
      </c>
      <c r="V28" s="73">
        <v>1374684003.3299999</v>
      </c>
      <c r="W28" s="73">
        <v>18732</v>
      </c>
      <c r="X28" s="18">
        <f t="shared" si="8"/>
        <v>73386.929999999993</v>
      </c>
      <c r="Y28" s="38">
        <f t="shared" si="9"/>
        <v>0.39796199999999998</v>
      </c>
      <c r="Z28" s="73">
        <v>43386</v>
      </c>
      <c r="AA28" s="38">
        <f t="shared" si="10"/>
        <v>0.38854100000000003</v>
      </c>
      <c r="AB28" s="38">
        <f t="shared" si="11"/>
        <v>0.60486399999999996</v>
      </c>
      <c r="AC28" s="39">
        <f t="shared" si="12"/>
        <v>0.60486399999999996</v>
      </c>
      <c r="AD28" s="39">
        <f t="shared" si="13"/>
        <v>0.654864</v>
      </c>
      <c r="AE28" s="80"/>
      <c r="AF28" s="40">
        <v>0</v>
      </c>
      <c r="AG28" s="9">
        <f t="shared" si="14"/>
        <v>0</v>
      </c>
      <c r="AH28" s="11">
        <f t="shared" si="15"/>
        <v>0</v>
      </c>
      <c r="AI28" s="11">
        <f t="shared" si="16"/>
        <v>22152857</v>
      </c>
      <c r="AJ28" s="11">
        <f t="shared" si="17"/>
        <v>22152857</v>
      </c>
      <c r="AK28" s="36">
        <v>16473543</v>
      </c>
      <c r="AL28" s="36">
        <v>16722773.267000001</v>
      </c>
      <c r="AM28" s="36">
        <f t="shared" ref="AM28:AM91" si="23">AJ28-AK28</f>
        <v>5679314</v>
      </c>
      <c r="AN28" s="68">
        <f t="shared" si="18"/>
        <v>22152857</v>
      </c>
      <c r="AO28" s="68">
        <f t="shared" ref="AO28:AO91" si="24">AN28-AK28</f>
        <v>5679314</v>
      </c>
      <c r="AP28" s="69">
        <f t="shared" si="19"/>
        <v>17328188.139400002</v>
      </c>
      <c r="AQ28" s="36">
        <f t="shared" si="20"/>
        <v>605414.87240000069</v>
      </c>
      <c r="AR28" s="70">
        <f t="shared" si="21"/>
        <v>3.620301864611776E-2</v>
      </c>
      <c r="AS28" s="36"/>
      <c r="AT28" s="22"/>
      <c r="AV28" s="22"/>
      <c r="AW28" s="22"/>
      <c r="BA28" s="22"/>
      <c r="BB28" s="22"/>
      <c r="BC28" s="22"/>
      <c r="BD28" s="22"/>
      <c r="BE28" s="22"/>
    </row>
    <row r="29" spans="1:57" ht="15" x14ac:dyDescent="0.25">
      <c r="A29" s="8" t="s">
        <v>129</v>
      </c>
      <c r="B29" s="8"/>
      <c r="C29" s="26"/>
      <c r="D29" s="26"/>
      <c r="E29" s="26"/>
      <c r="F29" s="1">
        <v>8</v>
      </c>
      <c r="G29" s="71">
        <v>248.11378942053898</v>
      </c>
      <c r="H29" s="8">
        <v>3</v>
      </c>
      <c r="I29" s="3" t="s">
        <v>130</v>
      </c>
      <c r="J29" s="13">
        <f t="shared" si="2"/>
        <v>0</v>
      </c>
      <c r="K29" s="78">
        <v>567.77</v>
      </c>
      <c r="L29" s="36"/>
      <c r="M29" s="35"/>
      <c r="N29" s="81">
        <v>209</v>
      </c>
      <c r="O29" s="67">
        <f t="shared" si="3"/>
        <v>0.36810680381140254</v>
      </c>
      <c r="P29" s="67">
        <f t="shared" si="4"/>
        <v>0</v>
      </c>
      <c r="Q29" s="36">
        <f t="shared" si="5"/>
        <v>0</v>
      </c>
      <c r="R29" s="36">
        <f t="shared" si="22"/>
        <v>0</v>
      </c>
      <c r="S29" s="79">
        <v>10</v>
      </c>
      <c r="T29" s="37">
        <f t="shared" si="6"/>
        <v>62.7</v>
      </c>
      <c r="U29" s="9">
        <f t="shared" si="7"/>
        <v>631.97</v>
      </c>
      <c r="V29" s="73">
        <v>429972492.67000002</v>
      </c>
      <c r="W29" s="73">
        <v>4236</v>
      </c>
      <c r="X29" s="18">
        <f t="shared" si="8"/>
        <v>101504.37</v>
      </c>
      <c r="Y29" s="38">
        <f t="shared" si="9"/>
        <v>0.55043699999999995</v>
      </c>
      <c r="Z29" s="73">
        <v>78313</v>
      </c>
      <c r="AA29" s="38">
        <f t="shared" si="10"/>
        <v>0.70132799999999995</v>
      </c>
      <c r="AB29" s="38">
        <f t="shared" si="11"/>
        <v>0.40429599999999999</v>
      </c>
      <c r="AC29" s="39">
        <f t="shared" si="12"/>
        <v>0.40429599999999999</v>
      </c>
      <c r="AD29" s="39">
        <f t="shared" si="13"/>
        <v>0.40429599999999999</v>
      </c>
      <c r="AE29" s="80">
        <v>174</v>
      </c>
      <c r="AF29" s="40">
        <v>4</v>
      </c>
      <c r="AG29" s="9">
        <f t="shared" si="14"/>
        <v>30.77</v>
      </c>
      <c r="AH29" s="11">
        <f t="shared" si="15"/>
        <v>5354</v>
      </c>
      <c r="AI29" s="11">
        <f t="shared" si="16"/>
        <v>2944671</v>
      </c>
      <c r="AJ29" s="11">
        <f t="shared" si="17"/>
        <v>2950025</v>
      </c>
      <c r="AK29" s="36">
        <v>3859564</v>
      </c>
      <c r="AL29" s="36">
        <v>3604370.25</v>
      </c>
      <c r="AM29" s="36">
        <f t="shared" si="23"/>
        <v>-909539</v>
      </c>
      <c r="AN29" s="68">
        <f t="shared" si="18"/>
        <v>2950025</v>
      </c>
      <c r="AO29" s="68">
        <f t="shared" si="24"/>
        <v>-909539</v>
      </c>
      <c r="AP29" s="69">
        <f t="shared" si="19"/>
        <v>3528605.6513</v>
      </c>
      <c r="AQ29" s="36">
        <f t="shared" si="20"/>
        <v>-75764.598699999973</v>
      </c>
      <c r="AR29" s="70">
        <f t="shared" si="21"/>
        <v>-2.1020204209043169E-2</v>
      </c>
      <c r="AS29" s="36"/>
      <c r="AT29" s="22"/>
      <c r="AV29" s="22"/>
      <c r="AW29" s="22"/>
      <c r="BA29" s="22"/>
      <c r="BB29" s="22"/>
      <c r="BC29" s="22"/>
      <c r="BD29" s="22"/>
      <c r="BE29" s="22"/>
    </row>
    <row r="30" spans="1:57" ht="15" x14ac:dyDescent="0.25">
      <c r="A30" s="8" t="s">
        <v>131</v>
      </c>
      <c r="B30" s="8"/>
      <c r="C30" s="26"/>
      <c r="D30" s="26"/>
      <c r="E30" s="26"/>
      <c r="F30" s="1">
        <v>2</v>
      </c>
      <c r="G30" s="66">
        <v>168.23820689420663</v>
      </c>
      <c r="H30" s="8">
        <v>4</v>
      </c>
      <c r="I30" s="3" t="s">
        <v>132</v>
      </c>
      <c r="J30" s="13">
        <f t="shared" si="2"/>
        <v>0</v>
      </c>
      <c r="K30" s="78">
        <v>3170.02</v>
      </c>
      <c r="L30" s="36"/>
      <c r="M30" s="35"/>
      <c r="N30" s="81">
        <v>237</v>
      </c>
      <c r="O30" s="67">
        <f t="shared" si="3"/>
        <v>7.4762935249619883E-2</v>
      </c>
      <c r="P30" s="67">
        <f t="shared" si="4"/>
        <v>0</v>
      </c>
      <c r="Q30" s="36">
        <f t="shared" si="5"/>
        <v>0</v>
      </c>
      <c r="R30" s="36">
        <f t="shared" si="22"/>
        <v>0</v>
      </c>
      <c r="S30" s="79">
        <v>106</v>
      </c>
      <c r="T30" s="37">
        <f t="shared" si="6"/>
        <v>71.099999999999994</v>
      </c>
      <c r="U30" s="9">
        <f t="shared" si="7"/>
        <v>3257.02</v>
      </c>
      <c r="V30" s="73">
        <v>3715117178.6700001</v>
      </c>
      <c r="W30" s="73">
        <v>18364</v>
      </c>
      <c r="X30" s="18">
        <f t="shared" si="8"/>
        <v>202304.36</v>
      </c>
      <c r="Y30" s="38">
        <f t="shared" si="9"/>
        <v>1.0970530000000001</v>
      </c>
      <c r="Z30" s="73">
        <v>124608</v>
      </c>
      <c r="AA30" s="38">
        <f t="shared" si="10"/>
        <v>1.11592</v>
      </c>
      <c r="AB30" s="38">
        <f t="shared" si="11"/>
        <v>-0.102713</v>
      </c>
      <c r="AC30" s="39">
        <f t="shared" si="12"/>
        <v>0.01</v>
      </c>
      <c r="AD30" s="39">
        <f t="shared" si="13"/>
        <v>0.01</v>
      </c>
      <c r="AE30" s="80"/>
      <c r="AF30" s="40">
        <v>0</v>
      </c>
      <c r="AG30" s="9">
        <f t="shared" si="14"/>
        <v>0</v>
      </c>
      <c r="AH30" s="11">
        <f t="shared" si="15"/>
        <v>0</v>
      </c>
      <c r="AI30" s="11">
        <f t="shared" si="16"/>
        <v>375372</v>
      </c>
      <c r="AJ30" s="11">
        <f t="shared" si="17"/>
        <v>375372</v>
      </c>
      <c r="AK30" s="36">
        <v>731456</v>
      </c>
      <c r="AL30" s="36">
        <v>643197.75</v>
      </c>
      <c r="AM30" s="36">
        <f t="shared" si="23"/>
        <v>-356084</v>
      </c>
      <c r="AN30" s="68">
        <f t="shared" si="18"/>
        <v>375372</v>
      </c>
      <c r="AO30" s="68">
        <f t="shared" si="24"/>
        <v>-356084</v>
      </c>
      <c r="AP30" s="69">
        <f t="shared" si="19"/>
        <v>613535.95279999997</v>
      </c>
      <c r="AQ30" s="36">
        <f t="shared" si="20"/>
        <v>-29661.79720000003</v>
      </c>
      <c r="AR30" s="70">
        <f t="shared" si="21"/>
        <v>-4.611613955428176E-2</v>
      </c>
      <c r="AS30" s="36"/>
      <c r="AT30" s="22"/>
      <c r="AV30" s="22"/>
      <c r="AW30" s="22"/>
      <c r="BA30" s="22"/>
      <c r="BB30" s="22"/>
      <c r="BC30" s="22"/>
      <c r="BD30" s="22"/>
      <c r="BE30" s="22"/>
    </row>
    <row r="31" spans="1:57" ht="15" x14ac:dyDescent="0.25">
      <c r="A31" s="8" t="s">
        <v>125</v>
      </c>
      <c r="B31" s="8"/>
      <c r="C31" s="26"/>
      <c r="D31" s="26"/>
      <c r="E31" s="26"/>
      <c r="F31" s="1">
        <v>5</v>
      </c>
      <c r="G31" s="66">
        <v>227.61582267336615</v>
      </c>
      <c r="H31" s="8">
        <v>5</v>
      </c>
      <c r="I31" s="3" t="s">
        <v>133</v>
      </c>
      <c r="J31" s="13">
        <f t="shared" si="2"/>
        <v>0</v>
      </c>
      <c r="K31" s="78">
        <v>522.42999999999995</v>
      </c>
      <c r="L31" s="36"/>
      <c r="M31" s="35"/>
      <c r="N31" s="81">
        <v>82</v>
      </c>
      <c r="O31" s="67">
        <f t="shared" si="3"/>
        <v>0.15695882701988784</v>
      </c>
      <c r="P31" s="67">
        <f t="shared" si="4"/>
        <v>0</v>
      </c>
      <c r="Q31" s="36">
        <f t="shared" si="5"/>
        <v>0</v>
      </c>
      <c r="R31" s="36">
        <f t="shared" si="22"/>
        <v>0</v>
      </c>
      <c r="S31" s="79">
        <v>2</v>
      </c>
      <c r="T31" s="37">
        <f t="shared" si="6"/>
        <v>24.6</v>
      </c>
      <c r="U31" s="9">
        <f t="shared" si="7"/>
        <v>547.32999999999993</v>
      </c>
      <c r="V31" s="73">
        <v>506985561.32999998</v>
      </c>
      <c r="W31" s="73">
        <v>3664</v>
      </c>
      <c r="X31" s="18">
        <f t="shared" si="8"/>
        <v>138369.42000000001</v>
      </c>
      <c r="Y31" s="38">
        <f t="shared" si="9"/>
        <v>0.75034800000000001</v>
      </c>
      <c r="Z31" s="73">
        <v>104899</v>
      </c>
      <c r="AA31" s="38">
        <f t="shared" si="10"/>
        <v>0.93941699999999995</v>
      </c>
      <c r="AB31" s="38">
        <f t="shared" si="11"/>
        <v>0.19293099999999999</v>
      </c>
      <c r="AC31" s="39">
        <f t="shared" si="12"/>
        <v>0.19293099999999999</v>
      </c>
      <c r="AD31" s="39">
        <f t="shared" si="13"/>
        <v>0.19293099999999999</v>
      </c>
      <c r="AE31" s="80">
        <v>298</v>
      </c>
      <c r="AF31" s="40">
        <v>6</v>
      </c>
      <c r="AG31" s="9">
        <f t="shared" si="14"/>
        <v>46.15</v>
      </c>
      <c r="AH31" s="11">
        <f t="shared" si="15"/>
        <v>13753</v>
      </c>
      <c r="AI31" s="11">
        <f t="shared" si="16"/>
        <v>1217005</v>
      </c>
      <c r="AJ31" s="11">
        <f t="shared" si="17"/>
        <v>1230758</v>
      </c>
      <c r="AK31" s="36">
        <v>1633686</v>
      </c>
      <c r="AL31" s="36">
        <v>1576088.75</v>
      </c>
      <c r="AM31" s="36">
        <f t="shared" si="23"/>
        <v>-402928</v>
      </c>
      <c r="AN31" s="68">
        <f t="shared" si="18"/>
        <v>1230758</v>
      </c>
      <c r="AO31" s="68">
        <f t="shared" si="24"/>
        <v>-402928</v>
      </c>
      <c r="AP31" s="69">
        <f t="shared" si="19"/>
        <v>1542524.8476</v>
      </c>
      <c r="AQ31" s="36">
        <f t="shared" si="20"/>
        <v>-33563.902400000021</v>
      </c>
      <c r="AR31" s="70">
        <f t="shared" si="21"/>
        <v>-2.1295693151797461E-2</v>
      </c>
      <c r="AS31" s="36"/>
      <c r="AT31" s="22"/>
      <c r="AV31" s="22"/>
      <c r="AW31" s="22"/>
      <c r="BA31" s="22"/>
      <c r="BB31" s="22"/>
      <c r="BC31" s="22"/>
      <c r="BD31" s="22"/>
      <c r="BE31" s="22"/>
    </row>
    <row r="32" spans="1:57" ht="15" x14ac:dyDescent="0.25">
      <c r="A32" s="8" t="s">
        <v>129</v>
      </c>
      <c r="B32" s="8"/>
      <c r="C32" s="26"/>
      <c r="D32" s="26"/>
      <c r="E32" s="26"/>
      <c r="F32" s="1">
        <v>7</v>
      </c>
      <c r="G32" s="71">
        <v>254.85118593356643</v>
      </c>
      <c r="H32" s="8">
        <v>6</v>
      </c>
      <c r="I32" s="3" t="s">
        <v>134</v>
      </c>
      <c r="J32" s="13">
        <f t="shared" si="2"/>
        <v>0</v>
      </c>
      <c r="K32" s="78">
        <v>827.43</v>
      </c>
      <c r="L32" s="36"/>
      <c r="M32" s="35"/>
      <c r="N32" s="81">
        <v>188</v>
      </c>
      <c r="O32" s="67">
        <f t="shared" si="3"/>
        <v>0.22720955246969535</v>
      </c>
      <c r="P32" s="67">
        <f t="shared" si="4"/>
        <v>0</v>
      </c>
      <c r="Q32" s="36">
        <f t="shared" si="5"/>
        <v>0</v>
      </c>
      <c r="R32" s="36">
        <f t="shared" si="22"/>
        <v>0</v>
      </c>
      <c r="S32" s="79">
        <v>12</v>
      </c>
      <c r="T32" s="37">
        <f t="shared" si="6"/>
        <v>56.4</v>
      </c>
      <c r="U32" s="9">
        <f t="shared" si="7"/>
        <v>885.62999999999988</v>
      </c>
      <c r="V32" s="73">
        <v>664421512</v>
      </c>
      <c r="W32" s="73">
        <v>6095</v>
      </c>
      <c r="X32" s="18">
        <f t="shared" si="8"/>
        <v>109010.91</v>
      </c>
      <c r="Y32" s="38">
        <f t="shared" si="9"/>
        <v>0.59114299999999997</v>
      </c>
      <c r="Z32" s="73">
        <v>84570</v>
      </c>
      <c r="AA32" s="38">
        <f t="shared" si="10"/>
        <v>0.75736199999999998</v>
      </c>
      <c r="AB32" s="38">
        <f t="shared" si="11"/>
        <v>0.358991</v>
      </c>
      <c r="AC32" s="39">
        <f t="shared" si="12"/>
        <v>0.358991</v>
      </c>
      <c r="AD32" s="39">
        <f t="shared" si="13"/>
        <v>0.358991</v>
      </c>
      <c r="AE32" s="80">
        <v>829</v>
      </c>
      <c r="AF32" s="40">
        <v>13</v>
      </c>
      <c r="AG32" s="9">
        <f t="shared" si="14"/>
        <v>100</v>
      </c>
      <c r="AH32" s="11">
        <f t="shared" si="15"/>
        <v>82900</v>
      </c>
      <c r="AI32" s="11">
        <f t="shared" si="16"/>
        <v>3664180</v>
      </c>
      <c r="AJ32" s="11">
        <f t="shared" si="17"/>
        <v>3747080</v>
      </c>
      <c r="AK32" s="36">
        <v>4067920</v>
      </c>
      <c r="AL32" s="36">
        <v>4021855.75</v>
      </c>
      <c r="AM32" s="36">
        <f t="shared" si="23"/>
        <v>-320840</v>
      </c>
      <c r="AN32" s="68">
        <f t="shared" si="18"/>
        <v>3747080</v>
      </c>
      <c r="AO32" s="68">
        <f t="shared" si="24"/>
        <v>-320840</v>
      </c>
      <c r="AP32" s="69">
        <f t="shared" si="19"/>
        <v>3995129.7779999999</v>
      </c>
      <c r="AQ32" s="36">
        <f t="shared" si="20"/>
        <v>-26725.972000000067</v>
      </c>
      <c r="AR32" s="70">
        <f t="shared" si="21"/>
        <v>-6.6451841292418474E-3</v>
      </c>
      <c r="AS32" s="36"/>
      <c r="AT32" s="22"/>
      <c r="AV32" s="22"/>
      <c r="AW32" s="22"/>
      <c r="BA32" s="22"/>
      <c r="BB32" s="22"/>
      <c r="BC32" s="22"/>
      <c r="BD32" s="22"/>
      <c r="BE32" s="22"/>
    </row>
    <row r="33" spans="1:57" ht="15" x14ac:dyDescent="0.25">
      <c r="A33" s="8" t="s">
        <v>135</v>
      </c>
      <c r="B33" s="8"/>
      <c r="C33" s="26"/>
      <c r="D33" s="26"/>
      <c r="E33" s="26"/>
      <c r="F33" s="1">
        <v>4</v>
      </c>
      <c r="G33" s="66">
        <v>226.93368644871452</v>
      </c>
      <c r="H33" s="8">
        <v>7</v>
      </c>
      <c r="I33" s="3" t="s">
        <v>136</v>
      </c>
      <c r="J33" s="13">
        <f t="shared" si="2"/>
        <v>0</v>
      </c>
      <c r="K33" s="78">
        <v>2834.72</v>
      </c>
      <c r="L33" s="36"/>
      <c r="M33" s="35"/>
      <c r="N33" s="81">
        <v>504</v>
      </c>
      <c r="O33" s="67">
        <f t="shared" si="3"/>
        <v>0.17779533781114185</v>
      </c>
      <c r="P33" s="67">
        <f t="shared" si="4"/>
        <v>0</v>
      </c>
      <c r="Q33" s="36">
        <f t="shared" si="5"/>
        <v>0</v>
      </c>
      <c r="R33" s="36">
        <f t="shared" si="22"/>
        <v>0</v>
      </c>
      <c r="S33" s="79">
        <v>74</v>
      </c>
      <c r="T33" s="37">
        <f t="shared" si="6"/>
        <v>151.19999999999999</v>
      </c>
      <c r="U33" s="9">
        <f t="shared" si="7"/>
        <v>2997.0199999999995</v>
      </c>
      <c r="V33" s="73">
        <v>3231869306.6700001</v>
      </c>
      <c r="W33" s="73">
        <v>20499</v>
      </c>
      <c r="X33" s="18">
        <f t="shared" si="8"/>
        <v>157659.85</v>
      </c>
      <c r="Y33" s="38">
        <f t="shared" si="9"/>
        <v>0.85495600000000005</v>
      </c>
      <c r="Z33" s="73">
        <v>93750</v>
      </c>
      <c r="AA33" s="38">
        <f t="shared" si="10"/>
        <v>0.83957300000000001</v>
      </c>
      <c r="AB33" s="38">
        <f t="shared" si="11"/>
        <v>0.14965899999999999</v>
      </c>
      <c r="AC33" s="39">
        <f t="shared" si="12"/>
        <v>0.14965899999999999</v>
      </c>
      <c r="AD33" s="39">
        <f t="shared" si="13"/>
        <v>0.14965899999999999</v>
      </c>
      <c r="AE33" s="80"/>
      <c r="AF33" s="40">
        <v>0</v>
      </c>
      <c r="AG33" s="9">
        <f t="shared" si="14"/>
        <v>0</v>
      </c>
      <c r="AH33" s="11">
        <f t="shared" si="15"/>
        <v>0</v>
      </c>
      <c r="AI33" s="11">
        <f t="shared" si="16"/>
        <v>5169320</v>
      </c>
      <c r="AJ33" s="11">
        <f t="shared" si="17"/>
        <v>5169320</v>
      </c>
      <c r="AK33" s="36">
        <v>6215712</v>
      </c>
      <c r="AL33" s="36">
        <v>6037873.5</v>
      </c>
      <c r="AM33" s="36">
        <f t="shared" si="23"/>
        <v>-1046392</v>
      </c>
      <c r="AN33" s="68">
        <f t="shared" si="18"/>
        <v>5169320</v>
      </c>
      <c r="AO33" s="68">
        <f t="shared" si="24"/>
        <v>-1046392</v>
      </c>
      <c r="AP33" s="69">
        <f t="shared" si="19"/>
        <v>5950709.0464000003</v>
      </c>
      <c r="AQ33" s="36">
        <f t="shared" si="20"/>
        <v>-87164.453599999659</v>
      </c>
      <c r="AR33" s="70">
        <f t="shared" si="21"/>
        <v>-1.4436283502792772E-2</v>
      </c>
      <c r="AS33" s="36"/>
      <c r="AT33" s="22"/>
      <c r="AV33" s="22"/>
      <c r="AW33" s="22"/>
      <c r="BA33" s="22"/>
      <c r="BB33" s="22"/>
      <c r="BC33" s="22"/>
      <c r="BD33" s="22"/>
      <c r="BE33" s="22"/>
    </row>
    <row r="34" spans="1:57" ht="15" x14ac:dyDescent="0.25">
      <c r="A34" s="8" t="s">
        <v>125</v>
      </c>
      <c r="B34" s="8"/>
      <c r="C34" s="26"/>
      <c r="D34" s="26"/>
      <c r="E34" s="26"/>
      <c r="F34" s="1">
        <v>3</v>
      </c>
      <c r="G34" s="66">
        <v>221.33626868766842</v>
      </c>
      <c r="H34" s="8">
        <v>8</v>
      </c>
      <c r="I34" s="3" t="s">
        <v>137</v>
      </c>
      <c r="J34" s="13">
        <f t="shared" si="2"/>
        <v>0</v>
      </c>
      <c r="K34" s="78">
        <v>765.09</v>
      </c>
      <c r="L34" s="36"/>
      <c r="M34" s="35"/>
      <c r="N34" s="81">
        <v>93</v>
      </c>
      <c r="O34" s="67">
        <f t="shared" si="3"/>
        <v>0.1215543269419284</v>
      </c>
      <c r="P34" s="67">
        <f t="shared" si="4"/>
        <v>0</v>
      </c>
      <c r="Q34" s="36">
        <f t="shared" si="5"/>
        <v>0</v>
      </c>
      <c r="R34" s="36">
        <f t="shared" si="22"/>
        <v>0</v>
      </c>
      <c r="S34" s="79">
        <v>9</v>
      </c>
      <c r="T34" s="37">
        <f t="shared" si="6"/>
        <v>27.9</v>
      </c>
      <c r="U34" s="9">
        <f t="shared" si="7"/>
        <v>794.34</v>
      </c>
      <c r="V34" s="73">
        <v>830539795.66999996</v>
      </c>
      <c r="W34" s="73">
        <v>5488</v>
      </c>
      <c r="X34" s="18">
        <f t="shared" si="8"/>
        <v>151337.43</v>
      </c>
      <c r="Y34" s="38">
        <f t="shared" si="9"/>
        <v>0.82067100000000004</v>
      </c>
      <c r="Z34" s="73">
        <v>106058</v>
      </c>
      <c r="AA34" s="38">
        <f t="shared" si="10"/>
        <v>0.949797</v>
      </c>
      <c r="AB34" s="38">
        <f t="shared" si="11"/>
        <v>0.14059099999999999</v>
      </c>
      <c r="AC34" s="39">
        <f t="shared" si="12"/>
        <v>0.14059099999999999</v>
      </c>
      <c r="AD34" s="39">
        <f t="shared" si="13"/>
        <v>0.14059099999999999</v>
      </c>
      <c r="AE34" s="80">
        <v>403</v>
      </c>
      <c r="AF34" s="40">
        <v>6</v>
      </c>
      <c r="AG34" s="9">
        <f t="shared" si="14"/>
        <v>46.15</v>
      </c>
      <c r="AH34" s="11">
        <f t="shared" si="15"/>
        <v>18598</v>
      </c>
      <c r="AI34" s="11">
        <f t="shared" si="16"/>
        <v>1287078</v>
      </c>
      <c r="AJ34" s="11">
        <f t="shared" si="17"/>
        <v>1305676</v>
      </c>
      <c r="AK34" s="36">
        <v>2000209</v>
      </c>
      <c r="AL34" s="36">
        <v>1877633.25</v>
      </c>
      <c r="AM34" s="36">
        <f t="shared" si="23"/>
        <v>-694533</v>
      </c>
      <c r="AN34" s="68">
        <f t="shared" si="18"/>
        <v>1305676</v>
      </c>
      <c r="AO34" s="68">
        <f t="shared" si="24"/>
        <v>-694533</v>
      </c>
      <c r="AP34" s="69">
        <f t="shared" si="19"/>
        <v>1819778.6510999999</v>
      </c>
      <c r="AQ34" s="36">
        <f t="shared" si="20"/>
        <v>-57854.598900000099</v>
      </c>
      <c r="AR34" s="70">
        <f t="shared" si="21"/>
        <v>-3.0812512986761444E-2</v>
      </c>
      <c r="AS34" s="36"/>
      <c r="AT34" s="22"/>
      <c r="AV34" s="22"/>
      <c r="AW34" s="22"/>
      <c r="BA34" s="22"/>
      <c r="BB34" s="22"/>
      <c r="BC34" s="22"/>
      <c r="BD34" s="22"/>
      <c r="BE34" s="22"/>
    </row>
    <row r="35" spans="1:57" ht="15" x14ac:dyDescent="0.25">
      <c r="A35" s="8" t="s">
        <v>135</v>
      </c>
      <c r="B35" s="8"/>
      <c r="C35" s="26"/>
      <c r="D35" s="26"/>
      <c r="E35" s="26"/>
      <c r="F35" s="1">
        <v>4</v>
      </c>
      <c r="G35" s="66">
        <v>233.53107681353217</v>
      </c>
      <c r="H35" s="8">
        <v>9</v>
      </c>
      <c r="I35" s="3" t="s">
        <v>138</v>
      </c>
      <c r="J35" s="13">
        <f t="shared" si="2"/>
        <v>0</v>
      </c>
      <c r="K35" s="78">
        <v>3056.38</v>
      </c>
      <c r="L35" s="36"/>
      <c r="M35" s="35"/>
      <c r="N35" s="81">
        <v>882</v>
      </c>
      <c r="O35" s="67">
        <f t="shared" si="3"/>
        <v>0.28857668221883404</v>
      </c>
      <c r="P35" s="67">
        <f t="shared" si="4"/>
        <v>0</v>
      </c>
      <c r="Q35" s="36">
        <f t="shared" si="5"/>
        <v>0</v>
      </c>
      <c r="R35" s="36">
        <f t="shared" si="22"/>
        <v>0</v>
      </c>
      <c r="S35" s="79">
        <v>189</v>
      </c>
      <c r="T35" s="37">
        <f t="shared" si="6"/>
        <v>264.60000000000002</v>
      </c>
      <c r="U35" s="9">
        <f t="shared" si="7"/>
        <v>3349.33</v>
      </c>
      <c r="V35" s="73">
        <v>2843061533.6700001</v>
      </c>
      <c r="W35" s="73">
        <v>19627</v>
      </c>
      <c r="X35" s="18">
        <f t="shared" si="8"/>
        <v>144854.62</v>
      </c>
      <c r="Y35" s="38">
        <f t="shared" si="9"/>
        <v>0.78551599999999999</v>
      </c>
      <c r="Z35" s="73">
        <v>94292</v>
      </c>
      <c r="AA35" s="38">
        <f t="shared" si="10"/>
        <v>0.84442700000000004</v>
      </c>
      <c r="AB35" s="38">
        <f t="shared" si="11"/>
        <v>0.19681100000000001</v>
      </c>
      <c r="AC35" s="39">
        <f t="shared" si="12"/>
        <v>0.19681100000000001</v>
      </c>
      <c r="AD35" s="39">
        <f t="shared" si="13"/>
        <v>0.19681100000000001</v>
      </c>
      <c r="AE35" s="80"/>
      <c r="AF35" s="40">
        <v>0</v>
      </c>
      <c r="AG35" s="9">
        <f t="shared" si="14"/>
        <v>0</v>
      </c>
      <c r="AH35" s="11">
        <f t="shared" si="15"/>
        <v>0</v>
      </c>
      <c r="AI35" s="11">
        <f t="shared" si="16"/>
        <v>7597107</v>
      </c>
      <c r="AJ35" s="11">
        <f t="shared" si="17"/>
        <v>7597107</v>
      </c>
      <c r="AK35" s="36">
        <v>8087732</v>
      </c>
      <c r="AL35" s="36">
        <v>7914298.5</v>
      </c>
      <c r="AM35" s="36">
        <f t="shared" si="23"/>
        <v>-490625</v>
      </c>
      <c r="AN35" s="68">
        <f t="shared" si="18"/>
        <v>7597107</v>
      </c>
      <c r="AO35" s="68">
        <f t="shared" si="24"/>
        <v>-490625</v>
      </c>
      <c r="AP35" s="69">
        <f t="shared" si="19"/>
        <v>7873429.4375</v>
      </c>
      <c r="AQ35" s="36">
        <f t="shared" si="20"/>
        <v>-40869.0625</v>
      </c>
      <c r="AR35" s="70">
        <f t="shared" si="21"/>
        <v>-5.1639526232173322E-3</v>
      </c>
      <c r="AS35" s="36"/>
      <c r="AT35" s="22"/>
      <c r="AV35" s="22"/>
      <c r="AW35" s="22"/>
      <c r="BA35" s="22"/>
      <c r="BB35" s="22"/>
      <c r="BC35" s="22"/>
      <c r="BD35" s="22"/>
      <c r="BE35" s="22"/>
    </row>
    <row r="36" spans="1:57" ht="15" x14ac:dyDescent="0.25">
      <c r="A36" s="8" t="s">
        <v>125</v>
      </c>
      <c r="B36" s="8"/>
      <c r="C36" s="26"/>
      <c r="D36" s="26"/>
      <c r="E36" s="26"/>
      <c r="F36" s="1">
        <v>5</v>
      </c>
      <c r="G36" s="66">
        <v>205.32740614031175</v>
      </c>
      <c r="H36" s="8">
        <v>10</v>
      </c>
      <c r="I36" s="3" t="s">
        <v>139</v>
      </c>
      <c r="J36" s="13">
        <f t="shared" si="2"/>
        <v>0</v>
      </c>
      <c r="K36" s="78">
        <v>358.64</v>
      </c>
      <c r="L36" s="36"/>
      <c r="M36" s="35"/>
      <c r="N36" s="81">
        <v>94</v>
      </c>
      <c r="O36" s="67">
        <f t="shared" si="3"/>
        <v>0.26210127146999779</v>
      </c>
      <c r="P36" s="67">
        <f t="shared" si="4"/>
        <v>0</v>
      </c>
      <c r="Q36" s="36">
        <f t="shared" si="5"/>
        <v>0</v>
      </c>
      <c r="R36" s="36">
        <f t="shared" si="22"/>
        <v>0</v>
      </c>
      <c r="S36" s="79"/>
      <c r="T36" s="37">
        <f t="shared" si="6"/>
        <v>28.2</v>
      </c>
      <c r="U36" s="9">
        <f t="shared" si="7"/>
        <v>386.84</v>
      </c>
      <c r="V36" s="73">
        <v>506651652</v>
      </c>
      <c r="W36" s="73">
        <v>3447</v>
      </c>
      <c r="X36" s="18">
        <f t="shared" si="8"/>
        <v>146983.35999999999</v>
      </c>
      <c r="Y36" s="38">
        <f t="shared" si="9"/>
        <v>0.79705899999999996</v>
      </c>
      <c r="Z36" s="73">
        <v>87056</v>
      </c>
      <c r="AA36" s="38">
        <f t="shared" si="10"/>
        <v>0.77962500000000001</v>
      </c>
      <c r="AB36" s="38">
        <f t="shared" si="11"/>
        <v>0.20817099999999999</v>
      </c>
      <c r="AC36" s="39">
        <f t="shared" si="12"/>
        <v>0.20817099999999999</v>
      </c>
      <c r="AD36" s="39">
        <f t="shared" si="13"/>
        <v>0.20817099999999999</v>
      </c>
      <c r="AE36" s="80">
        <v>359</v>
      </c>
      <c r="AF36" s="40">
        <v>13</v>
      </c>
      <c r="AG36" s="9">
        <f t="shared" si="14"/>
        <v>100</v>
      </c>
      <c r="AH36" s="11">
        <f t="shared" si="15"/>
        <v>35900</v>
      </c>
      <c r="AI36" s="11">
        <f t="shared" si="16"/>
        <v>928095</v>
      </c>
      <c r="AJ36" s="11">
        <f t="shared" si="17"/>
        <v>963995</v>
      </c>
      <c r="AK36" s="36">
        <v>1278838</v>
      </c>
      <c r="AL36" s="36">
        <v>1184697</v>
      </c>
      <c r="AM36" s="36">
        <f t="shared" si="23"/>
        <v>-314843</v>
      </c>
      <c r="AN36" s="68">
        <f t="shared" si="18"/>
        <v>963995</v>
      </c>
      <c r="AO36" s="68">
        <f t="shared" si="24"/>
        <v>-314843</v>
      </c>
      <c r="AP36" s="69">
        <f t="shared" si="19"/>
        <v>1158470.5781</v>
      </c>
      <c r="AQ36" s="36">
        <f t="shared" si="20"/>
        <v>-26226.421899999958</v>
      </c>
      <c r="AR36" s="70">
        <f t="shared" si="21"/>
        <v>-2.2137662119512378E-2</v>
      </c>
      <c r="AS36" s="36"/>
      <c r="AT36" s="22"/>
      <c r="AV36" s="22"/>
      <c r="AW36" s="22"/>
      <c r="BA36" s="22"/>
      <c r="BB36" s="22"/>
      <c r="BC36" s="22"/>
      <c r="BD36" s="22"/>
      <c r="BE36" s="22"/>
    </row>
    <row r="37" spans="1:57" ht="15" x14ac:dyDescent="0.25">
      <c r="A37" s="8" t="s">
        <v>140</v>
      </c>
      <c r="B37" s="8"/>
      <c r="C37" s="26">
        <v>1</v>
      </c>
      <c r="D37" s="26">
        <v>1</v>
      </c>
      <c r="E37" s="26"/>
      <c r="F37" s="1">
        <v>6</v>
      </c>
      <c r="G37" s="71">
        <v>278.01560307242596</v>
      </c>
      <c r="H37" s="8">
        <v>11</v>
      </c>
      <c r="I37" s="3" t="s">
        <v>141</v>
      </c>
      <c r="J37" s="13">
        <f t="shared" si="2"/>
        <v>0</v>
      </c>
      <c r="K37" s="78">
        <v>2332.46</v>
      </c>
      <c r="L37" s="36"/>
      <c r="M37" s="35"/>
      <c r="N37" s="81">
        <v>1312</v>
      </c>
      <c r="O37" s="67">
        <f t="shared" si="3"/>
        <v>0.56249624859590308</v>
      </c>
      <c r="P37" s="67">
        <f t="shared" si="4"/>
        <v>0</v>
      </c>
      <c r="Q37" s="36">
        <f t="shared" si="5"/>
        <v>0</v>
      </c>
      <c r="R37" s="36">
        <f t="shared" si="22"/>
        <v>0</v>
      </c>
      <c r="S37" s="79">
        <v>57</v>
      </c>
      <c r="T37" s="37">
        <f t="shared" si="6"/>
        <v>393.6</v>
      </c>
      <c r="U37" s="9">
        <f t="shared" si="7"/>
        <v>2734.61</v>
      </c>
      <c r="V37" s="73">
        <v>2974380379</v>
      </c>
      <c r="W37" s="73">
        <v>20642</v>
      </c>
      <c r="X37" s="18">
        <f t="shared" si="8"/>
        <v>144093.60999999999</v>
      </c>
      <c r="Y37" s="38">
        <f t="shared" si="9"/>
        <v>0.781389</v>
      </c>
      <c r="Z37" s="73">
        <v>74107</v>
      </c>
      <c r="AA37" s="38">
        <f t="shared" si="10"/>
        <v>0.66366099999999995</v>
      </c>
      <c r="AB37" s="38">
        <f t="shared" si="11"/>
        <v>0.25392900000000002</v>
      </c>
      <c r="AC37" s="39">
        <f t="shared" si="12"/>
        <v>0.25392900000000002</v>
      </c>
      <c r="AD37" s="39">
        <f t="shared" si="13"/>
        <v>0.25392900000000002</v>
      </c>
      <c r="AE37" s="80"/>
      <c r="AF37" s="40">
        <v>0</v>
      </c>
      <c r="AG37" s="9">
        <f t="shared" si="14"/>
        <v>0</v>
      </c>
      <c r="AH37" s="11">
        <f t="shared" si="15"/>
        <v>0</v>
      </c>
      <c r="AI37" s="11">
        <f t="shared" si="16"/>
        <v>8002923</v>
      </c>
      <c r="AJ37" s="11">
        <f t="shared" si="17"/>
        <v>8002923</v>
      </c>
      <c r="AK37" s="36">
        <v>6160837</v>
      </c>
      <c r="AL37" s="36">
        <v>6225401.5860000001</v>
      </c>
      <c r="AM37" s="36">
        <f t="shared" si="23"/>
        <v>1842086</v>
      </c>
      <c r="AN37" s="68">
        <f t="shared" si="18"/>
        <v>8002923</v>
      </c>
      <c r="AO37" s="68">
        <f t="shared" si="24"/>
        <v>1842086</v>
      </c>
      <c r="AP37" s="69">
        <f t="shared" si="19"/>
        <v>6421767.9536000006</v>
      </c>
      <c r="AQ37" s="36">
        <f t="shared" si="20"/>
        <v>196366.36760000046</v>
      </c>
      <c r="AR37" s="70">
        <f t="shared" si="21"/>
        <v>3.154276312737786E-2</v>
      </c>
      <c r="AS37" s="36"/>
      <c r="AT37" s="22"/>
      <c r="AV37" s="22"/>
      <c r="AW37" s="22"/>
      <c r="BA37" s="22"/>
      <c r="BB37" s="22"/>
      <c r="BC37" s="22"/>
      <c r="BD37" s="22"/>
      <c r="BE37" s="22"/>
    </row>
    <row r="38" spans="1:57" ht="15" x14ac:dyDescent="0.25">
      <c r="A38" s="8" t="s">
        <v>125</v>
      </c>
      <c r="B38" s="8"/>
      <c r="C38" s="26"/>
      <c r="D38" s="26"/>
      <c r="E38" s="26"/>
      <c r="F38" s="1">
        <v>5</v>
      </c>
      <c r="G38" s="66">
        <v>224.12241786718985</v>
      </c>
      <c r="H38" s="8">
        <v>12</v>
      </c>
      <c r="I38" s="3" t="s">
        <v>142</v>
      </c>
      <c r="J38" s="13">
        <f t="shared" si="2"/>
        <v>0</v>
      </c>
      <c r="K38" s="78">
        <v>717.18</v>
      </c>
      <c r="L38" s="36"/>
      <c r="M38" s="35"/>
      <c r="N38" s="81">
        <v>118</v>
      </c>
      <c r="O38" s="67">
        <f t="shared" si="3"/>
        <v>0.16453331102373184</v>
      </c>
      <c r="P38" s="67">
        <f t="shared" si="4"/>
        <v>0</v>
      </c>
      <c r="Q38" s="36">
        <f t="shared" si="5"/>
        <v>0</v>
      </c>
      <c r="R38" s="36">
        <f t="shared" si="22"/>
        <v>0</v>
      </c>
      <c r="S38" s="79">
        <v>7</v>
      </c>
      <c r="T38" s="37">
        <f t="shared" si="6"/>
        <v>35.4</v>
      </c>
      <c r="U38" s="9">
        <f t="shared" si="7"/>
        <v>753.62999999999988</v>
      </c>
      <c r="V38" s="73">
        <v>622480804.33000004</v>
      </c>
      <c r="W38" s="73">
        <v>4930</v>
      </c>
      <c r="X38" s="18">
        <f t="shared" si="8"/>
        <v>126263.85</v>
      </c>
      <c r="Y38" s="38">
        <f t="shared" si="9"/>
        <v>0.68470200000000003</v>
      </c>
      <c r="Z38" s="73">
        <v>91087</v>
      </c>
      <c r="AA38" s="38">
        <f t="shared" si="10"/>
        <v>0.81572500000000003</v>
      </c>
      <c r="AB38" s="38">
        <f t="shared" si="11"/>
        <v>0.27599099999999999</v>
      </c>
      <c r="AC38" s="39">
        <f t="shared" si="12"/>
        <v>0.27599099999999999</v>
      </c>
      <c r="AD38" s="39">
        <f t="shared" si="13"/>
        <v>0.27599099999999999</v>
      </c>
      <c r="AE38" s="80"/>
      <c r="AF38" s="40">
        <v>0</v>
      </c>
      <c r="AG38" s="9">
        <f t="shared" si="14"/>
        <v>0</v>
      </c>
      <c r="AH38" s="11">
        <f t="shared" si="15"/>
        <v>0</v>
      </c>
      <c r="AI38" s="11">
        <f t="shared" si="16"/>
        <v>2397143</v>
      </c>
      <c r="AJ38" s="11">
        <f t="shared" si="17"/>
        <v>2397143</v>
      </c>
      <c r="AK38" s="36">
        <v>2983350</v>
      </c>
      <c r="AL38" s="36">
        <v>2795888.25</v>
      </c>
      <c r="AM38" s="36">
        <f t="shared" si="23"/>
        <v>-586207</v>
      </c>
      <c r="AN38" s="68">
        <f t="shared" si="18"/>
        <v>2397143</v>
      </c>
      <c r="AO38" s="68">
        <f t="shared" si="24"/>
        <v>-586207</v>
      </c>
      <c r="AP38" s="69">
        <f t="shared" si="19"/>
        <v>2747057.2069000001</v>
      </c>
      <c r="AQ38" s="36">
        <f t="shared" si="20"/>
        <v>-48831.043099999893</v>
      </c>
      <c r="AR38" s="70">
        <f t="shared" si="21"/>
        <v>-1.7465305739598102E-2</v>
      </c>
      <c r="AS38" s="36"/>
      <c r="AT38" s="22"/>
      <c r="AV38" s="22"/>
      <c r="AW38" s="22"/>
      <c r="BA38" s="22"/>
      <c r="BB38" s="22"/>
      <c r="BC38" s="22"/>
      <c r="BD38" s="22"/>
      <c r="BE38" s="22"/>
    </row>
    <row r="39" spans="1:57" ht="15" x14ac:dyDescent="0.25">
      <c r="A39" s="8" t="s">
        <v>129</v>
      </c>
      <c r="B39" s="8"/>
      <c r="C39" s="26"/>
      <c r="D39" s="26"/>
      <c r="E39" s="26"/>
      <c r="F39" s="1">
        <v>7</v>
      </c>
      <c r="G39" s="66">
        <v>246.29863862934687</v>
      </c>
      <c r="H39" s="8">
        <v>13</v>
      </c>
      <c r="I39" s="3" t="s">
        <v>143</v>
      </c>
      <c r="J39" s="13">
        <f t="shared" si="2"/>
        <v>0</v>
      </c>
      <c r="K39" s="78">
        <v>281.52999999999997</v>
      </c>
      <c r="L39" s="36"/>
      <c r="M39" s="35"/>
      <c r="N39" s="81">
        <v>94</v>
      </c>
      <c r="O39" s="67">
        <f t="shared" si="3"/>
        <v>0.33388981636060105</v>
      </c>
      <c r="P39" s="67">
        <f t="shared" si="4"/>
        <v>0</v>
      </c>
      <c r="Q39" s="36">
        <f t="shared" si="5"/>
        <v>0</v>
      </c>
      <c r="R39" s="36">
        <f t="shared" si="22"/>
        <v>0</v>
      </c>
      <c r="S39" s="79">
        <v>5</v>
      </c>
      <c r="T39" s="37">
        <f t="shared" si="6"/>
        <v>28.2</v>
      </c>
      <c r="U39" s="9">
        <f t="shared" si="7"/>
        <v>310.47999999999996</v>
      </c>
      <c r="V39" s="73">
        <v>326702551</v>
      </c>
      <c r="W39" s="73">
        <v>2578</v>
      </c>
      <c r="X39" s="18">
        <f t="shared" si="8"/>
        <v>126727.13</v>
      </c>
      <c r="Y39" s="38">
        <f t="shared" si="9"/>
        <v>0.68721399999999999</v>
      </c>
      <c r="Z39" s="73">
        <v>84698</v>
      </c>
      <c r="AA39" s="38">
        <f t="shared" si="10"/>
        <v>0.75850799999999996</v>
      </c>
      <c r="AB39" s="38">
        <f t="shared" si="11"/>
        <v>0.29139799999999999</v>
      </c>
      <c r="AC39" s="39">
        <f t="shared" si="12"/>
        <v>0.29139799999999999</v>
      </c>
      <c r="AD39" s="39">
        <f t="shared" si="13"/>
        <v>0.29139799999999999</v>
      </c>
      <c r="AE39" s="80"/>
      <c r="AF39" s="40">
        <v>0</v>
      </c>
      <c r="AG39" s="9">
        <f t="shared" si="14"/>
        <v>0</v>
      </c>
      <c r="AH39" s="11">
        <f t="shared" si="15"/>
        <v>0</v>
      </c>
      <c r="AI39" s="11">
        <f t="shared" si="16"/>
        <v>1042704</v>
      </c>
      <c r="AJ39" s="11">
        <f t="shared" si="17"/>
        <v>1042704</v>
      </c>
      <c r="AK39" s="36">
        <v>1223830</v>
      </c>
      <c r="AL39" s="36">
        <v>1222673</v>
      </c>
      <c r="AM39" s="36">
        <f t="shared" si="23"/>
        <v>-181126</v>
      </c>
      <c r="AN39" s="68">
        <f t="shared" si="18"/>
        <v>1042704</v>
      </c>
      <c r="AO39" s="68">
        <f t="shared" si="24"/>
        <v>-181126</v>
      </c>
      <c r="AP39" s="69">
        <f t="shared" si="19"/>
        <v>1207585.2042</v>
      </c>
      <c r="AQ39" s="36">
        <f t="shared" si="20"/>
        <v>-15087.795799999963</v>
      </c>
      <c r="AR39" s="70">
        <f t="shared" si="21"/>
        <v>-1.2340008980324228E-2</v>
      </c>
      <c r="AS39" s="36"/>
      <c r="AT39" s="22"/>
      <c r="AV39" s="22"/>
      <c r="AW39" s="22"/>
      <c r="BA39" s="22"/>
      <c r="BB39" s="22"/>
      <c r="BC39" s="22"/>
      <c r="BD39" s="22"/>
      <c r="BE39" s="22"/>
    </row>
    <row r="40" spans="1:57" ht="15" x14ac:dyDescent="0.25">
      <c r="A40" s="8" t="s">
        <v>135</v>
      </c>
      <c r="B40" s="8"/>
      <c r="C40" s="26"/>
      <c r="D40" s="26"/>
      <c r="E40" s="26"/>
      <c r="F40" s="1">
        <v>4</v>
      </c>
      <c r="G40" s="66">
        <v>222.85510570848723</v>
      </c>
      <c r="H40" s="8">
        <v>14</v>
      </c>
      <c r="I40" s="3" t="s">
        <v>144</v>
      </c>
      <c r="J40" s="13">
        <f t="shared" si="2"/>
        <v>0</v>
      </c>
      <c r="K40" s="78">
        <v>2898.68</v>
      </c>
      <c r="L40" s="36"/>
      <c r="M40" s="35"/>
      <c r="N40" s="81">
        <v>977</v>
      </c>
      <c r="O40" s="67">
        <f t="shared" si="3"/>
        <v>0.33704996757144634</v>
      </c>
      <c r="P40" s="67">
        <f t="shared" si="4"/>
        <v>0</v>
      </c>
      <c r="Q40" s="36">
        <f t="shared" si="5"/>
        <v>0</v>
      </c>
      <c r="R40" s="36">
        <f t="shared" si="22"/>
        <v>0</v>
      </c>
      <c r="S40" s="79">
        <v>121</v>
      </c>
      <c r="T40" s="37">
        <f t="shared" si="6"/>
        <v>293.10000000000002</v>
      </c>
      <c r="U40" s="9">
        <f t="shared" si="7"/>
        <v>3209.93</v>
      </c>
      <c r="V40" s="73">
        <v>5155652088.6700001</v>
      </c>
      <c r="W40" s="73">
        <v>28028</v>
      </c>
      <c r="X40" s="18">
        <f t="shared" si="8"/>
        <v>183946.49</v>
      </c>
      <c r="Y40" s="38">
        <f t="shared" si="9"/>
        <v>0.99750300000000003</v>
      </c>
      <c r="Z40" s="73">
        <v>71619</v>
      </c>
      <c r="AA40" s="38">
        <f t="shared" si="10"/>
        <v>0.64137999999999995</v>
      </c>
      <c r="AB40" s="38">
        <f t="shared" si="11"/>
        <v>0.109334</v>
      </c>
      <c r="AC40" s="39">
        <f t="shared" si="12"/>
        <v>0.109334</v>
      </c>
      <c r="AD40" s="39">
        <f t="shared" si="13"/>
        <v>0.109334</v>
      </c>
      <c r="AE40" s="80"/>
      <c r="AF40" s="40">
        <v>0</v>
      </c>
      <c r="AG40" s="9">
        <f t="shared" si="14"/>
        <v>0</v>
      </c>
      <c r="AH40" s="11">
        <f t="shared" si="15"/>
        <v>0</v>
      </c>
      <c r="AI40" s="11">
        <f t="shared" si="16"/>
        <v>4044750</v>
      </c>
      <c r="AJ40" s="11">
        <f t="shared" si="17"/>
        <v>4044750</v>
      </c>
      <c r="AK40" s="36">
        <v>2211848</v>
      </c>
      <c r="AL40" s="36">
        <v>2288421.9369999999</v>
      </c>
      <c r="AM40" s="36">
        <f t="shared" si="23"/>
        <v>1832902</v>
      </c>
      <c r="AN40" s="68">
        <f t="shared" si="18"/>
        <v>4044750</v>
      </c>
      <c r="AO40" s="68">
        <f t="shared" si="24"/>
        <v>1832902</v>
      </c>
      <c r="AP40" s="69">
        <f t="shared" si="19"/>
        <v>2483809.2901999997</v>
      </c>
      <c r="AQ40" s="36">
        <f t="shared" si="20"/>
        <v>195387.35319999978</v>
      </c>
      <c r="AR40" s="70">
        <f t="shared" si="21"/>
        <v>8.5380825118353071E-2</v>
      </c>
      <c r="AS40" s="36"/>
      <c r="AT40" s="22"/>
      <c r="AV40" s="22"/>
      <c r="AW40" s="22"/>
      <c r="BA40" s="22"/>
      <c r="BB40" s="22"/>
      <c r="BC40" s="22"/>
      <c r="BD40" s="22"/>
      <c r="BE40" s="22"/>
    </row>
    <row r="41" spans="1:57" ht="15" x14ac:dyDescent="0.25">
      <c r="A41" s="8" t="s">
        <v>145</v>
      </c>
      <c r="B41" s="8">
        <v>1</v>
      </c>
      <c r="C41" s="26">
        <v>1</v>
      </c>
      <c r="D41" s="26">
        <v>0</v>
      </c>
      <c r="E41" s="26">
        <v>1</v>
      </c>
      <c r="F41" s="1">
        <v>10</v>
      </c>
      <c r="G41" s="71">
        <v>397.81711319548151</v>
      </c>
      <c r="H41" s="8">
        <v>15</v>
      </c>
      <c r="I41" s="3" t="s">
        <v>146</v>
      </c>
      <c r="J41" s="13">
        <f t="shared" si="2"/>
        <v>0</v>
      </c>
      <c r="K41" s="78">
        <v>20334.939999999999</v>
      </c>
      <c r="L41" s="36"/>
      <c r="M41" s="35"/>
      <c r="N41" s="81">
        <v>14984</v>
      </c>
      <c r="O41" s="67">
        <f t="shared" si="3"/>
        <v>0.73685980878232249</v>
      </c>
      <c r="P41" s="67">
        <f t="shared" si="4"/>
        <v>0</v>
      </c>
      <c r="Q41" s="36">
        <f t="shared" si="5"/>
        <v>0</v>
      </c>
      <c r="R41" s="36">
        <f t="shared" si="22"/>
        <v>0</v>
      </c>
      <c r="S41" s="79">
        <v>3657</v>
      </c>
      <c r="T41" s="37">
        <f t="shared" si="6"/>
        <v>4495.2</v>
      </c>
      <c r="U41" s="9">
        <f t="shared" si="7"/>
        <v>25378.69</v>
      </c>
      <c r="V41" s="73">
        <v>8965774918.3299999</v>
      </c>
      <c r="W41" s="73">
        <v>145936</v>
      </c>
      <c r="X41" s="18">
        <f t="shared" si="8"/>
        <v>61436.35</v>
      </c>
      <c r="Y41" s="38">
        <f t="shared" si="9"/>
        <v>0.33315600000000001</v>
      </c>
      <c r="Z41" s="73">
        <v>43137</v>
      </c>
      <c r="AA41" s="38">
        <f t="shared" si="10"/>
        <v>0.38631100000000002</v>
      </c>
      <c r="AB41" s="38">
        <f t="shared" si="11"/>
        <v>0.65089799999999998</v>
      </c>
      <c r="AC41" s="39">
        <f t="shared" si="12"/>
        <v>0.65089799999999998</v>
      </c>
      <c r="AD41" s="39">
        <f>IF(G41&gt;300,+AC41+$AD$16,AC41)</f>
        <v>0.71089800000000003</v>
      </c>
      <c r="AE41" s="80"/>
      <c r="AF41" s="40">
        <v>0</v>
      </c>
      <c r="AG41" s="9">
        <f t="shared" si="14"/>
        <v>0</v>
      </c>
      <c r="AH41" s="11">
        <f t="shared" si="15"/>
        <v>0</v>
      </c>
      <c r="AI41" s="11">
        <f t="shared" si="16"/>
        <v>207930131</v>
      </c>
      <c r="AJ41" s="11">
        <f t="shared" si="17"/>
        <v>207930131</v>
      </c>
      <c r="AK41" s="36">
        <v>181105390</v>
      </c>
      <c r="AL41" s="36">
        <v>182231356.43599999</v>
      </c>
      <c r="AM41" s="36">
        <f t="shared" si="23"/>
        <v>26824741</v>
      </c>
      <c r="AN41" s="68">
        <f t="shared" si="18"/>
        <v>207930131</v>
      </c>
      <c r="AO41" s="68">
        <f t="shared" si="24"/>
        <v>26824741</v>
      </c>
      <c r="AP41" s="69">
        <f t="shared" si="19"/>
        <v>185090873.82659999</v>
      </c>
      <c r="AQ41" s="36">
        <f t="shared" si="20"/>
        <v>2859517.3905999959</v>
      </c>
      <c r="AR41" s="70">
        <f t="shared" si="21"/>
        <v>1.5691686911216425E-2</v>
      </c>
      <c r="AS41" s="36"/>
      <c r="AT41" s="22"/>
      <c r="AV41" s="22"/>
      <c r="AW41" s="22"/>
      <c r="BA41" s="22"/>
      <c r="BB41" s="22"/>
      <c r="BC41" s="22"/>
      <c r="BD41" s="22"/>
      <c r="BE41" s="22"/>
    </row>
    <row r="42" spans="1:57" ht="15" x14ac:dyDescent="0.25">
      <c r="A42" s="8" t="s">
        <v>125</v>
      </c>
      <c r="B42" s="8"/>
      <c r="C42" s="26"/>
      <c r="D42" s="26"/>
      <c r="E42" s="26"/>
      <c r="F42" s="1">
        <v>2</v>
      </c>
      <c r="G42" s="66">
        <v>150.0220998260566</v>
      </c>
      <c r="H42" s="8">
        <v>16</v>
      </c>
      <c r="I42" s="3" t="s">
        <v>147</v>
      </c>
      <c r="J42" s="13">
        <f t="shared" si="2"/>
        <v>0</v>
      </c>
      <c r="K42" s="78">
        <v>112.56</v>
      </c>
      <c r="L42" s="36"/>
      <c r="M42" s="35"/>
      <c r="N42" s="81">
        <v>17</v>
      </c>
      <c r="O42" s="67">
        <f t="shared" si="3"/>
        <v>0.15103056147832267</v>
      </c>
      <c r="P42" s="67">
        <f t="shared" si="4"/>
        <v>0</v>
      </c>
      <c r="Q42" s="36">
        <f t="shared" si="5"/>
        <v>0</v>
      </c>
      <c r="R42" s="36">
        <f t="shared" si="22"/>
        <v>0</v>
      </c>
      <c r="S42" s="79">
        <v>1</v>
      </c>
      <c r="T42" s="37">
        <f t="shared" si="6"/>
        <v>5.0999999999999996</v>
      </c>
      <c r="U42" s="9">
        <f t="shared" si="7"/>
        <v>117.81</v>
      </c>
      <c r="V42" s="73">
        <v>527544465.67000002</v>
      </c>
      <c r="W42" s="73">
        <v>1648</v>
      </c>
      <c r="X42" s="18">
        <f t="shared" si="8"/>
        <v>320111.93</v>
      </c>
      <c r="Y42" s="38">
        <f t="shared" si="9"/>
        <v>1.7358990000000001</v>
      </c>
      <c r="Z42" s="73">
        <v>103393</v>
      </c>
      <c r="AA42" s="38">
        <f t="shared" si="10"/>
        <v>0.92593000000000003</v>
      </c>
      <c r="AB42" s="38">
        <f t="shared" si="11"/>
        <v>-0.49290800000000001</v>
      </c>
      <c r="AC42" s="39">
        <f t="shared" si="12"/>
        <v>0.01</v>
      </c>
      <c r="AD42" s="39">
        <f>IF(G42&gt;300,+AC42+$AD$17,AC42)</f>
        <v>0.01</v>
      </c>
      <c r="AE42" s="80">
        <v>112</v>
      </c>
      <c r="AF42" s="40">
        <v>13</v>
      </c>
      <c r="AG42" s="9">
        <f t="shared" si="14"/>
        <v>100</v>
      </c>
      <c r="AH42" s="11">
        <f t="shared" si="15"/>
        <v>11200</v>
      </c>
      <c r="AI42" s="11">
        <f t="shared" si="16"/>
        <v>13578</v>
      </c>
      <c r="AJ42" s="11">
        <f t="shared" si="17"/>
        <v>24778</v>
      </c>
      <c r="AK42" s="36">
        <v>23014</v>
      </c>
      <c r="AL42" s="36">
        <v>23078.534</v>
      </c>
      <c r="AM42" s="36">
        <f t="shared" si="23"/>
        <v>1764</v>
      </c>
      <c r="AN42" s="68">
        <f t="shared" si="18"/>
        <v>24778</v>
      </c>
      <c r="AO42" s="68">
        <f t="shared" si="24"/>
        <v>1764</v>
      </c>
      <c r="AP42" s="69">
        <f t="shared" si="19"/>
        <v>23266.576399999998</v>
      </c>
      <c r="AQ42" s="36">
        <f t="shared" si="20"/>
        <v>188.04239999999845</v>
      </c>
      <c r="AR42" s="70">
        <f t="shared" si="21"/>
        <v>8.1479352198020223E-3</v>
      </c>
      <c r="AS42" s="36"/>
      <c r="AT42" s="22"/>
      <c r="AV42" s="22"/>
      <c r="AW42" s="22"/>
      <c r="BA42" s="22"/>
      <c r="BB42" s="22"/>
      <c r="BC42" s="22"/>
      <c r="BD42" s="22"/>
      <c r="BE42" s="22"/>
    </row>
    <row r="43" spans="1:57" ht="15" x14ac:dyDescent="0.25">
      <c r="A43" s="8" t="s">
        <v>140</v>
      </c>
      <c r="B43" s="8"/>
      <c r="C43" s="26">
        <v>1</v>
      </c>
      <c r="D43" s="26">
        <v>1</v>
      </c>
      <c r="E43" s="26"/>
      <c r="F43" s="1">
        <v>9</v>
      </c>
      <c r="G43" s="71">
        <v>306.66985383575292</v>
      </c>
      <c r="H43" s="8">
        <v>17</v>
      </c>
      <c r="I43" s="3" t="s">
        <v>148</v>
      </c>
      <c r="J43" s="13">
        <f t="shared" si="2"/>
        <v>0</v>
      </c>
      <c r="K43" s="78">
        <v>8161.56</v>
      </c>
      <c r="L43" s="36"/>
      <c r="M43" s="35"/>
      <c r="N43" s="81">
        <v>3836</v>
      </c>
      <c r="O43" s="67">
        <f t="shared" si="3"/>
        <v>0.47000818470978584</v>
      </c>
      <c r="P43" s="67">
        <f t="shared" si="4"/>
        <v>0</v>
      </c>
      <c r="Q43" s="36">
        <f t="shared" si="5"/>
        <v>0</v>
      </c>
      <c r="R43" s="36">
        <f t="shared" si="22"/>
        <v>0</v>
      </c>
      <c r="S43" s="79">
        <v>386</v>
      </c>
      <c r="T43" s="37">
        <f t="shared" si="6"/>
        <v>1150.8</v>
      </c>
      <c r="U43" s="9">
        <f t="shared" si="7"/>
        <v>9370.26</v>
      </c>
      <c r="V43" s="73">
        <v>5712405928.6700001</v>
      </c>
      <c r="W43" s="73">
        <v>60147</v>
      </c>
      <c r="X43" s="18">
        <f t="shared" si="8"/>
        <v>94974.080000000002</v>
      </c>
      <c r="Y43" s="38">
        <f t="shared" si="9"/>
        <v>0.51502400000000004</v>
      </c>
      <c r="Z43" s="73">
        <v>61551</v>
      </c>
      <c r="AA43" s="38">
        <f t="shared" si="10"/>
        <v>0.55121699999999996</v>
      </c>
      <c r="AB43" s="38">
        <f t="shared" si="11"/>
        <v>0.47411799999999998</v>
      </c>
      <c r="AC43" s="39">
        <f t="shared" si="12"/>
        <v>0.47411799999999998</v>
      </c>
      <c r="AD43" s="39">
        <f>IF(G43&gt;300,+AC43+$AD$19,AC43)</f>
        <v>0.50411799999999996</v>
      </c>
      <c r="AE43" s="80"/>
      <c r="AF43" s="40">
        <v>0</v>
      </c>
      <c r="AG43" s="9">
        <f t="shared" si="14"/>
        <v>0</v>
      </c>
      <c r="AH43" s="11">
        <f t="shared" si="15"/>
        <v>0</v>
      </c>
      <c r="AI43" s="11">
        <f t="shared" si="16"/>
        <v>54440835</v>
      </c>
      <c r="AJ43" s="11">
        <f t="shared" si="17"/>
        <v>54440835</v>
      </c>
      <c r="AK43" s="36">
        <v>44853676</v>
      </c>
      <c r="AL43" s="36">
        <v>45264508.997000001</v>
      </c>
      <c r="AM43" s="36">
        <f t="shared" si="23"/>
        <v>9587159</v>
      </c>
      <c r="AN43" s="68">
        <f t="shared" si="18"/>
        <v>54440835</v>
      </c>
      <c r="AO43" s="68">
        <f t="shared" si="24"/>
        <v>9587159</v>
      </c>
      <c r="AP43" s="69">
        <f t="shared" si="19"/>
        <v>46286500.146400005</v>
      </c>
      <c r="AQ43" s="36">
        <f t="shared" si="20"/>
        <v>1021991.1494000033</v>
      </c>
      <c r="AR43" s="70">
        <f t="shared" si="21"/>
        <v>2.2578200273148611E-2</v>
      </c>
      <c r="AS43" s="36"/>
      <c r="AT43" s="22"/>
      <c r="AV43" s="22"/>
      <c r="AW43" s="22"/>
      <c r="BA43" s="22"/>
      <c r="BB43" s="22"/>
      <c r="BC43" s="22"/>
      <c r="BD43" s="22"/>
      <c r="BE43" s="22"/>
    </row>
    <row r="44" spans="1:57" ht="15" x14ac:dyDescent="0.25">
      <c r="A44" s="8" t="s">
        <v>131</v>
      </c>
      <c r="B44" s="8"/>
      <c r="C44" s="26"/>
      <c r="D44" s="26"/>
      <c r="E44" s="26"/>
      <c r="F44" s="1">
        <v>2</v>
      </c>
      <c r="G44" s="66">
        <v>196.94139952463658</v>
      </c>
      <c r="H44" s="8">
        <v>18</v>
      </c>
      <c r="I44" s="3" t="s">
        <v>149</v>
      </c>
      <c r="J44" s="13">
        <f t="shared" si="2"/>
        <v>0</v>
      </c>
      <c r="K44" s="78">
        <v>2665.28</v>
      </c>
      <c r="L44" s="36"/>
      <c r="M44" s="35"/>
      <c r="N44" s="81">
        <v>505</v>
      </c>
      <c r="O44" s="67">
        <f t="shared" si="3"/>
        <v>0.18947352623364147</v>
      </c>
      <c r="P44" s="67">
        <f t="shared" si="4"/>
        <v>0</v>
      </c>
      <c r="Q44" s="36">
        <f t="shared" si="5"/>
        <v>0</v>
      </c>
      <c r="R44" s="36">
        <f t="shared" si="22"/>
        <v>0</v>
      </c>
      <c r="S44" s="79">
        <v>112</v>
      </c>
      <c r="T44" s="37">
        <f t="shared" si="6"/>
        <v>151.5</v>
      </c>
      <c r="U44" s="9">
        <f t="shared" si="7"/>
        <v>2833.5800000000004</v>
      </c>
      <c r="V44" s="73">
        <v>3227005961.3299999</v>
      </c>
      <c r="W44" s="73">
        <v>17098</v>
      </c>
      <c r="X44" s="18">
        <f t="shared" si="8"/>
        <v>188735.87</v>
      </c>
      <c r="Y44" s="38">
        <f t="shared" si="9"/>
        <v>1.023474</v>
      </c>
      <c r="Z44" s="73">
        <v>106278</v>
      </c>
      <c r="AA44" s="38">
        <f t="shared" si="10"/>
        <v>0.95176700000000003</v>
      </c>
      <c r="AB44" s="38">
        <f t="shared" si="11"/>
        <v>-1.9620000000000002E-3</v>
      </c>
      <c r="AC44" s="39">
        <f t="shared" si="12"/>
        <v>0.01</v>
      </c>
      <c r="AD44" s="39">
        <f t="shared" ref="AD44:AD62" si="25">IF(G44&gt;300,+AC44+$AD$17,AC44)</f>
        <v>0.01</v>
      </c>
      <c r="AE44" s="80"/>
      <c r="AF44" s="40">
        <v>0</v>
      </c>
      <c r="AG44" s="9">
        <f t="shared" si="14"/>
        <v>0</v>
      </c>
      <c r="AH44" s="11">
        <f t="shared" si="15"/>
        <v>0</v>
      </c>
      <c r="AI44" s="11">
        <f t="shared" si="16"/>
        <v>326570</v>
      </c>
      <c r="AJ44" s="11">
        <f t="shared" si="17"/>
        <v>326570</v>
      </c>
      <c r="AK44" s="36">
        <v>1417583</v>
      </c>
      <c r="AL44" s="36">
        <v>1143823</v>
      </c>
      <c r="AM44" s="36">
        <f t="shared" si="23"/>
        <v>-1091013</v>
      </c>
      <c r="AN44" s="68">
        <f t="shared" si="18"/>
        <v>326570</v>
      </c>
      <c r="AO44" s="68">
        <f t="shared" si="24"/>
        <v>-1091013</v>
      </c>
      <c r="AP44" s="69">
        <f t="shared" si="19"/>
        <v>1052941.6170999999</v>
      </c>
      <c r="AQ44" s="36">
        <f t="shared" si="20"/>
        <v>-90881.382900000084</v>
      </c>
      <c r="AR44" s="70">
        <f t="shared" si="21"/>
        <v>-7.9454061423839248E-2</v>
      </c>
      <c r="AS44" s="36"/>
      <c r="AT44" s="22"/>
      <c r="AV44" s="22"/>
      <c r="AW44" s="22"/>
      <c r="BA44" s="22"/>
      <c r="BB44" s="22"/>
      <c r="BC44" s="22"/>
      <c r="BD44" s="22"/>
      <c r="BE44" s="22"/>
    </row>
    <row r="45" spans="1:57" ht="15" x14ac:dyDescent="0.25">
      <c r="A45" s="8" t="s">
        <v>129</v>
      </c>
      <c r="B45" s="8"/>
      <c r="C45" s="26"/>
      <c r="D45" s="26"/>
      <c r="E45" s="26"/>
      <c r="F45" s="1">
        <v>9</v>
      </c>
      <c r="G45" s="71">
        <v>261.80863813688472</v>
      </c>
      <c r="H45" s="8">
        <v>19</v>
      </c>
      <c r="I45" s="3" t="s">
        <v>150</v>
      </c>
      <c r="J45" s="13">
        <f t="shared" si="2"/>
        <v>0</v>
      </c>
      <c r="K45" s="78">
        <v>1220.96</v>
      </c>
      <c r="L45" s="36"/>
      <c r="M45" s="35"/>
      <c r="N45" s="81">
        <v>387</v>
      </c>
      <c r="O45" s="67">
        <f t="shared" si="3"/>
        <v>0.31696370069453544</v>
      </c>
      <c r="P45" s="67">
        <f t="shared" si="4"/>
        <v>0</v>
      </c>
      <c r="Q45" s="36">
        <f t="shared" si="5"/>
        <v>0</v>
      </c>
      <c r="R45" s="36">
        <f t="shared" si="22"/>
        <v>0</v>
      </c>
      <c r="S45" s="79">
        <v>11</v>
      </c>
      <c r="T45" s="37">
        <f t="shared" si="6"/>
        <v>116.1</v>
      </c>
      <c r="U45" s="9">
        <f t="shared" si="7"/>
        <v>1338.71</v>
      </c>
      <c r="V45" s="73">
        <v>796922419.66999996</v>
      </c>
      <c r="W45" s="73">
        <v>8205</v>
      </c>
      <c r="X45" s="18">
        <f t="shared" si="8"/>
        <v>97126.44</v>
      </c>
      <c r="Y45" s="38">
        <f t="shared" si="9"/>
        <v>0.52669600000000005</v>
      </c>
      <c r="Z45" s="73">
        <v>74375</v>
      </c>
      <c r="AA45" s="38">
        <f t="shared" si="10"/>
        <v>0.66606100000000001</v>
      </c>
      <c r="AB45" s="38">
        <f t="shared" si="11"/>
        <v>0.43149500000000002</v>
      </c>
      <c r="AC45" s="39">
        <f t="shared" si="12"/>
        <v>0.43149500000000002</v>
      </c>
      <c r="AD45" s="39">
        <f t="shared" si="25"/>
        <v>0.43149500000000002</v>
      </c>
      <c r="AE45" s="80"/>
      <c r="AF45" s="40">
        <v>0</v>
      </c>
      <c r="AG45" s="9">
        <f t="shared" si="14"/>
        <v>0</v>
      </c>
      <c r="AH45" s="11">
        <f t="shared" si="15"/>
        <v>0</v>
      </c>
      <c r="AI45" s="11">
        <f t="shared" si="16"/>
        <v>6657378</v>
      </c>
      <c r="AJ45" s="11">
        <f t="shared" si="17"/>
        <v>6657378</v>
      </c>
      <c r="AK45" s="36">
        <v>6975373</v>
      </c>
      <c r="AL45" s="36">
        <v>6982946.233</v>
      </c>
      <c r="AM45" s="36">
        <f t="shared" si="23"/>
        <v>-317995</v>
      </c>
      <c r="AN45" s="68">
        <f t="shared" si="18"/>
        <v>6657378</v>
      </c>
      <c r="AO45" s="68">
        <f t="shared" si="24"/>
        <v>-317995</v>
      </c>
      <c r="AP45" s="69">
        <f t="shared" si="19"/>
        <v>6956457.2494999999</v>
      </c>
      <c r="AQ45" s="36">
        <f t="shared" si="20"/>
        <v>-26488.983500000089</v>
      </c>
      <c r="AR45" s="70">
        <f t="shared" si="21"/>
        <v>-3.79338213644242E-3</v>
      </c>
      <c r="AS45" s="36"/>
      <c r="AT45" s="22"/>
      <c r="AV45" s="22"/>
      <c r="AW45" s="22"/>
      <c r="BA45" s="22"/>
      <c r="BB45" s="22"/>
      <c r="BC45" s="22"/>
      <c r="BD45" s="22"/>
      <c r="BE45" s="22"/>
    </row>
    <row r="46" spans="1:57" ht="15" x14ac:dyDescent="0.25">
      <c r="A46" s="8" t="s">
        <v>125</v>
      </c>
      <c r="B46" s="8"/>
      <c r="C46" s="26"/>
      <c r="D46" s="26"/>
      <c r="E46" s="26"/>
      <c r="F46" s="1">
        <v>3</v>
      </c>
      <c r="G46" s="66">
        <v>218.23193314650044</v>
      </c>
      <c r="H46" s="8">
        <v>20</v>
      </c>
      <c r="I46" s="3" t="s">
        <v>151</v>
      </c>
      <c r="J46" s="13">
        <f t="shared" si="2"/>
        <v>0</v>
      </c>
      <c r="K46" s="78">
        <v>1542.55</v>
      </c>
      <c r="L46" s="36"/>
      <c r="M46" s="35"/>
      <c r="N46" s="81">
        <v>149</v>
      </c>
      <c r="O46" s="67">
        <f t="shared" si="3"/>
        <v>9.6593303296489588E-2</v>
      </c>
      <c r="P46" s="67">
        <f t="shared" si="4"/>
        <v>0</v>
      </c>
      <c r="Q46" s="36">
        <f t="shared" si="5"/>
        <v>0</v>
      </c>
      <c r="R46" s="36">
        <f t="shared" si="22"/>
        <v>0</v>
      </c>
      <c r="S46" s="79">
        <v>27</v>
      </c>
      <c r="T46" s="37">
        <f t="shared" si="6"/>
        <v>44.7</v>
      </c>
      <c r="U46" s="9">
        <f t="shared" si="7"/>
        <v>1591.3</v>
      </c>
      <c r="V46" s="73">
        <v>1313251138.3299999</v>
      </c>
      <c r="W46" s="73">
        <v>9614</v>
      </c>
      <c r="X46" s="18">
        <f t="shared" si="8"/>
        <v>136597.79</v>
      </c>
      <c r="Y46" s="38">
        <f t="shared" si="9"/>
        <v>0.74074099999999998</v>
      </c>
      <c r="Z46" s="73">
        <v>117069</v>
      </c>
      <c r="AA46" s="38">
        <f t="shared" si="10"/>
        <v>1.048405</v>
      </c>
      <c r="AB46" s="38">
        <f t="shared" si="11"/>
        <v>0.16696</v>
      </c>
      <c r="AC46" s="39">
        <f t="shared" si="12"/>
        <v>0.16696</v>
      </c>
      <c r="AD46" s="39">
        <f t="shared" si="25"/>
        <v>0.16696</v>
      </c>
      <c r="AE46" s="80">
        <v>1544</v>
      </c>
      <c r="AF46" s="40">
        <v>13</v>
      </c>
      <c r="AG46" s="9">
        <f t="shared" si="14"/>
        <v>100</v>
      </c>
      <c r="AH46" s="11">
        <f t="shared" si="15"/>
        <v>154400</v>
      </c>
      <c r="AI46" s="11">
        <f t="shared" si="16"/>
        <v>3062002</v>
      </c>
      <c r="AJ46" s="11">
        <f t="shared" si="17"/>
        <v>3216402</v>
      </c>
      <c r="AK46" s="36">
        <v>4359350</v>
      </c>
      <c r="AL46" s="36">
        <v>4118158</v>
      </c>
      <c r="AM46" s="36">
        <f t="shared" si="23"/>
        <v>-1142948</v>
      </c>
      <c r="AN46" s="68">
        <f t="shared" si="18"/>
        <v>3216402</v>
      </c>
      <c r="AO46" s="68">
        <f t="shared" si="24"/>
        <v>-1142948</v>
      </c>
      <c r="AP46" s="69">
        <f t="shared" si="19"/>
        <v>4022950.4315999998</v>
      </c>
      <c r="AQ46" s="36">
        <f t="shared" si="20"/>
        <v>-95207.568400000222</v>
      </c>
      <c r="AR46" s="70">
        <f t="shared" si="21"/>
        <v>-2.3118969306180147E-2</v>
      </c>
      <c r="AS46" s="36"/>
      <c r="AT46" s="22"/>
      <c r="AV46" s="22"/>
      <c r="AW46" s="22"/>
      <c r="BA46" s="22"/>
      <c r="BB46" s="22"/>
      <c r="BC46" s="22"/>
      <c r="BD46" s="22"/>
      <c r="BE46" s="22"/>
    </row>
    <row r="47" spans="1:57" ht="15" x14ac:dyDescent="0.25">
      <c r="A47" s="8" t="s">
        <v>129</v>
      </c>
      <c r="B47" s="8"/>
      <c r="C47" s="26"/>
      <c r="D47" s="26"/>
      <c r="E47" s="26"/>
      <c r="F47" s="1">
        <v>4</v>
      </c>
      <c r="G47" s="66">
        <v>197.24909036796655</v>
      </c>
      <c r="H47" s="8">
        <v>21</v>
      </c>
      <c r="I47" s="3" t="s">
        <v>152</v>
      </c>
      <c r="J47" s="13">
        <f t="shared" si="2"/>
        <v>0</v>
      </c>
      <c r="K47" s="78">
        <v>105.2</v>
      </c>
      <c r="L47" s="36"/>
      <c r="M47" s="35"/>
      <c r="N47" s="81">
        <v>36</v>
      </c>
      <c r="O47" s="67">
        <f t="shared" si="3"/>
        <v>0.34220532319391633</v>
      </c>
      <c r="P47" s="67">
        <f t="shared" si="4"/>
        <v>0</v>
      </c>
      <c r="Q47" s="36">
        <f t="shared" si="5"/>
        <v>0</v>
      </c>
      <c r="R47" s="36">
        <f t="shared" si="22"/>
        <v>0</v>
      </c>
      <c r="S47" s="79">
        <v>3</v>
      </c>
      <c r="T47" s="37">
        <f t="shared" si="6"/>
        <v>10.8</v>
      </c>
      <c r="U47" s="9">
        <f t="shared" si="7"/>
        <v>116.45</v>
      </c>
      <c r="V47" s="73">
        <v>238414123</v>
      </c>
      <c r="W47" s="73">
        <v>1177</v>
      </c>
      <c r="X47" s="18">
        <f t="shared" si="8"/>
        <v>202560.85</v>
      </c>
      <c r="Y47" s="38">
        <f t="shared" si="9"/>
        <v>1.098444</v>
      </c>
      <c r="Z47" s="73">
        <v>72174</v>
      </c>
      <c r="AA47" s="38">
        <f t="shared" si="10"/>
        <v>0.64634999999999998</v>
      </c>
      <c r="AB47" s="38">
        <f t="shared" si="11"/>
        <v>3.7184000000000002E-2</v>
      </c>
      <c r="AC47" s="39">
        <f t="shared" si="12"/>
        <v>3.7184000000000002E-2</v>
      </c>
      <c r="AD47" s="39">
        <f t="shared" si="25"/>
        <v>3.7184000000000002E-2</v>
      </c>
      <c r="AE47" s="80">
        <v>41</v>
      </c>
      <c r="AF47" s="40">
        <v>4</v>
      </c>
      <c r="AG47" s="9">
        <f t="shared" si="14"/>
        <v>30.77</v>
      </c>
      <c r="AH47" s="11">
        <f t="shared" si="15"/>
        <v>1262</v>
      </c>
      <c r="AI47" s="11">
        <f t="shared" si="16"/>
        <v>49904</v>
      </c>
      <c r="AJ47" s="11">
        <f t="shared" si="17"/>
        <v>51166</v>
      </c>
      <c r="AK47" s="36">
        <v>177216</v>
      </c>
      <c r="AL47" s="36">
        <v>149720.5</v>
      </c>
      <c r="AM47" s="36">
        <f t="shared" si="23"/>
        <v>-126050</v>
      </c>
      <c r="AN47" s="68">
        <f t="shared" si="18"/>
        <v>51166</v>
      </c>
      <c r="AO47" s="68">
        <f t="shared" si="24"/>
        <v>-126050</v>
      </c>
      <c r="AP47" s="69">
        <f t="shared" si="19"/>
        <v>139220.535</v>
      </c>
      <c r="AQ47" s="36">
        <f t="shared" si="20"/>
        <v>-10499.964999999997</v>
      </c>
      <c r="AR47" s="70">
        <f t="shared" si="21"/>
        <v>-7.0130443058899733E-2</v>
      </c>
      <c r="AS47" s="36"/>
      <c r="AT47" s="22"/>
      <c r="AV47" s="22"/>
      <c r="AW47" s="22"/>
      <c r="BA47" s="22"/>
      <c r="BB47" s="22"/>
      <c r="BC47" s="22"/>
      <c r="BD47" s="22"/>
      <c r="BE47" s="22"/>
    </row>
    <row r="48" spans="1:57" ht="15" x14ac:dyDescent="0.25">
      <c r="A48" s="8" t="s">
        <v>153</v>
      </c>
      <c r="B48" s="8"/>
      <c r="C48" s="26"/>
      <c r="D48" s="26"/>
      <c r="E48" s="26"/>
      <c r="F48" s="1">
        <v>8</v>
      </c>
      <c r="G48" s="66">
        <v>249.96167194097006</v>
      </c>
      <c r="H48" s="8">
        <v>22</v>
      </c>
      <c r="I48" s="3" t="s">
        <v>154</v>
      </c>
      <c r="J48" s="13">
        <f t="shared" si="2"/>
        <v>0</v>
      </c>
      <c r="K48" s="78">
        <v>658.06</v>
      </c>
      <c r="L48" s="36"/>
      <c r="M48" s="35"/>
      <c r="N48" s="81">
        <v>197</v>
      </c>
      <c r="O48" s="67">
        <f t="shared" si="3"/>
        <v>0.29936479956234996</v>
      </c>
      <c r="P48" s="67">
        <f t="shared" si="4"/>
        <v>0</v>
      </c>
      <c r="Q48" s="36">
        <f t="shared" si="5"/>
        <v>0</v>
      </c>
      <c r="R48" s="36">
        <f t="shared" si="22"/>
        <v>0</v>
      </c>
      <c r="S48" s="79"/>
      <c r="T48" s="37">
        <f t="shared" si="6"/>
        <v>59.1</v>
      </c>
      <c r="U48" s="9">
        <f t="shared" si="7"/>
        <v>717.16</v>
      </c>
      <c r="V48" s="73">
        <v>521569127.32999998</v>
      </c>
      <c r="W48" s="73">
        <v>5065</v>
      </c>
      <c r="X48" s="18">
        <f t="shared" si="8"/>
        <v>102975.15</v>
      </c>
      <c r="Y48" s="38">
        <f t="shared" si="9"/>
        <v>0.55841200000000002</v>
      </c>
      <c r="Z48" s="73">
        <v>81496</v>
      </c>
      <c r="AA48" s="38">
        <f t="shared" si="10"/>
        <v>0.72983299999999995</v>
      </c>
      <c r="AB48" s="38">
        <f t="shared" si="11"/>
        <v>0.39016200000000001</v>
      </c>
      <c r="AC48" s="39">
        <f t="shared" si="12"/>
        <v>0.39016200000000001</v>
      </c>
      <c r="AD48" s="39">
        <f t="shared" si="25"/>
        <v>0.39016200000000001</v>
      </c>
      <c r="AE48" s="80"/>
      <c r="AF48" s="40">
        <v>0</v>
      </c>
      <c r="AG48" s="9">
        <f t="shared" si="14"/>
        <v>0</v>
      </c>
      <c r="AH48" s="11">
        <f t="shared" si="15"/>
        <v>0</v>
      </c>
      <c r="AI48" s="11">
        <f t="shared" si="16"/>
        <v>3224794</v>
      </c>
      <c r="AJ48" s="11">
        <f t="shared" si="17"/>
        <v>3224794</v>
      </c>
      <c r="AK48" s="36">
        <v>4665608</v>
      </c>
      <c r="AL48" s="36">
        <v>4256271.5</v>
      </c>
      <c r="AM48" s="36">
        <f t="shared" si="23"/>
        <v>-1440814</v>
      </c>
      <c r="AN48" s="68">
        <f t="shared" si="18"/>
        <v>3224794</v>
      </c>
      <c r="AO48" s="68">
        <f t="shared" si="24"/>
        <v>-1440814</v>
      </c>
      <c r="AP48" s="69">
        <f t="shared" si="19"/>
        <v>4136251.6938</v>
      </c>
      <c r="AQ48" s="36">
        <f t="shared" si="20"/>
        <v>-120019.80619999999</v>
      </c>
      <c r="AR48" s="70">
        <f t="shared" si="21"/>
        <v>-2.8198343597207083E-2</v>
      </c>
      <c r="AS48" s="36"/>
      <c r="AT48" s="22"/>
      <c r="AV48" s="22"/>
      <c r="AW48" s="22"/>
      <c r="BA48" s="22"/>
      <c r="BB48" s="22"/>
      <c r="BC48" s="22"/>
      <c r="BD48" s="22"/>
      <c r="BE48" s="22"/>
    </row>
    <row r="49" spans="1:57" ht="15" x14ac:dyDescent="0.25">
      <c r="A49" s="8" t="s">
        <v>125</v>
      </c>
      <c r="B49" s="8"/>
      <c r="C49" s="26"/>
      <c r="D49" s="26"/>
      <c r="E49" s="26"/>
      <c r="F49" s="1">
        <v>4</v>
      </c>
      <c r="G49" s="66">
        <v>208.10505498084439</v>
      </c>
      <c r="H49" s="8">
        <v>23</v>
      </c>
      <c r="I49" s="3" t="s">
        <v>155</v>
      </c>
      <c r="J49" s="13">
        <f t="shared" si="2"/>
        <v>0</v>
      </c>
      <c r="K49" s="78">
        <v>1567.17</v>
      </c>
      <c r="L49" s="36"/>
      <c r="M49" s="35"/>
      <c r="N49" s="81">
        <v>190</v>
      </c>
      <c r="O49" s="67">
        <f t="shared" si="3"/>
        <v>0.12123764492684265</v>
      </c>
      <c r="P49" s="67">
        <f t="shared" si="4"/>
        <v>0</v>
      </c>
      <c r="Q49" s="36">
        <f t="shared" si="5"/>
        <v>0</v>
      </c>
      <c r="R49" s="36">
        <f t="shared" si="22"/>
        <v>0</v>
      </c>
      <c r="S49" s="79">
        <v>8</v>
      </c>
      <c r="T49" s="37">
        <f t="shared" si="6"/>
        <v>57</v>
      </c>
      <c r="U49" s="9">
        <f t="shared" si="7"/>
        <v>1625.3700000000001</v>
      </c>
      <c r="V49" s="73">
        <v>1566538227.6700001</v>
      </c>
      <c r="W49" s="73">
        <v>10287</v>
      </c>
      <c r="X49" s="18">
        <f t="shared" si="8"/>
        <v>152283.29</v>
      </c>
      <c r="Y49" s="38">
        <f t="shared" si="9"/>
        <v>0.82579999999999998</v>
      </c>
      <c r="Z49" s="73">
        <v>87404</v>
      </c>
      <c r="AA49" s="38">
        <f t="shared" si="10"/>
        <v>0.78274200000000005</v>
      </c>
      <c r="AB49" s="38">
        <f t="shared" si="11"/>
        <v>0.18711700000000001</v>
      </c>
      <c r="AC49" s="39">
        <f t="shared" si="12"/>
        <v>0.18711700000000001</v>
      </c>
      <c r="AD49" s="39">
        <f t="shared" si="25"/>
        <v>0.18711700000000001</v>
      </c>
      <c r="AE49" s="80"/>
      <c r="AF49" s="40">
        <v>0</v>
      </c>
      <c r="AG49" s="9">
        <f t="shared" si="14"/>
        <v>0</v>
      </c>
      <c r="AH49" s="11">
        <f t="shared" si="15"/>
        <v>0</v>
      </c>
      <c r="AI49" s="11">
        <f t="shared" si="16"/>
        <v>3505148</v>
      </c>
      <c r="AJ49" s="11">
        <f t="shared" si="17"/>
        <v>3505148</v>
      </c>
      <c r="AK49" s="36">
        <v>3403900</v>
      </c>
      <c r="AL49" s="36">
        <v>3391332.5</v>
      </c>
      <c r="AM49" s="36">
        <f t="shared" si="23"/>
        <v>101248</v>
      </c>
      <c r="AN49" s="68">
        <f t="shared" si="18"/>
        <v>3505148</v>
      </c>
      <c r="AO49" s="68">
        <f t="shared" si="24"/>
        <v>101248</v>
      </c>
      <c r="AP49" s="69">
        <f t="shared" si="19"/>
        <v>3402125.5367999999</v>
      </c>
      <c r="AQ49" s="36">
        <f t="shared" si="20"/>
        <v>10793.036799999885</v>
      </c>
      <c r="AR49" s="70">
        <f t="shared" si="21"/>
        <v>3.1825357142066975E-3</v>
      </c>
      <c r="AS49" s="36"/>
      <c r="AT49" s="22"/>
      <c r="AV49" s="22"/>
      <c r="AW49" s="22"/>
      <c r="BA49" s="22"/>
      <c r="BB49" s="22"/>
      <c r="BC49" s="22"/>
      <c r="BD49" s="22"/>
      <c r="BE49" s="22"/>
    </row>
    <row r="50" spans="1:57" ht="15" x14ac:dyDescent="0.25">
      <c r="A50" s="8" t="s">
        <v>129</v>
      </c>
      <c r="B50" s="8"/>
      <c r="C50" s="26"/>
      <c r="D50" s="26"/>
      <c r="E50" s="26"/>
      <c r="F50" s="1">
        <v>9</v>
      </c>
      <c r="G50" s="71">
        <v>276.20394862098044</v>
      </c>
      <c r="H50" s="8">
        <v>24</v>
      </c>
      <c r="I50" s="3" t="s">
        <v>156</v>
      </c>
      <c r="J50" s="13">
        <f t="shared" si="2"/>
        <v>0</v>
      </c>
      <c r="K50" s="78">
        <v>249.8</v>
      </c>
      <c r="L50" s="36"/>
      <c r="M50" s="35"/>
      <c r="N50" s="81">
        <v>112</v>
      </c>
      <c r="O50" s="67">
        <f t="shared" si="3"/>
        <v>0.4483586869495596</v>
      </c>
      <c r="P50" s="67">
        <f t="shared" si="4"/>
        <v>0</v>
      </c>
      <c r="Q50" s="36">
        <f t="shared" si="5"/>
        <v>0</v>
      </c>
      <c r="R50" s="36">
        <f t="shared" si="22"/>
        <v>0</v>
      </c>
      <c r="S50" s="79">
        <v>6</v>
      </c>
      <c r="T50" s="37">
        <f t="shared" si="6"/>
        <v>33.6</v>
      </c>
      <c r="U50" s="9">
        <f t="shared" si="7"/>
        <v>284.3</v>
      </c>
      <c r="V50" s="73">
        <v>248549847</v>
      </c>
      <c r="W50" s="73">
        <v>2246</v>
      </c>
      <c r="X50" s="18">
        <f t="shared" si="8"/>
        <v>110663.33</v>
      </c>
      <c r="Y50" s="38">
        <f t="shared" si="9"/>
        <v>0.60010399999999997</v>
      </c>
      <c r="Z50" s="73">
        <v>80000</v>
      </c>
      <c r="AA50" s="38">
        <f t="shared" si="10"/>
        <v>0.71643599999999996</v>
      </c>
      <c r="AB50" s="38">
        <f t="shared" si="11"/>
        <v>0.36499599999999999</v>
      </c>
      <c r="AC50" s="39">
        <f t="shared" si="12"/>
        <v>0.36499599999999999</v>
      </c>
      <c r="AD50" s="39">
        <f t="shared" si="25"/>
        <v>0.36499599999999999</v>
      </c>
      <c r="AE50" s="80">
        <v>99</v>
      </c>
      <c r="AF50" s="40">
        <v>6</v>
      </c>
      <c r="AG50" s="9">
        <f t="shared" si="14"/>
        <v>46.15</v>
      </c>
      <c r="AH50" s="11">
        <f t="shared" si="15"/>
        <v>4569</v>
      </c>
      <c r="AI50" s="11">
        <f t="shared" si="16"/>
        <v>1195930</v>
      </c>
      <c r="AJ50" s="11">
        <f t="shared" si="17"/>
        <v>1200499</v>
      </c>
      <c r="AK50" s="36">
        <v>1856992</v>
      </c>
      <c r="AL50" s="36">
        <v>1761810.5</v>
      </c>
      <c r="AM50" s="36">
        <f t="shared" si="23"/>
        <v>-656493</v>
      </c>
      <c r="AN50" s="68">
        <f t="shared" si="18"/>
        <v>1200499</v>
      </c>
      <c r="AO50" s="68">
        <f t="shared" si="24"/>
        <v>-656493</v>
      </c>
      <c r="AP50" s="69">
        <f t="shared" si="19"/>
        <v>1707124.6331</v>
      </c>
      <c r="AQ50" s="36">
        <f t="shared" si="20"/>
        <v>-54685.866900000023</v>
      </c>
      <c r="AR50" s="70">
        <f t="shared" si="21"/>
        <v>-3.1039585074558257E-2</v>
      </c>
      <c r="AS50" s="36"/>
      <c r="AT50" s="22"/>
      <c r="AV50" s="22"/>
      <c r="AW50" s="22"/>
      <c r="BA50" s="22"/>
      <c r="BB50" s="22"/>
      <c r="BC50" s="22"/>
      <c r="BD50" s="22"/>
      <c r="BE50" s="22"/>
    </row>
    <row r="51" spans="1:57" ht="15" x14ac:dyDescent="0.25">
      <c r="A51" s="8" t="s">
        <v>131</v>
      </c>
      <c r="B51" s="8"/>
      <c r="C51" s="26"/>
      <c r="D51" s="26"/>
      <c r="E51" s="26"/>
      <c r="F51" s="1">
        <v>4</v>
      </c>
      <c r="G51" s="66">
        <v>208.99028452022208</v>
      </c>
      <c r="H51" s="8">
        <v>25</v>
      </c>
      <c r="I51" s="3" t="s">
        <v>157</v>
      </c>
      <c r="J51" s="13">
        <f t="shared" si="2"/>
        <v>0</v>
      </c>
      <c r="K51" s="78">
        <v>4235.68</v>
      </c>
      <c r="L51" s="36"/>
      <c r="M51" s="35"/>
      <c r="N51" s="81">
        <v>554</v>
      </c>
      <c r="O51" s="67">
        <f t="shared" si="3"/>
        <v>0.13079363880179806</v>
      </c>
      <c r="P51" s="67">
        <f t="shared" si="4"/>
        <v>0</v>
      </c>
      <c r="Q51" s="36">
        <f t="shared" si="5"/>
        <v>0</v>
      </c>
      <c r="R51" s="36">
        <f t="shared" si="22"/>
        <v>0</v>
      </c>
      <c r="S51" s="79">
        <v>50</v>
      </c>
      <c r="T51" s="37">
        <f t="shared" si="6"/>
        <v>166.2</v>
      </c>
      <c r="U51" s="9">
        <f t="shared" si="7"/>
        <v>4409.38</v>
      </c>
      <c r="V51" s="73">
        <v>4086952747.3299999</v>
      </c>
      <c r="W51" s="73">
        <v>29282</v>
      </c>
      <c r="X51" s="18">
        <f t="shared" si="8"/>
        <v>139572.19</v>
      </c>
      <c r="Y51" s="38">
        <f t="shared" si="9"/>
        <v>0.75687000000000004</v>
      </c>
      <c r="Z51" s="73">
        <v>108559</v>
      </c>
      <c r="AA51" s="38">
        <f t="shared" si="10"/>
        <v>0.972194</v>
      </c>
      <c r="AB51" s="38">
        <f t="shared" si="11"/>
        <v>0.178533</v>
      </c>
      <c r="AC51" s="39">
        <f t="shared" si="12"/>
        <v>0.178533</v>
      </c>
      <c r="AD51" s="39">
        <f t="shared" si="25"/>
        <v>0.178533</v>
      </c>
      <c r="AE51" s="80"/>
      <c r="AF51" s="40">
        <v>0</v>
      </c>
      <c r="AG51" s="9">
        <f t="shared" si="14"/>
        <v>0</v>
      </c>
      <c r="AH51" s="11">
        <f t="shared" si="15"/>
        <v>0</v>
      </c>
      <c r="AI51" s="11">
        <f t="shared" si="16"/>
        <v>9072709</v>
      </c>
      <c r="AJ51" s="11">
        <f t="shared" si="17"/>
        <v>9072709</v>
      </c>
      <c r="AK51" s="36">
        <v>9436665</v>
      </c>
      <c r="AL51" s="36">
        <v>9343891.75</v>
      </c>
      <c r="AM51" s="36">
        <f t="shared" si="23"/>
        <v>-363956</v>
      </c>
      <c r="AN51" s="68">
        <f t="shared" si="18"/>
        <v>9072709</v>
      </c>
      <c r="AO51" s="68">
        <f t="shared" si="24"/>
        <v>-363956</v>
      </c>
      <c r="AP51" s="69">
        <f t="shared" si="19"/>
        <v>9313574.2151999995</v>
      </c>
      <c r="AQ51" s="36">
        <f t="shared" si="20"/>
        <v>-30317.534800000489</v>
      </c>
      <c r="AR51" s="70">
        <f t="shared" si="21"/>
        <v>-3.2446367756775959E-3</v>
      </c>
      <c r="AS51" s="36"/>
      <c r="AT51" s="22"/>
      <c r="AV51" s="22"/>
      <c r="AW51" s="22"/>
      <c r="BA51" s="22"/>
      <c r="BB51" s="22"/>
      <c r="BC51" s="22"/>
      <c r="BD51" s="22"/>
      <c r="BE51" s="22"/>
    </row>
    <row r="52" spans="1:57" ht="15" x14ac:dyDescent="0.25">
      <c r="A52" s="8" t="s">
        <v>129</v>
      </c>
      <c r="B52" s="8"/>
      <c r="C52" s="26"/>
      <c r="D52" s="26"/>
      <c r="E52" s="26"/>
      <c r="F52" s="1">
        <v>4</v>
      </c>
      <c r="G52" s="66">
        <v>198.97598519713952</v>
      </c>
      <c r="H52" s="8">
        <v>26</v>
      </c>
      <c r="I52" s="3" t="s">
        <v>158</v>
      </c>
      <c r="J52" s="13">
        <f t="shared" si="2"/>
        <v>0</v>
      </c>
      <c r="K52" s="78">
        <v>417.63</v>
      </c>
      <c r="L52" s="36"/>
      <c r="M52" s="35"/>
      <c r="N52" s="81">
        <v>96</v>
      </c>
      <c r="O52" s="67">
        <f t="shared" si="3"/>
        <v>0.22986854392644207</v>
      </c>
      <c r="P52" s="67">
        <f t="shared" si="4"/>
        <v>0</v>
      </c>
      <c r="Q52" s="36">
        <f t="shared" si="5"/>
        <v>0</v>
      </c>
      <c r="R52" s="36">
        <f t="shared" si="22"/>
        <v>0</v>
      </c>
      <c r="S52" s="79">
        <v>5</v>
      </c>
      <c r="T52" s="37">
        <f t="shared" si="6"/>
        <v>28.8</v>
      </c>
      <c r="U52" s="9">
        <f t="shared" si="7"/>
        <v>447.18</v>
      </c>
      <c r="V52" s="73">
        <v>639536188</v>
      </c>
      <c r="W52" s="73">
        <v>4255</v>
      </c>
      <c r="X52" s="18">
        <f t="shared" si="8"/>
        <v>150302.28</v>
      </c>
      <c r="Y52" s="38">
        <f t="shared" si="9"/>
        <v>0.81505700000000003</v>
      </c>
      <c r="Z52" s="73">
        <v>76648</v>
      </c>
      <c r="AA52" s="38">
        <f t="shared" si="10"/>
        <v>0.68641700000000005</v>
      </c>
      <c r="AB52" s="38">
        <f t="shared" si="11"/>
        <v>0.22353500000000001</v>
      </c>
      <c r="AC52" s="39">
        <f t="shared" si="12"/>
        <v>0.22353500000000001</v>
      </c>
      <c r="AD52" s="39">
        <f t="shared" si="25"/>
        <v>0.22353500000000001</v>
      </c>
      <c r="AE52" s="80">
        <v>217</v>
      </c>
      <c r="AF52" s="40">
        <v>6</v>
      </c>
      <c r="AG52" s="9">
        <f t="shared" si="14"/>
        <v>46.15</v>
      </c>
      <c r="AH52" s="11">
        <f t="shared" si="15"/>
        <v>10015</v>
      </c>
      <c r="AI52" s="11">
        <f t="shared" si="16"/>
        <v>1152043</v>
      </c>
      <c r="AJ52" s="11">
        <f t="shared" si="17"/>
        <v>1162058</v>
      </c>
      <c r="AK52" s="36">
        <v>659216</v>
      </c>
      <c r="AL52" s="36">
        <v>678413.02</v>
      </c>
      <c r="AM52" s="36">
        <f t="shared" si="23"/>
        <v>502842</v>
      </c>
      <c r="AN52" s="68">
        <f t="shared" si="18"/>
        <v>1162058</v>
      </c>
      <c r="AO52" s="68">
        <f t="shared" si="24"/>
        <v>502842</v>
      </c>
      <c r="AP52" s="69">
        <f t="shared" si="19"/>
        <v>732015.97719999996</v>
      </c>
      <c r="AQ52" s="36">
        <f t="shared" si="20"/>
        <v>53602.957199999946</v>
      </c>
      <c r="AR52" s="70">
        <f t="shared" si="21"/>
        <v>7.9012276621695646E-2</v>
      </c>
      <c r="AS52" s="36"/>
      <c r="AT52" s="22"/>
      <c r="AV52" s="22"/>
      <c r="AW52" s="22"/>
      <c r="BA52" s="22"/>
      <c r="BB52" s="22"/>
      <c r="BC52" s="22"/>
      <c r="BD52" s="22"/>
      <c r="BE52" s="22"/>
    </row>
    <row r="53" spans="1:57" ht="15" x14ac:dyDescent="0.25">
      <c r="A53" s="8" t="s">
        <v>135</v>
      </c>
      <c r="B53" s="8"/>
      <c r="C53" s="26"/>
      <c r="D53" s="26"/>
      <c r="E53" s="26"/>
      <c r="F53" s="1">
        <v>5</v>
      </c>
      <c r="G53" s="66">
        <v>221.76321277631351</v>
      </c>
      <c r="H53" s="8">
        <v>27</v>
      </c>
      <c r="I53" s="3" t="s">
        <v>159</v>
      </c>
      <c r="J53" s="13">
        <f t="shared" si="2"/>
        <v>0</v>
      </c>
      <c r="K53" s="78">
        <v>1750.87</v>
      </c>
      <c r="L53" s="36"/>
      <c r="M53" s="35"/>
      <c r="N53" s="81">
        <v>586</v>
      </c>
      <c r="O53" s="67">
        <f t="shared" si="3"/>
        <v>0.33469075373956947</v>
      </c>
      <c r="P53" s="67">
        <f t="shared" si="4"/>
        <v>0</v>
      </c>
      <c r="Q53" s="36">
        <f t="shared" si="5"/>
        <v>0</v>
      </c>
      <c r="R53" s="36">
        <f t="shared" si="22"/>
        <v>0</v>
      </c>
      <c r="S53" s="79">
        <v>104</v>
      </c>
      <c r="T53" s="37">
        <f t="shared" si="6"/>
        <v>175.8</v>
      </c>
      <c r="U53" s="9">
        <f t="shared" si="7"/>
        <v>1942.2699999999998</v>
      </c>
      <c r="V53" s="73">
        <v>2188830651.6700001</v>
      </c>
      <c r="W53" s="73">
        <v>12961</v>
      </c>
      <c r="X53" s="18">
        <f t="shared" si="8"/>
        <v>168878.22</v>
      </c>
      <c r="Y53" s="38">
        <f t="shared" si="9"/>
        <v>0.91579100000000002</v>
      </c>
      <c r="Z53" s="73">
        <v>74022</v>
      </c>
      <c r="AA53" s="38">
        <f t="shared" si="10"/>
        <v>0.66290000000000004</v>
      </c>
      <c r="AB53" s="38">
        <f t="shared" si="11"/>
        <v>0.160076</v>
      </c>
      <c r="AC53" s="39">
        <f t="shared" si="12"/>
        <v>0.160076</v>
      </c>
      <c r="AD53" s="39">
        <f t="shared" si="25"/>
        <v>0.160076</v>
      </c>
      <c r="AE53" s="80"/>
      <c r="AF53" s="40">
        <v>0</v>
      </c>
      <c r="AG53" s="9">
        <f t="shared" si="14"/>
        <v>0</v>
      </c>
      <c r="AH53" s="11">
        <f t="shared" si="15"/>
        <v>0</v>
      </c>
      <c r="AI53" s="11">
        <f t="shared" si="16"/>
        <v>3583247</v>
      </c>
      <c r="AJ53" s="11">
        <f t="shared" si="17"/>
        <v>3583247</v>
      </c>
      <c r="AK53" s="36">
        <v>6326998</v>
      </c>
      <c r="AL53" s="36">
        <v>5684253</v>
      </c>
      <c r="AM53" s="36">
        <f t="shared" si="23"/>
        <v>-2743751</v>
      </c>
      <c r="AN53" s="68">
        <f t="shared" si="18"/>
        <v>3583247</v>
      </c>
      <c r="AO53" s="68">
        <f t="shared" si="24"/>
        <v>-2743751</v>
      </c>
      <c r="AP53" s="69">
        <f t="shared" si="19"/>
        <v>5455698.5416999999</v>
      </c>
      <c r="AQ53" s="36">
        <f t="shared" si="20"/>
        <v>-228554.45830000006</v>
      </c>
      <c r="AR53" s="70">
        <f t="shared" si="21"/>
        <v>-4.020835425516775E-2</v>
      </c>
      <c r="AS53" s="36"/>
      <c r="AT53" s="22"/>
      <c r="AV53" s="22"/>
      <c r="AW53" s="22"/>
      <c r="BA53" s="22"/>
      <c r="BB53" s="22"/>
      <c r="BC53" s="22"/>
      <c r="BD53" s="22"/>
      <c r="BE53" s="22"/>
    </row>
    <row r="54" spans="1:57" ht="15" x14ac:dyDescent="0.25">
      <c r="A54" s="8" t="s">
        <v>135</v>
      </c>
      <c r="B54" s="8"/>
      <c r="C54" s="26"/>
      <c r="D54" s="26"/>
      <c r="E54" s="26"/>
      <c r="F54" s="1">
        <v>6</v>
      </c>
      <c r="G54" s="66">
        <v>236.91334084742684</v>
      </c>
      <c r="H54" s="8">
        <v>28</v>
      </c>
      <c r="I54" s="3" t="s">
        <v>160</v>
      </c>
      <c r="J54" s="13">
        <f t="shared" si="2"/>
        <v>0</v>
      </c>
      <c r="K54" s="78">
        <v>2395.63</v>
      </c>
      <c r="L54" s="36"/>
      <c r="M54" s="35"/>
      <c r="N54" s="81">
        <v>531</v>
      </c>
      <c r="O54" s="67">
        <f t="shared" si="3"/>
        <v>0.22165359425286876</v>
      </c>
      <c r="P54" s="67">
        <f t="shared" si="4"/>
        <v>0</v>
      </c>
      <c r="Q54" s="36">
        <f t="shared" si="5"/>
        <v>0</v>
      </c>
      <c r="R54" s="36">
        <f t="shared" si="22"/>
        <v>0</v>
      </c>
      <c r="S54" s="79">
        <v>13</v>
      </c>
      <c r="T54" s="37">
        <f t="shared" si="6"/>
        <v>159.30000000000001</v>
      </c>
      <c r="U54" s="9">
        <f t="shared" si="7"/>
        <v>2556.88</v>
      </c>
      <c r="V54" s="73">
        <v>1700749706.6700001</v>
      </c>
      <c r="W54" s="73">
        <v>16061</v>
      </c>
      <c r="X54" s="18">
        <f t="shared" si="8"/>
        <v>105893.14</v>
      </c>
      <c r="Y54" s="38">
        <f t="shared" si="9"/>
        <v>0.57423599999999997</v>
      </c>
      <c r="Z54" s="73">
        <v>99257</v>
      </c>
      <c r="AA54" s="38">
        <f t="shared" si="10"/>
        <v>0.88889099999999999</v>
      </c>
      <c r="AB54" s="38">
        <f t="shared" si="11"/>
        <v>0.331368</v>
      </c>
      <c r="AC54" s="39">
        <f t="shared" si="12"/>
        <v>0.331368</v>
      </c>
      <c r="AD54" s="39">
        <f t="shared" si="25"/>
        <v>0.331368</v>
      </c>
      <c r="AE54" s="80"/>
      <c r="AF54" s="40">
        <v>0</v>
      </c>
      <c r="AG54" s="9">
        <f t="shared" si="14"/>
        <v>0</v>
      </c>
      <c r="AH54" s="11">
        <f t="shared" si="15"/>
        <v>0</v>
      </c>
      <c r="AI54" s="11">
        <f t="shared" si="16"/>
        <v>9764766</v>
      </c>
      <c r="AJ54" s="11">
        <f t="shared" si="17"/>
        <v>9764766</v>
      </c>
      <c r="AK54" s="36">
        <v>13503310</v>
      </c>
      <c r="AL54" s="36">
        <v>12670600.5</v>
      </c>
      <c r="AM54" s="36">
        <f t="shared" si="23"/>
        <v>-3738544</v>
      </c>
      <c r="AN54" s="68">
        <f t="shared" si="18"/>
        <v>9764766</v>
      </c>
      <c r="AO54" s="68">
        <f t="shared" si="24"/>
        <v>-3738544</v>
      </c>
      <c r="AP54" s="69">
        <f t="shared" si="19"/>
        <v>12359179.7848</v>
      </c>
      <c r="AQ54" s="36">
        <f t="shared" si="20"/>
        <v>-311420.71519999951</v>
      </c>
      <c r="AR54" s="70">
        <f t="shared" si="21"/>
        <v>-2.4578212784784708E-2</v>
      </c>
      <c r="AS54" s="36"/>
      <c r="AT54" s="22"/>
      <c r="AV54" s="22"/>
      <c r="AW54" s="22"/>
      <c r="BA54" s="22"/>
      <c r="BB54" s="22"/>
      <c r="BC54" s="22"/>
      <c r="BD54" s="22"/>
      <c r="BE54" s="22"/>
    </row>
    <row r="55" spans="1:57" ht="15" x14ac:dyDescent="0.25">
      <c r="A55" s="8" t="s">
        <v>129</v>
      </c>
      <c r="B55" s="8"/>
      <c r="C55" s="26"/>
      <c r="D55" s="26"/>
      <c r="E55" s="26"/>
      <c r="F55" s="1">
        <v>5</v>
      </c>
      <c r="G55" s="66">
        <v>234.06979728996095</v>
      </c>
      <c r="H55" s="8">
        <v>29</v>
      </c>
      <c r="I55" s="3" t="s">
        <v>161</v>
      </c>
      <c r="J55" s="13">
        <f t="shared" si="2"/>
        <v>0</v>
      </c>
      <c r="K55" s="78">
        <v>183.66</v>
      </c>
      <c r="L55" s="36"/>
      <c r="M55" s="35"/>
      <c r="N55" s="81">
        <v>48</v>
      </c>
      <c r="O55" s="67">
        <f t="shared" si="3"/>
        <v>0.26135249918327347</v>
      </c>
      <c r="P55" s="67">
        <f t="shared" si="4"/>
        <v>0</v>
      </c>
      <c r="Q55" s="36">
        <f t="shared" si="5"/>
        <v>0</v>
      </c>
      <c r="R55" s="36">
        <f t="shared" si="22"/>
        <v>0</v>
      </c>
      <c r="S55" s="79"/>
      <c r="T55" s="37">
        <f t="shared" si="6"/>
        <v>14.4</v>
      </c>
      <c r="U55" s="9">
        <f t="shared" si="7"/>
        <v>198.06</v>
      </c>
      <c r="V55" s="73">
        <v>247924657.33000001</v>
      </c>
      <c r="W55" s="73">
        <v>1430</v>
      </c>
      <c r="X55" s="18">
        <f t="shared" si="8"/>
        <v>173373.89</v>
      </c>
      <c r="Y55" s="38">
        <f t="shared" si="9"/>
        <v>0.94016999999999995</v>
      </c>
      <c r="Z55" s="73">
        <v>81184</v>
      </c>
      <c r="AA55" s="38">
        <f t="shared" si="10"/>
        <v>0.72703899999999999</v>
      </c>
      <c r="AB55" s="38">
        <f t="shared" si="11"/>
        <v>0.123769</v>
      </c>
      <c r="AC55" s="39">
        <f t="shared" si="12"/>
        <v>0.123769</v>
      </c>
      <c r="AD55" s="39">
        <f t="shared" si="25"/>
        <v>0.123769</v>
      </c>
      <c r="AE55" s="80">
        <v>94</v>
      </c>
      <c r="AF55" s="40">
        <v>6</v>
      </c>
      <c r="AG55" s="9">
        <f t="shared" si="14"/>
        <v>46.15</v>
      </c>
      <c r="AH55" s="11">
        <f t="shared" si="15"/>
        <v>4338</v>
      </c>
      <c r="AI55" s="11">
        <f t="shared" si="16"/>
        <v>282520</v>
      </c>
      <c r="AJ55" s="11">
        <f t="shared" si="17"/>
        <v>286858</v>
      </c>
      <c r="AK55" s="36">
        <v>491388</v>
      </c>
      <c r="AL55" s="36">
        <v>444933</v>
      </c>
      <c r="AM55" s="36">
        <f t="shared" si="23"/>
        <v>-204530</v>
      </c>
      <c r="AN55" s="68">
        <f t="shared" si="18"/>
        <v>286858</v>
      </c>
      <c r="AO55" s="68">
        <f t="shared" si="24"/>
        <v>-204530</v>
      </c>
      <c r="AP55" s="69">
        <f t="shared" si="19"/>
        <v>427895.65100000001</v>
      </c>
      <c r="AQ55" s="36">
        <f t="shared" si="20"/>
        <v>-17037.348999999987</v>
      </c>
      <c r="AR55" s="70">
        <f t="shared" si="21"/>
        <v>-3.829194283184207E-2</v>
      </c>
      <c r="AS55" s="36"/>
      <c r="AT55" s="22"/>
      <c r="AV55" s="22"/>
      <c r="AW55" s="22"/>
      <c r="BA55" s="22"/>
      <c r="BB55" s="22"/>
      <c r="BC55" s="22"/>
      <c r="BD55" s="22"/>
      <c r="BE55" s="22"/>
    </row>
    <row r="56" spans="1:57" ht="15" x14ac:dyDescent="0.25">
      <c r="A56" s="8" t="s">
        <v>125</v>
      </c>
      <c r="B56" s="8"/>
      <c r="C56" s="26"/>
      <c r="D56" s="26"/>
      <c r="E56" s="26"/>
      <c r="F56" s="1">
        <v>6</v>
      </c>
      <c r="G56" s="66">
        <v>223.70836667090558</v>
      </c>
      <c r="H56" s="8">
        <v>30</v>
      </c>
      <c r="I56" s="3" t="s">
        <v>162</v>
      </c>
      <c r="J56" s="13">
        <f t="shared" si="2"/>
        <v>0</v>
      </c>
      <c r="K56" s="78">
        <v>651</v>
      </c>
      <c r="L56" s="36"/>
      <c r="M56" s="35"/>
      <c r="N56" s="81">
        <v>133</v>
      </c>
      <c r="O56" s="67">
        <f t="shared" si="3"/>
        <v>0.20430107526881722</v>
      </c>
      <c r="P56" s="67">
        <f t="shared" si="4"/>
        <v>0</v>
      </c>
      <c r="Q56" s="36">
        <f t="shared" si="5"/>
        <v>0</v>
      </c>
      <c r="R56" s="36">
        <f t="shared" si="22"/>
        <v>0</v>
      </c>
      <c r="S56" s="79">
        <v>3</v>
      </c>
      <c r="T56" s="37">
        <f t="shared" si="6"/>
        <v>39.9</v>
      </c>
      <c r="U56" s="9">
        <f t="shared" si="7"/>
        <v>691.35</v>
      </c>
      <c r="V56" s="73">
        <v>708269497.33000004</v>
      </c>
      <c r="W56" s="73">
        <v>5433</v>
      </c>
      <c r="X56" s="18">
        <f t="shared" si="8"/>
        <v>130364.35</v>
      </c>
      <c r="Y56" s="38">
        <f t="shared" si="9"/>
        <v>0.70693799999999996</v>
      </c>
      <c r="Z56" s="73">
        <v>92981</v>
      </c>
      <c r="AA56" s="38">
        <f t="shared" si="10"/>
        <v>0.83268600000000004</v>
      </c>
      <c r="AB56" s="38">
        <f t="shared" si="11"/>
        <v>0.25533800000000001</v>
      </c>
      <c r="AC56" s="39">
        <f t="shared" si="12"/>
        <v>0.25533800000000001</v>
      </c>
      <c r="AD56" s="39">
        <f t="shared" si="25"/>
        <v>0.25533800000000001</v>
      </c>
      <c r="AE56" s="80"/>
      <c r="AF56" s="40">
        <v>0</v>
      </c>
      <c r="AG56" s="9">
        <f t="shared" si="14"/>
        <v>0</v>
      </c>
      <c r="AH56" s="11">
        <f t="shared" si="15"/>
        <v>0</v>
      </c>
      <c r="AI56" s="11">
        <f t="shared" si="16"/>
        <v>2034484</v>
      </c>
      <c r="AJ56" s="11">
        <f t="shared" si="17"/>
        <v>2034484</v>
      </c>
      <c r="AK56" s="36">
        <v>2523462</v>
      </c>
      <c r="AL56" s="36">
        <v>2409369.25</v>
      </c>
      <c r="AM56" s="36">
        <f t="shared" si="23"/>
        <v>-488978</v>
      </c>
      <c r="AN56" s="68">
        <f t="shared" si="18"/>
        <v>2034484</v>
      </c>
      <c r="AO56" s="68">
        <f t="shared" si="24"/>
        <v>-488978</v>
      </c>
      <c r="AP56" s="69">
        <f t="shared" si="19"/>
        <v>2368637.3826000001</v>
      </c>
      <c r="AQ56" s="36">
        <f t="shared" si="20"/>
        <v>-40731.867399999872</v>
      </c>
      <c r="AR56" s="70">
        <f t="shared" si="21"/>
        <v>-1.6905614363593242E-2</v>
      </c>
      <c r="AS56" s="36"/>
      <c r="AT56" s="22"/>
      <c r="AV56" s="22"/>
      <c r="AW56" s="22"/>
      <c r="BA56" s="22"/>
      <c r="BB56" s="22"/>
      <c r="BC56" s="22"/>
      <c r="BD56" s="22"/>
      <c r="BE56" s="22"/>
    </row>
    <row r="57" spans="1:57" ht="15" x14ac:dyDescent="0.25">
      <c r="A57" s="8" t="s">
        <v>125</v>
      </c>
      <c r="B57" s="8"/>
      <c r="C57" s="26"/>
      <c r="D57" s="26"/>
      <c r="E57" s="26"/>
      <c r="F57" s="1">
        <v>1</v>
      </c>
      <c r="G57" s="66">
        <v>162.02532784505624</v>
      </c>
      <c r="H57" s="8">
        <v>31</v>
      </c>
      <c r="I57" s="3" t="s">
        <v>163</v>
      </c>
      <c r="J57" s="13">
        <f t="shared" si="2"/>
        <v>0</v>
      </c>
      <c r="K57" s="78">
        <v>121.76</v>
      </c>
      <c r="L57" s="36"/>
      <c r="M57" s="35"/>
      <c r="N57" s="81">
        <v>23</v>
      </c>
      <c r="O57" s="67">
        <f t="shared" si="3"/>
        <v>0.18889618922470433</v>
      </c>
      <c r="P57" s="67">
        <f t="shared" si="4"/>
        <v>0</v>
      </c>
      <c r="Q57" s="36">
        <f t="shared" si="5"/>
        <v>0</v>
      </c>
      <c r="R57" s="36">
        <f t="shared" si="22"/>
        <v>0</v>
      </c>
      <c r="S57" s="79">
        <v>5</v>
      </c>
      <c r="T57" s="37">
        <f t="shared" si="6"/>
        <v>6.9</v>
      </c>
      <c r="U57" s="9">
        <f t="shared" si="7"/>
        <v>129.41</v>
      </c>
      <c r="V57" s="73">
        <v>526299547</v>
      </c>
      <c r="W57" s="73">
        <v>1380</v>
      </c>
      <c r="X57" s="18">
        <f t="shared" si="8"/>
        <v>381376.48</v>
      </c>
      <c r="Y57" s="38">
        <f t="shared" si="9"/>
        <v>2.0681229999999999</v>
      </c>
      <c r="Z57" s="73">
        <v>74107</v>
      </c>
      <c r="AA57" s="38">
        <f t="shared" si="10"/>
        <v>0.66366099999999995</v>
      </c>
      <c r="AB57" s="38">
        <f t="shared" si="11"/>
        <v>-0.64678400000000003</v>
      </c>
      <c r="AC57" s="39">
        <f t="shared" si="12"/>
        <v>0.01</v>
      </c>
      <c r="AD57" s="39">
        <f t="shared" si="25"/>
        <v>0.01</v>
      </c>
      <c r="AE57" s="80">
        <v>39</v>
      </c>
      <c r="AF57" s="40">
        <v>4</v>
      </c>
      <c r="AG57" s="9">
        <f t="shared" si="14"/>
        <v>30.77</v>
      </c>
      <c r="AH57" s="11">
        <f t="shared" si="15"/>
        <v>1200</v>
      </c>
      <c r="AI57" s="11">
        <f t="shared" si="16"/>
        <v>14915</v>
      </c>
      <c r="AJ57" s="11">
        <f t="shared" si="17"/>
        <v>16115</v>
      </c>
      <c r="AK57" s="36">
        <v>6976</v>
      </c>
      <c r="AL57" s="36">
        <v>7336.7179999999998</v>
      </c>
      <c r="AM57" s="36">
        <f t="shared" si="23"/>
        <v>9139</v>
      </c>
      <c r="AN57" s="68">
        <f t="shared" si="18"/>
        <v>16115</v>
      </c>
      <c r="AO57" s="68">
        <f t="shared" si="24"/>
        <v>9139</v>
      </c>
      <c r="AP57" s="69">
        <f t="shared" si="19"/>
        <v>8310.9354000000003</v>
      </c>
      <c r="AQ57" s="36">
        <f t="shared" si="20"/>
        <v>974.21740000000045</v>
      </c>
      <c r="AR57" s="70">
        <f t="shared" si="21"/>
        <v>0.13278654024865075</v>
      </c>
      <c r="AS57" s="36"/>
      <c r="AT57" s="22"/>
      <c r="AV57" s="22"/>
      <c r="AW57" s="22"/>
      <c r="BA57" s="22"/>
      <c r="BB57" s="22"/>
      <c r="BC57" s="22"/>
      <c r="BD57" s="22"/>
      <c r="BE57" s="22"/>
    </row>
    <row r="58" spans="1:57" ht="15" x14ac:dyDescent="0.25">
      <c r="A58" s="8" t="s">
        <v>129</v>
      </c>
      <c r="B58" s="8"/>
      <c r="C58" s="26"/>
      <c r="D58" s="26"/>
      <c r="E58" s="26"/>
      <c r="F58" s="1">
        <v>7</v>
      </c>
      <c r="G58" s="66">
        <v>231.90035768159922</v>
      </c>
      <c r="H58" s="8">
        <v>32</v>
      </c>
      <c r="I58" s="3" t="s">
        <v>164</v>
      </c>
      <c r="J58" s="13">
        <f t="shared" si="2"/>
        <v>0</v>
      </c>
      <c r="K58" s="78">
        <v>1644.54</v>
      </c>
      <c r="L58" s="36"/>
      <c r="M58" s="35"/>
      <c r="N58" s="81">
        <v>402</v>
      </c>
      <c r="O58" s="67">
        <f t="shared" si="3"/>
        <v>0.24444525520814331</v>
      </c>
      <c r="P58" s="67">
        <f t="shared" si="4"/>
        <v>0</v>
      </c>
      <c r="Q58" s="36">
        <f t="shared" si="5"/>
        <v>0</v>
      </c>
      <c r="R58" s="36">
        <f t="shared" si="22"/>
        <v>0</v>
      </c>
      <c r="S58" s="79">
        <v>11</v>
      </c>
      <c r="T58" s="37">
        <f t="shared" si="6"/>
        <v>120.6</v>
      </c>
      <c r="U58" s="9">
        <f t="shared" si="7"/>
        <v>1766.79</v>
      </c>
      <c r="V58" s="73">
        <v>1403168630.3299999</v>
      </c>
      <c r="W58" s="73">
        <v>12433</v>
      </c>
      <c r="X58" s="18">
        <f t="shared" si="8"/>
        <v>112858.41</v>
      </c>
      <c r="Y58" s="38">
        <f t="shared" si="9"/>
        <v>0.61200699999999997</v>
      </c>
      <c r="Z58" s="73">
        <v>88967</v>
      </c>
      <c r="AA58" s="38">
        <f t="shared" si="10"/>
        <v>0.79673899999999998</v>
      </c>
      <c r="AB58" s="38">
        <f t="shared" si="11"/>
        <v>0.33257300000000001</v>
      </c>
      <c r="AC58" s="39">
        <f t="shared" si="12"/>
        <v>0.33257300000000001</v>
      </c>
      <c r="AD58" s="39">
        <f t="shared" si="25"/>
        <v>0.33257300000000001</v>
      </c>
      <c r="AE58" s="80"/>
      <c r="AF58" s="40">
        <v>0</v>
      </c>
      <c r="AG58" s="9">
        <f t="shared" si="14"/>
        <v>0</v>
      </c>
      <c r="AH58" s="11">
        <f t="shared" si="15"/>
        <v>0</v>
      </c>
      <c r="AI58" s="11">
        <f t="shared" si="16"/>
        <v>6771936</v>
      </c>
      <c r="AJ58" s="11">
        <f t="shared" si="17"/>
        <v>6771936</v>
      </c>
      <c r="AK58" s="36">
        <v>8756165</v>
      </c>
      <c r="AL58" s="36">
        <v>8267801.5</v>
      </c>
      <c r="AM58" s="36">
        <f t="shared" si="23"/>
        <v>-1984229</v>
      </c>
      <c r="AN58" s="68">
        <f t="shared" si="18"/>
        <v>6771936</v>
      </c>
      <c r="AO58" s="68">
        <f t="shared" si="24"/>
        <v>-1984229</v>
      </c>
      <c r="AP58" s="69">
        <f t="shared" si="19"/>
        <v>8102515.2242999999</v>
      </c>
      <c r="AQ58" s="36">
        <f t="shared" si="20"/>
        <v>-165286.27570000011</v>
      </c>
      <c r="AR58" s="70">
        <f t="shared" si="21"/>
        <v>-1.9991563138036166E-2</v>
      </c>
      <c r="AS58" s="36"/>
      <c r="AT58" s="22"/>
      <c r="AV58" s="22"/>
      <c r="AW58" s="22"/>
      <c r="BA58" s="22"/>
      <c r="BB58" s="22"/>
      <c r="BC58" s="22"/>
      <c r="BD58" s="22"/>
      <c r="BE58" s="22"/>
    </row>
    <row r="59" spans="1:57" ht="15" x14ac:dyDescent="0.25">
      <c r="A59" s="8" t="s">
        <v>135</v>
      </c>
      <c r="B59" s="8"/>
      <c r="C59" s="26"/>
      <c r="D59" s="26"/>
      <c r="E59" s="26"/>
      <c r="F59" s="1">
        <v>6</v>
      </c>
      <c r="G59" s="66">
        <v>236.73416368599047</v>
      </c>
      <c r="H59" s="8">
        <v>33</v>
      </c>
      <c r="I59" s="3" t="s">
        <v>165</v>
      </c>
      <c r="J59" s="13">
        <f t="shared" si="2"/>
        <v>0</v>
      </c>
      <c r="K59" s="78">
        <v>1989.01</v>
      </c>
      <c r="L59" s="36"/>
      <c r="M59" s="35"/>
      <c r="N59" s="81">
        <v>398</v>
      </c>
      <c r="O59" s="67">
        <f t="shared" si="3"/>
        <v>0.20009954701082447</v>
      </c>
      <c r="P59" s="67">
        <f t="shared" si="4"/>
        <v>0</v>
      </c>
      <c r="Q59" s="36">
        <f t="shared" si="5"/>
        <v>0</v>
      </c>
      <c r="R59" s="36">
        <f t="shared" si="22"/>
        <v>0</v>
      </c>
      <c r="S59" s="79">
        <v>79</v>
      </c>
      <c r="T59" s="37">
        <f t="shared" ref="T59:T90" si="26">ROUND(N59*$T$2,2)</f>
        <v>119.4</v>
      </c>
      <c r="U59" s="9">
        <f t="shared" ref="U59:U90" si="27">K59+T59+0.15*S59+0.05*Q59</f>
        <v>2120.2599999999998</v>
      </c>
      <c r="V59" s="73">
        <v>1959223033.6700001</v>
      </c>
      <c r="W59" s="73">
        <v>13960</v>
      </c>
      <c r="X59" s="18">
        <f t="shared" si="8"/>
        <v>140345.49</v>
      </c>
      <c r="Y59" s="38">
        <f t="shared" si="9"/>
        <v>0.76106399999999996</v>
      </c>
      <c r="Z59" s="73">
        <v>83739</v>
      </c>
      <c r="AA59" s="38">
        <f t="shared" si="10"/>
        <v>0.74992000000000003</v>
      </c>
      <c r="AB59" s="38">
        <f t="shared" si="11"/>
        <v>0.24227899999999999</v>
      </c>
      <c r="AC59" s="39">
        <f t="shared" ref="AC59:AC90" si="28">IF(C59=1,MAX($T$7,AB59),MAX($T$6,AB59))</f>
        <v>0.24227899999999999</v>
      </c>
      <c r="AD59" s="39">
        <f t="shared" si="25"/>
        <v>0.24227899999999999</v>
      </c>
      <c r="AE59" s="80"/>
      <c r="AF59" s="40">
        <v>0</v>
      </c>
      <c r="AG59" s="9">
        <f t="shared" si="14"/>
        <v>0</v>
      </c>
      <c r="AH59" s="11">
        <f t="shared" si="15"/>
        <v>0</v>
      </c>
      <c r="AI59" s="11">
        <f t="shared" si="16"/>
        <v>5920329</v>
      </c>
      <c r="AJ59" s="11">
        <f t="shared" si="17"/>
        <v>5920329</v>
      </c>
      <c r="AK59" s="36">
        <v>4646922</v>
      </c>
      <c r="AL59" s="36">
        <v>4700115.6459999997</v>
      </c>
      <c r="AM59" s="36">
        <f t="shared" si="23"/>
        <v>1273407</v>
      </c>
      <c r="AN59" s="68">
        <f t="shared" ref="AN59:AN90" si="29">IF(AND(C59=1,AL59&gt;AJ59),AL59,AJ59)</f>
        <v>5920329</v>
      </c>
      <c r="AO59" s="68">
        <f t="shared" si="24"/>
        <v>1273407</v>
      </c>
      <c r="AP59" s="69">
        <f t="shared" si="19"/>
        <v>4835860.8322000001</v>
      </c>
      <c r="AQ59" s="36">
        <f t="shared" si="20"/>
        <v>135745.18620000035</v>
      </c>
      <c r="AR59" s="70">
        <f t="shared" si="21"/>
        <v>2.8881243872270531E-2</v>
      </c>
      <c r="AS59" s="36"/>
      <c r="AT59" s="22"/>
      <c r="AV59" s="22"/>
      <c r="AW59" s="22"/>
      <c r="BA59" s="22"/>
      <c r="BB59" s="22"/>
      <c r="BC59" s="22"/>
      <c r="BD59" s="22"/>
      <c r="BE59" s="22"/>
    </row>
    <row r="60" spans="1:57" ht="15" x14ac:dyDescent="0.25">
      <c r="A60" s="8" t="s">
        <v>127</v>
      </c>
      <c r="B60" s="8">
        <v>1</v>
      </c>
      <c r="C60" s="26">
        <v>1</v>
      </c>
      <c r="D60" s="26">
        <v>1</v>
      </c>
      <c r="E60" s="26"/>
      <c r="F60" s="1">
        <v>8</v>
      </c>
      <c r="G60" s="66">
        <v>237.67990718366971</v>
      </c>
      <c r="H60" s="8">
        <v>34</v>
      </c>
      <c r="I60" s="3" t="s">
        <v>166</v>
      </c>
      <c r="J60" s="13">
        <f t="shared" si="2"/>
        <v>0</v>
      </c>
      <c r="K60" s="78">
        <v>11319.93</v>
      </c>
      <c r="L60" s="36"/>
      <c r="M60" s="35"/>
      <c r="N60" s="81">
        <v>7570</v>
      </c>
      <c r="O60" s="67">
        <f t="shared" si="3"/>
        <v>0.6687320504632096</v>
      </c>
      <c r="P60" s="67">
        <f t="shared" si="4"/>
        <v>0</v>
      </c>
      <c r="Q60" s="36">
        <f t="shared" si="5"/>
        <v>0</v>
      </c>
      <c r="R60" s="36">
        <f t="shared" si="22"/>
        <v>0</v>
      </c>
      <c r="S60" s="79">
        <v>3015</v>
      </c>
      <c r="T60" s="37">
        <f t="shared" si="26"/>
        <v>2271</v>
      </c>
      <c r="U60" s="9">
        <f t="shared" si="27"/>
        <v>14043.18</v>
      </c>
      <c r="V60" s="73">
        <v>10471037117.33</v>
      </c>
      <c r="W60" s="73">
        <v>84992</v>
      </c>
      <c r="X60" s="18">
        <f t="shared" si="8"/>
        <v>123200.27</v>
      </c>
      <c r="Y60" s="38">
        <f t="shared" si="9"/>
        <v>0.66808900000000004</v>
      </c>
      <c r="Z60" s="73">
        <v>67430</v>
      </c>
      <c r="AA60" s="38">
        <f t="shared" si="10"/>
        <v>0.60386600000000001</v>
      </c>
      <c r="AB60" s="38">
        <f t="shared" si="11"/>
        <v>0.35117799999999999</v>
      </c>
      <c r="AC60" s="39">
        <f t="shared" si="28"/>
        <v>0.35117799999999999</v>
      </c>
      <c r="AD60" s="39">
        <f t="shared" si="25"/>
        <v>0.35117799999999999</v>
      </c>
      <c r="AE60" s="80"/>
      <c r="AF60" s="40">
        <v>0</v>
      </c>
      <c r="AG60" s="9">
        <f t="shared" si="14"/>
        <v>0</v>
      </c>
      <c r="AH60" s="11">
        <f t="shared" si="15"/>
        <v>0</v>
      </c>
      <c r="AI60" s="11">
        <f t="shared" si="16"/>
        <v>56837334</v>
      </c>
      <c r="AJ60" s="11">
        <f t="shared" si="17"/>
        <v>56837334</v>
      </c>
      <c r="AK60" s="36">
        <v>31290480</v>
      </c>
      <c r="AL60" s="36">
        <v>32292215.862</v>
      </c>
      <c r="AM60" s="36">
        <f t="shared" si="23"/>
        <v>25546854</v>
      </c>
      <c r="AN60" s="68">
        <f t="shared" si="29"/>
        <v>56837334</v>
      </c>
      <c r="AO60" s="68">
        <f t="shared" si="24"/>
        <v>25546854</v>
      </c>
      <c r="AP60" s="69">
        <f t="shared" si="19"/>
        <v>35015510.498400003</v>
      </c>
      <c r="AQ60" s="36">
        <f t="shared" si="20"/>
        <v>2723294.636400003</v>
      </c>
      <c r="AR60" s="70">
        <f t="shared" si="21"/>
        <v>8.4332851236902928E-2</v>
      </c>
      <c r="AS60" s="36"/>
      <c r="AT60" s="22"/>
      <c r="AV60" s="22"/>
      <c r="AW60" s="22"/>
      <c r="BA60" s="22"/>
      <c r="BB60" s="22"/>
      <c r="BC60" s="22"/>
      <c r="BD60" s="22"/>
      <c r="BE60" s="22"/>
    </row>
    <row r="61" spans="1:57" ht="15" x14ac:dyDescent="0.25">
      <c r="A61" s="8" t="s">
        <v>167</v>
      </c>
      <c r="B61" s="8"/>
      <c r="C61" s="26"/>
      <c r="D61" s="26"/>
      <c r="E61" s="26"/>
      <c r="F61" s="1">
        <v>1</v>
      </c>
      <c r="G61" s="66">
        <v>43.497329873300906</v>
      </c>
      <c r="H61" s="8">
        <v>35</v>
      </c>
      <c r="I61" s="3" t="s">
        <v>168</v>
      </c>
      <c r="J61" s="13">
        <f t="shared" si="2"/>
        <v>0</v>
      </c>
      <c r="K61" s="78">
        <v>4717.5600000000004</v>
      </c>
      <c r="L61" s="36"/>
      <c r="M61" s="35"/>
      <c r="N61" s="81">
        <v>115</v>
      </c>
      <c r="O61" s="67">
        <f t="shared" si="3"/>
        <v>2.4377008453522583E-2</v>
      </c>
      <c r="P61" s="67">
        <f t="shared" si="4"/>
        <v>0</v>
      </c>
      <c r="Q61" s="36">
        <f t="shared" si="5"/>
        <v>0</v>
      </c>
      <c r="R61" s="36">
        <f t="shared" si="22"/>
        <v>0</v>
      </c>
      <c r="S61" s="79">
        <v>47</v>
      </c>
      <c r="T61" s="37">
        <f t="shared" si="26"/>
        <v>34.5</v>
      </c>
      <c r="U61" s="9">
        <f t="shared" si="27"/>
        <v>4759.1100000000006</v>
      </c>
      <c r="V61" s="73">
        <v>13446371250.67</v>
      </c>
      <c r="W61" s="73">
        <v>21744</v>
      </c>
      <c r="X61" s="18">
        <f t="shared" si="8"/>
        <v>618394.56000000006</v>
      </c>
      <c r="Y61" s="38">
        <f t="shared" si="9"/>
        <v>3.3534220000000001</v>
      </c>
      <c r="Z61" s="73">
        <v>208125</v>
      </c>
      <c r="AA61" s="38">
        <f t="shared" si="10"/>
        <v>1.8638520000000001</v>
      </c>
      <c r="AB61" s="38">
        <f t="shared" si="11"/>
        <v>-1.9065510000000001</v>
      </c>
      <c r="AC61" s="39">
        <f t="shared" si="28"/>
        <v>0.01</v>
      </c>
      <c r="AD61" s="39">
        <f t="shared" si="25"/>
        <v>0.01</v>
      </c>
      <c r="AE61" s="80"/>
      <c r="AF61" s="40">
        <v>0</v>
      </c>
      <c r="AG61" s="9">
        <f t="shared" si="14"/>
        <v>0</v>
      </c>
      <c r="AH61" s="11">
        <f t="shared" si="15"/>
        <v>0</v>
      </c>
      <c r="AI61" s="11">
        <f t="shared" si="16"/>
        <v>548487</v>
      </c>
      <c r="AJ61" s="11">
        <f t="shared" si="17"/>
        <v>548487</v>
      </c>
      <c r="AK61" s="36">
        <v>406683</v>
      </c>
      <c r="AL61" s="36">
        <v>412764.98100000003</v>
      </c>
      <c r="AM61" s="36">
        <f t="shared" si="23"/>
        <v>141804</v>
      </c>
      <c r="AN61" s="68">
        <f t="shared" si="29"/>
        <v>548487</v>
      </c>
      <c r="AO61" s="68">
        <f t="shared" si="24"/>
        <v>141804</v>
      </c>
      <c r="AP61" s="69">
        <f t="shared" si="19"/>
        <v>427881.28740000003</v>
      </c>
      <c r="AQ61" s="36">
        <f t="shared" si="20"/>
        <v>15116.306400000001</v>
      </c>
      <c r="AR61" s="70">
        <f t="shared" si="21"/>
        <v>3.6622066056519464E-2</v>
      </c>
      <c r="AS61" s="36"/>
      <c r="AT61" s="22"/>
      <c r="AV61" s="22"/>
      <c r="AW61" s="22"/>
      <c r="BA61" s="22"/>
      <c r="BB61" s="22"/>
      <c r="BC61" s="22"/>
      <c r="BD61" s="22"/>
      <c r="BE61" s="22"/>
    </row>
    <row r="62" spans="1:57" ht="15" x14ac:dyDescent="0.25">
      <c r="A62" s="8" t="s">
        <v>129</v>
      </c>
      <c r="B62" s="8"/>
      <c r="C62" s="26"/>
      <c r="D62" s="26"/>
      <c r="E62" s="26"/>
      <c r="F62" s="1">
        <v>6</v>
      </c>
      <c r="G62" s="66">
        <v>218.4993960900926</v>
      </c>
      <c r="H62" s="8">
        <v>36</v>
      </c>
      <c r="I62" s="3" t="s">
        <v>169</v>
      </c>
      <c r="J62" s="13">
        <f t="shared" si="2"/>
        <v>0</v>
      </c>
      <c r="K62" s="78">
        <v>589.29</v>
      </c>
      <c r="L62" s="36"/>
      <c r="M62" s="35"/>
      <c r="N62" s="81">
        <v>205</v>
      </c>
      <c r="O62" s="67">
        <f t="shared" si="3"/>
        <v>0.34787625786963977</v>
      </c>
      <c r="P62" s="67">
        <f t="shared" si="4"/>
        <v>0</v>
      </c>
      <c r="Q62" s="36">
        <f t="shared" si="5"/>
        <v>0</v>
      </c>
      <c r="R62" s="36">
        <f t="shared" si="22"/>
        <v>0</v>
      </c>
      <c r="S62" s="79">
        <v>11</v>
      </c>
      <c r="T62" s="37">
        <f t="shared" si="26"/>
        <v>61.5</v>
      </c>
      <c r="U62" s="9">
        <f t="shared" si="27"/>
        <v>652.43999999999994</v>
      </c>
      <c r="V62" s="73">
        <v>705323200.66999996</v>
      </c>
      <c r="W62" s="73">
        <v>4482</v>
      </c>
      <c r="X62" s="18">
        <f t="shared" si="8"/>
        <v>157367.96</v>
      </c>
      <c r="Y62" s="38">
        <f t="shared" si="9"/>
        <v>0.85337300000000005</v>
      </c>
      <c r="Z62" s="73">
        <v>69861</v>
      </c>
      <c r="AA62" s="38">
        <f t="shared" si="10"/>
        <v>0.62563599999999997</v>
      </c>
      <c r="AB62" s="38">
        <f t="shared" si="11"/>
        <v>0.214948</v>
      </c>
      <c r="AC62" s="39">
        <f t="shared" si="28"/>
        <v>0.214948</v>
      </c>
      <c r="AD62" s="39">
        <f t="shared" si="25"/>
        <v>0.214948</v>
      </c>
      <c r="AE62" s="80">
        <v>329</v>
      </c>
      <c r="AF62" s="40">
        <v>6</v>
      </c>
      <c r="AG62" s="9">
        <f t="shared" si="14"/>
        <v>46.15</v>
      </c>
      <c r="AH62" s="11">
        <f t="shared" si="15"/>
        <v>15183</v>
      </c>
      <c r="AI62" s="11">
        <f t="shared" si="16"/>
        <v>1616274</v>
      </c>
      <c r="AJ62" s="11">
        <f t="shared" si="17"/>
        <v>1631457</v>
      </c>
      <c r="AK62" s="36">
        <v>1675092</v>
      </c>
      <c r="AL62" s="36">
        <v>1670329.75</v>
      </c>
      <c r="AM62" s="36">
        <f t="shared" si="23"/>
        <v>-43635</v>
      </c>
      <c r="AN62" s="68">
        <f t="shared" si="29"/>
        <v>1631457</v>
      </c>
      <c r="AO62" s="68">
        <f t="shared" si="24"/>
        <v>-43635</v>
      </c>
      <c r="AP62" s="69">
        <f t="shared" si="19"/>
        <v>1666694.9545</v>
      </c>
      <c r="AQ62" s="36">
        <f t="shared" si="20"/>
        <v>-3634.7955000000075</v>
      </c>
      <c r="AR62" s="70">
        <f t="shared" si="21"/>
        <v>-2.1760945705481252E-3</v>
      </c>
      <c r="AS62" s="36"/>
      <c r="AT62" s="22"/>
      <c r="AV62" s="22"/>
      <c r="AW62" s="22"/>
      <c r="BA62" s="22"/>
      <c r="BB62" s="22"/>
      <c r="BC62" s="22"/>
      <c r="BD62" s="22"/>
      <c r="BE62" s="22"/>
    </row>
    <row r="63" spans="1:57" ht="15" x14ac:dyDescent="0.25">
      <c r="A63" s="8" t="s">
        <v>127</v>
      </c>
      <c r="B63" s="26">
        <v>1</v>
      </c>
      <c r="C63" s="26">
        <v>1</v>
      </c>
      <c r="D63" s="26">
        <v>1</v>
      </c>
      <c r="E63" s="26"/>
      <c r="F63" s="1">
        <v>10</v>
      </c>
      <c r="G63" s="71">
        <v>324.41077457002945</v>
      </c>
      <c r="H63" s="8">
        <v>37</v>
      </c>
      <c r="I63" s="3" t="s">
        <v>170</v>
      </c>
      <c r="J63" s="13">
        <f t="shared" si="2"/>
        <v>0</v>
      </c>
      <c r="K63" s="78">
        <v>1435.06</v>
      </c>
      <c r="L63" s="36"/>
      <c r="M63" s="35"/>
      <c r="N63" s="81">
        <v>998</v>
      </c>
      <c r="O63" s="67">
        <f t="shared" si="3"/>
        <v>0.69544130559001016</v>
      </c>
      <c r="P63" s="67">
        <f t="shared" si="4"/>
        <v>0</v>
      </c>
      <c r="Q63" s="36">
        <f t="shared" si="5"/>
        <v>0</v>
      </c>
      <c r="R63" s="36">
        <f t="shared" si="22"/>
        <v>0</v>
      </c>
      <c r="S63" s="79">
        <v>43</v>
      </c>
      <c r="T63" s="37">
        <f t="shared" si="26"/>
        <v>299.39999999999998</v>
      </c>
      <c r="U63" s="9">
        <f t="shared" si="27"/>
        <v>1740.91</v>
      </c>
      <c r="V63" s="73">
        <v>1010163702</v>
      </c>
      <c r="W63" s="73">
        <v>12631</v>
      </c>
      <c r="X63" s="18">
        <f t="shared" si="8"/>
        <v>79974.960000000006</v>
      </c>
      <c r="Y63" s="38">
        <f t="shared" si="9"/>
        <v>0.43368699999999999</v>
      </c>
      <c r="Z63" s="73">
        <v>55316</v>
      </c>
      <c r="AA63" s="38">
        <f t="shared" si="10"/>
        <v>0.49537900000000001</v>
      </c>
      <c r="AB63" s="38">
        <f t="shared" si="11"/>
        <v>0.54780499999999999</v>
      </c>
      <c r="AC63" s="39">
        <f t="shared" si="28"/>
        <v>0.54780499999999999</v>
      </c>
      <c r="AD63" s="39">
        <f>IF(G63&gt;300,+AC63+$AD$18,AC63)</f>
        <v>0.58780500000000002</v>
      </c>
      <c r="AE63" s="80"/>
      <c r="AF63" s="40">
        <v>0</v>
      </c>
      <c r="AG63" s="9">
        <f t="shared" si="14"/>
        <v>0</v>
      </c>
      <c r="AH63" s="11">
        <f t="shared" si="15"/>
        <v>0</v>
      </c>
      <c r="AI63" s="11">
        <f t="shared" si="16"/>
        <v>11793712</v>
      </c>
      <c r="AJ63" s="11">
        <f t="shared" si="17"/>
        <v>11793712</v>
      </c>
      <c r="AK63" s="36">
        <v>7902388</v>
      </c>
      <c r="AL63" s="36">
        <v>8084161.0489999996</v>
      </c>
      <c r="AM63" s="36">
        <f t="shared" si="23"/>
        <v>3891324</v>
      </c>
      <c r="AN63" s="68">
        <f t="shared" si="29"/>
        <v>11793712</v>
      </c>
      <c r="AO63" s="68">
        <f t="shared" si="24"/>
        <v>3891324</v>
      </c>
      <c r="AP63" s="69">
        <f t="shared" si="19"/>
        <v>8498976.1874000002</v>
      </c>
      <c r="AQ63" s="36">
        <f t="shared" si="20"/>
        <v>414815.13840000052</v>
      </c>
      <c r="AR63" s="70">
        <f t="shared" si="21"/>
        <v>5.1312082464180078E-2</v>
      </c>
      <c r="AS63" s="36"/>
      <c r="AT63" s="22"/>
      <c r="AV63" s="22"/>
      <c r="AW63" s="22"/>
      <c r="BA63" s="22"/>
      <c r="BB63" s="22"/>
      <c r="BC63" s="22"/>
      <c r="BD63" s="22"/>
      <c r="BE63" s="22"/>
    </row>
    <row r="64" spans="1:57" ht="15" x14ac:dyDescent="0.25">
      <c r="A64" s="8" t="s">
        <v>125</v>
      </c>
      <c r="B64" s="8"/>
      <c r="C64" s="26"/>
      <c r="D64" s="26"/>
      <c r="E64" s="26"/>
      <c r="F64" s="1">
        <v>3</v>
      </c>
      <c r="G64" s="66">
        <v>214.99371712788474</v>
      </c>
      <c r="H64" s="8">
        <v>38</v>
      </c>
      <c r="I64" s="3" t="s">
        <v>171</v>
      </c>
      <c r="J64" s="13">
        <f t="shared" si="2"/>
        <v>0</v>
      </c>
      <c r="K64" s="78">
        <v>1080.51</v>
      </c>
      <c r="L64" s="36"/>
      <c r="M64" s="35"/>
      <c r="N64" s="81">
        <v>155</v>
      </c>
      <c r="O64" s="67">
        <f t="shared" si="3"/>
        <v>0.14345077787341162</v>
      </c>
      <c r="P64" s="67">
        <f t="shared" si="4"/>
        <v>0</v>
      </c>
      <c r="Q64" s="36">
        <f t="shared" si="5"/>
        <v>0</v>
      </c>
      <c r="R64" s="36">
        <f t="shared" si="22"/>
        <v>0</v>
      </c>
      <c r="S64" s="79">
        <v>7</v>
      </c>
      <c r="T64" s="37">
        <f t="shared" si="26"/>
        <v>46.5</v>
      </c>
      <c r="U64" s="9">
        <f t="shared" si="27"/>
        <v>1128.06</v>
      </c>
      <c r="V64" s="73">
        <v>1022681735.33</v>
      </c>
      <c r="W64" s="73">
        <v>7255</v>
      </c>
      <c r="X64" s="18">
        <f t="shared" si="8"/>
        <v>140962.32999999999</v>
      </c>
      <c r="Y64" s="38">
        <f t="shared" si="9"/>
        <v>0.76440900000000001</v>
      </c>
      <c r="Z64" s="73">
        <v>114491</v>
      </c>
      <c r="AA64" s="38">
        <f t="shared" si="10"/>
        <v>1.025318</v>
      </c>
      <c r="AB64" s="38">
        <f t="shared" si="11"/>
        <v>0.15731800000000001</v>
      </c>
      <c r="AC64" s="39">
        <f t="shared" si="28"/>
        <v>0.15731800000000001</v>
      </c>
      <c r="AD64" s="39">
        <f t="shared" ref="AD64:AD89" si="30">IF(G64&gt;300,+AC64+$AD$17,AC64)</f>
        <v>0.15731800000000001</v>
      </c>
      <c r="AE64" s="80">
        <v>1085</v>
      </c>
      <c r="AF64" s="40">
        <v>13</v>
      </c>
      <c r="AG64" s="9">
        <f t="shared" si="14"/>
        <v>100</v>
      </c>
      <c r="AH64" s="11">
        <f t="shared" si="15"/>
        <v>108500</v>
      </c>
      <c r="AI64" s="11">
        <f t="shared" si="16"/>
        <v>2045274</v>
      </c>
      <c r="AJ64" s="11">
        <f t="shared" si="17"/>
        <v>2153774</v>
      </c>
      <c r="AK64" s="36">
        <v>3895303</v>
      </c>
      <c r="AL64" s="36">
        <v>3457206.25</v>
      </c>
      <c r="AM64" s="36">
        <f t="shared" si="23"/>
        <v>-1741529</v>
      </c>
      <c r="AN64" s="68">
        <f t="shared" si="29"/>
        <v>2153774</v>
      </c>
      <c r="AO64" s="68">
        <f t="shared" si="24"/>
        <v>-1741529</v>
      </c>
      <c r="AP64" s="69">
        <f t="shared" si="19"/>
        <v>3312136.8843</v>
      </c>
      <c r="AQ64" s="36">
        <f t="shared" si="20"/>
        <v>-145069.36569999997</v>
      </c>
      <c r="AR64" s="70">
        <f t="shared" si="21"/>
        <v>-4.1961443781376929E-2</v>
      </c>
      <c r="AS64" s="36"/>
      <c r="AT64" s="22"/>
      <c r="AV64" s="22"/>
      <c r="AW64" s="22"/>
      <c r="BA64" s="22"/>
      <c r="BB64" s="22"/>
      <c r="BC64" s="22"/>
      <c r="BD64" s="22"/>
      <c r="BE64" s="22"/>
    </row>
    <row r="65" spans="1:57" ht="15" x14ac:dyDescent="0.25">
      <c r="A65" s="8" t="s">
        <v>129</v>
      </c>
      <c r="B65" s="8"/>
      <c r="C65" s="26"/>
      <c r="D65" s="26"/>
      <c r="E65" s="26"/>
      <c r="F65" s="1">
        <v>7</v>
      </c>
      <c r="G65" s="66">
        <v>201.25352740556082</v>
      </c>
      <c r="H65" s="8">
        <v>39</v>
      </c>
      <c r="I65" s="3" t="s">
        <v>172</v>
      </c>
      <c r="J65" s="13">
        <f t="shared" si="2"/>
        <v>0</v>
      </c>
      <c r="K65" s="78">
        <v>199.01</v>
      </c>
      <c r="L65" s="36"/>
      <c r="M65" s="35"/>
      <c r="N65" s="81">
        <v>49</v>
      </c>
      <c r="O65" s="67">
        <f t="shared" si="3"/>
        <v>0.24621878297572988</v>
      </c>
      <c r="P65" s="67">
        <f t="shared" si="4"/>
        <v>0</v>
      </c>
      <c r="Q65" s="36">
        <f t="shared" si="5"/>
        <v>0</v>
      </c>
      <c r="R65" s="36">
        <f t="shared" si="22"/>
        <v>0</v>
      </c>
      <c r="S65" s="79"/>
      <c r="T65" s="37">
        <f t="shared" si="26"/>
        <v>14.7</v>
      </c>
      <c r="U65" s="9">
        <f t="shared" si="27"/>
        <v>213.70999999999998</v>
      </c>
      <c r="V65" s="73">
        <v>213650131</v>
      </c>
      <c r="W65" s="73">
        <v>1750</v>
      </c>
      <c r="X65" s="18">
        <f t="shared" si="8"/>
        <v>122085.79</v>
      </c>
      <c r="Y65" s="38">
        <f t="shared" si="9"/>
        <v>0.66204499999999999</v>
      </c>
      <c r="Z65" s="73">
        <v>78309</v>
      </c>
      <c r="AA65" s="38">
        <f t="shared" si="10"/>
        <v>0.70129200000000003</v>
      </c>
      <c r="AB65" s="38">
        <f t="shared" si="11"/>
        <v>0.326181</v>
      </c>
      <c r="AC65" s="39">
        <f t="shared" si="28"/>
        <v>0.326181</v>
      </c>
      <c r="AD65" s="39">
        <f t="shared" si="30"/>
        <v>0.326181</v>
      </c>
      <c r="AE65" s="80"/>
      <c r="AF65" s="40">
        <v>0</v>
      </c>
      <c r="AG65" s="9">
        <f t="shared" si="14"/>
        <v>0</v>
      </c>
      <c r="AH65" s="11">
        <f t="shared" si="15"/>
        <v>0</v>
      </c>
      <c r="AI65" s="11">
        <f t="shared" si="16"/>
        <v>803386</v>
      </c>
      <c r="AJ65" s="11">
        <f t="shared" si="17"/>
        <v>803386</v>
      </c>
      <c r="AK65" s="36">
        <v>1091881</v>
      </c>
      <c r="AL65" s="36">
        <v>1003971.25</v>
      </c>
      <c r="AM65" s="36">
        <f t="shared" si="23"/>
        <v>-288495</v>
      </c>
      <c r="AN65" s="68">
        <f t="shared" si="29"/>
        <v>803386</v>
      </c>
      <c r="AO65" s="68">
        <f t="shared" si="24"/>
        <v>-288495</v>
      </c>
      <c r="AP65" s="69">
        <f t="shared" si="19"/>
        <v>979939.6165</v>
      </c>
      <c r="AQ65" s="36">
        <f t="shared" si="20"/>
        <v>-24031.633499999996</v>
      </c>
      <c r="AR65" s="70">
        <f t="shared" si="21"/>
        <v>-2.393657537504186E-2</v>
      </c>
      <c r="AS65" s="36"/>
      <c r="AT65" s="22"/>
      <c r="AV65" s="22"/>
      <c r="AW65" s="22"/>
      <c r="BA65" s="22"/>
      <c r="BB65" s="22"/>
      <c r="BC65" s="22"/>
      <c r="BD65" s="22"/>
      <c r="BE65" s="22"/>
    </row>
    <row r="66" spans="1:57" ht="15" x14ac:dyDescent="0.25">
      <c r="A66" s="8" t="s">
        <v>135</v>
      </c>
      <c r="B66" s="8"/>
      <c r="C66" s="26"/>
      <c r="D66" s="26"/>
      <c r="E66" s="26"/>
      <c r="F66" s="1">
        <v>5</v>
      </c>
      <c r="G66" s="66">
        <v>221.15056721569704</v>
      </c>
      <c r="H66" s="8">
        <v>40</v>
      </c>
      <c r="I66" s="3" t="s">
        <v>173</v>
      </c>
      <c r="J66" s="13">
        <f t="shared" si="2"/>
        <v>0</v>
      </c>
      <c r="K66" s="78">
        <v>880.48</v>
      </c>
      <c r="L66" s="36"/>
      <c r="M66" s="35"/>
      <c r="N66" s="81">
        <v>118</v>
      </c>
      <c r="O66" s="67">
        <f t="shared" si="3"/>
        <v>0.13401780846810829</v>
      </c>
      <c r="P66" s="67">
        <f t="shared" si="4"/>
        <v>0</v>
      </c>
      <c r="Q66" s="36">
        <f t="shared" si="5"/>
        <v>0</v>
      </c>
      <c r="R66" s="36">
        <f t="shared" si="22"/>
        <v>0</v>
      </c>
      <c r="S66" s="79">
        <v>10</v>
      </c>
      <c r="T66" s="37">
        <f t="shared" si="26"/>
        <v>35.4</v>
      </c>
      <c r="U66" s="9">
        <f t="shared" si="27"/>
        <v>917.38</v>
      </c>
      <c r="V66" s="73">
        <v>869831748.66999996</v>
      </c>
      <c r="W66" s="73">
        <v>5170</v>
      </c>
      <c r="X66" s="18">
        <f t="shared" si="8"/>
        <v>168245.99</v>
      </c>
      <c r="Y66" s="38">
        <f t="shared" si="9"/>
        <v>0.91236200000000001</v>
      </c>
      <c r="Z66" s="73">
        <v>88559</v>
      </c>
      <c r="AA66" s="38">
        <f t="shared" si="10"/>
        <v>0.79308500000000004</v>
      </c>
      <c r="AB66" s="38">
        <f t="shared" si="11"/>
        <v>0.123421</v>
      </c>
      <c r="AC66" s="39">
        <f t="shared" si="28"/>
        <v>0.123421</v>
      </c>
      <c r="AD66" s="39">
        <f t="shared" si="30"/>
        <v>0.123421</v>
      </c>
      <c r="AE66" s="80"/>
      <c r="AF66" s="40">
        <v>0</v>
      </c>
      <c r="AG66" s="9">
        <f t="shared" si="14"/>
        <v>0</v>
      </c>
      <c r="AH66" s="11">
        <f t="shared" si="15"/>
        <v>0</v>
      </c>
      <c r="AI66" s="11">
        <f t="shared" si="16"/>
        <v>1304906</v>
      </c>
      <c r="AJ66" s="11">
        <f t="shared" si="17"/>
        <v>1304906</v>
      </c>
      <c r="AK66" s="36">
        <v>1439845</v>
      </c>
      <c r="AL66" s="36">
        <v>1450524.2290000001</v>
      </c>
      <c r="AM66" s="36">
        <f t="shared" si="23"/>
        <v>-134939</v>
      </c>
      <c r="AN66" s="68">
        <f t="shared" si="29"/>
        <v>1304906</v>
      </c>
      <c r="AO66" s="68">
        <f t="shared" si="24"/>
        <v>-134939</v>
      </c>
      <c r="AP66" s="69">
        <f t="shared" si="19"/>
        <v>1439283.8103</v>
      </c>
      <c r="AQ66" s="36">
        <f t="shared" si="20"/>
        <v>-11240.418700000038</v>
      </c>
      <c r="AR66" s="70">
        <f t="shared" si="21"/>
        <v>-7.7492112680870211E-3</v>
      </c>
      <c r="AS66" s="36"/>
      <c r="AT66" s="22"/>
      <c r="AV66" s="22"/>
      <c r="AW66" s="22"/>
      <c r="BA66" s="22"/>
      <c r="BB66" s="22"/>
      <c r="BC66" s="22"/>
      <c r="BD66" s="22"/>
      <c r="BE66" s="22"/>
    </row>
    <row r="67" spans="1:57" ht="15" x14ac:dyDescent="0.25">
      <c r="A67" s="8" t="s">
        <v>129</v>
      </c>
      <c r="B67" s="8"/>
      <c r="C67" s="26"/>
      <c r="D67" s="26"/>
      <c r="E67" s="26"/>
      <c r="F67" s="1">
        <v>5</v>
      </c>
      <c r="G67" s="66">
        <v>228.95836984509722</v>
      </c>
      <c r="H67" s="8">
        <v>41</v>
      </c>
      <c r="I67" s="3" t="s">
        <v>174</v>
      </c>
      <c r="J67" s="13">
        <f t="shared" si="2"/>
        <v>0</v>
      </c>
      <c r="K67" s="78">
        <v>1036.1600000000001</v>
      </c>
      <c r="L67" s="36"/>
      <c r="M67" s="35"/>
      <c r="N67" s="81">
        <v>275</v>
      </c>
      <c r="O67" s="67">
        <f t="shared" si="3"/>
        <v>0.26540302655960468</v>
      </c>
      <c r="P67" s="67">
        <f t="shared" si="4"/>
        <v>0</v>
      </c>
      <c r="Q67" s="36">
        <f t="shared" si="5"/>
        <v>0</v>
      </c>
      <c r="R67" s="36">
        <f t="shared" si="22"/>
        <v>0</v>
      </c>
      <c r="S67" s="79"/>
      <c r="T67" s="37">
        <f t="shared" si="26"/>
        <v>82.5</v>
      </c>
      <c r="U67" s="9">
        <f t="shared" si="27"/>
        <v>1118.6600000000001</v>
      </c>
      <c r="V67" s="73">
        <v>1224347825</v>
      </c>
      <c r="W67" s="73">
        <v>9023</v>
      </c>
      <c r="X67" s="18">
        <f t="shared" si="8"/>
        <v>135691.88</v>
      </c>
      <c r="Y67" s="38">
        <f t="shared" si="9"/>
        <v>0.73582800000000004</v>
      </c>
      <c r="Z67" s="73">
        <v>79668</v>
      </c>
      <c r="AA67" s="38">
        <f t="shared" si="10"/>
        <v>0.71346200000000004</v>
      </c>
      <c r="AB67" s="38">
        <f t="shared" si="11"/>
        <v>0.27088200000000001</v>
      </c>
      <c r="AC67" s="39">
        <f t="shared" si="28"/>
        <v>0.27088200000000001</v>
      </c>
      <c r="AD67" s="39">
        <f t="shared" si="30"/>
        <v>0.27088200000000001</v>
      </c>
      <c r="AE67" s="80"/>
      <c r="AF67" s="40">
        <v>0</v>
      </c>
      <c r="AG67" s="9">
        <f t="shared" si="14"/>
        <v>0</v>
      </c>
      <c r="AH67" s="11">
        <f t="shared" si="15"/>
        <v>0</v>
      </c>
      <c r="AI67" s="11">
        <f t="shared" si="16"/>
        <v>3492361</v>
      </c>
      <c r="AJ67" s="11">
        <f t="shared" si="17"/>
        <v>3492361</v>
      </c>
      <c r="AK67" s="36">
        <v>3686134</v>
      </c>
      <c r="AL67" s="36">
        <v>3578190.5</v>
      </c>
      <c r="AM67" s="36">
        <f t="shared" si="23"/>
        <v>-193773</v>
      </c>
      <c r="AN67" s="68">
        <f t="shared" si="29"/>
        <v>3492361</v>
      </c>
      <c r="AO67" s="68">
        <f t="shared" si="24"/>
        <v>-193773</v>
      </c>
      <c r="AP67" s="69">
        <f t="shared" si="19"/>
        <v>3562049.2091000001</v>
      </c>
      <c r="AQ67" s="36">
        <f t="shared" si="20"/>
        <v>-16141.290899999905</v>
      </c>
      <c r="AR67" s="70">
        <f t="shared" si="21"/>
        <v>-4.5110205563398328E-3</v>
      </c>
      <c r="AS67" s="36"/>
      <c r="AT67" s="22"/>
      <c r="AV67" s="22"/>
      <c r="AW67" s="22"/>
      <c r="BA67" s="22"/>
      <c r="BB67" s="22"/>
      <c r="BC67" s="22"/>
      <c r="BD67" s="22"/>
      <c r="BE67" s="22"/>
    </row>
    <row r="68" spans="1:57" ht="15" x14ac:dyDescent="0.25">
      <c r="A68" s="8" t="s">
        <v>135</v>
      </c>
      <c r="B68" s="8"/>
      <c r="C68" s="26"/>
      <c r="D68" s="26"/>
      <c r="E68" s="26"/>
      <c r="F68" s="1">
        <v>6</v>
      </c>
      <c r="G68" s="66">
        <v>223.92172096567319</v>
      </c>
      <c r="H68" s="8">
        <v>42</v>
      </c>
      <c r="I68" s="3" t="s">
        <v>175</v>
      </c>
      <c r="J68" s="13">
        <f t="shared" si="2"/>
        <v>0</v>
      </c>
      <c r="K68" s="78">
        <v>1947</v>
      </c>
      <c r="L68" s="36"/>
      <c r="M68" s="35"/>
      <c r="N68" s="81">
        <v>376</v>
      </c>
      <c r="O68" s="67">
        <f t="shared" si="3"/>
        <v>0.19311761684643042</v>
      </c>
      <c r="P68" s="67">
        <f t="shared" si="4"/>
        <v>0</v>
      </c>
      <c r="Q68" s="36">
        <f t="shared" si="5"/>
        <v>0</v>
      </c>
      <c r="R68" s="36">
        <f t="shared" si="22"/>
        <v>0</v>
      </c>
      <c r="S68" s="79">
        <v>9</v>
      </c>
      <c r="T68" s="37">
        <f t="shared" si="26"/>
        <v>112.8</v>
      </c>
      <c r="U68" s="9">
        <f t="shared" si="27"/>
        <v>2061.15</v>
      </c>
      <c r="V68" s="73">
        <v>1626667230</v>
      </c>
      <c r="W68" s="73">
        <v>12869</v>
      </c>
      <c r="X68" s="18">
        <f t="shared" si="8"/>
        <v>126401.99</v>
      </c>
      <c r="Y68" s="38">
        <f t="shared" si="9"/>
        <v>0.68545100000000003</v>
      </c>
      <c r="Z68" s="73">
        <v>95923</v>
      </c>
      <c r="AA68" s="38">
        <f t="shared" si="10"/>
        <v>0.85903300000000005</v>
      </c>
      <c r="AB68" s="38">
        <f t="shared" si="11"/>
        <v>0.26247399999999999</v>
      </c>
      <c r="AC68" s="39">
        <f t="shared" si="28"/>
        <v>0.26247399999999999</v>
      </c>
      <c r="AD68" s="39">
        <f t="shared" si="30"/>
        <v>0.26247399999999999</v>
      </c>
      <c r="AE68" s="80"/>
      <c r="AF68" s="40">
        <v>0</v>
      </c>
      <c r="AG68" s="9">
        <f t="shared" si="14"/>
        <v>0</v>
      </c>
      <c r="AH68" s="11">
        <f t="shared" si="15"/>
        <v>0</v>
      </c>
      <c r="AI68" s="11">
        <f t="shared" si="16"/>
        <v>6235005</v>
      </c>
      <c r="AJ68" s="11">
        <f t="shared" si="17"/>
        <v>6235005</v>
      </c>
      <c r="AK68" s="36">
        <v>7538993</v>
      </c>
      <c r="AL68" s="36">
        <v>7129144</v>
      </c>
      <c r="AM68" s="36">
        <f t="shared" si="23"/>
        <v>-1303988</v>
      </c>
      <c r="AN68" s="68">
        <f t="shared" si="29"/>
        <v>6235005</v>
      </c>
      <c r="AO68" s="68">
        <f t="shared" si="24"/>
        <v>-1303988</v>
      </c>
      <c r="AP68" s="69">
        <f t="shared" si="19"/>
        <v>7020521.7995999996</v>
      </c>
      <c r="AQ68" s="36">
        <f t="shared" si="20"/>
        <v>-108622.20040000044</v>
      </c>
      <c r="AR68" s="70">
        <f t="shared" si="21"/>
        <v>-1.523635942828486E-2</v>
      </c>
      <c r="AS68" s="36"/>
      <c r="AT68" s="22"/>
      <c r="AV68" s="22"/>
      <c r="AW68" s="22"/>
      <c r="BA68" s="22"/>
      <c r="BB68" s="22"/>
      <c r="BC68" s="22"/>
      <c r="BD68" s="22"/>
      <c r="BE68" s="22"/>
    </row>
    <row r="69" spans="1:57" ht="15" x14ac:dyDescent="0.25">
      <c r="A69" s="8" t="s">
        <v>127</v>
      </c>
      <c r="B69" s="8">
        <v>1</v>
      </c>
      <c r="C69" s="26">
        <v>1</v>
      </c>
      <c r="D69" s="26">
        <v>0</v>
      </c>
      <c r="E69" s="26">
        <v>1</v>
      </c>
      <c r="F69" s="1">
        <v>10</v>
      </c>
      <c r="G69" s="71">
        <v>351.22735748906393</v>
      </c>
      <c r="H69" s="8">
        <v>43</v>
      </c>
      <c r="I69" s="3" t="s">
        <v>176</v>
      </c>
      <c r="J69" s="13">
        <f t="shared" si="2"/>
        <v>0</v>
      </c>
      <c r="K69" s="78">
        <v>8097.96</v>
      </c>
      <c r="L69" s="36"/>
      <c r="M69" s="35"/>
      <c r="N69" s="81">
        <v>5059</v>
      </c>
      <c r="O69" s="67">
        <f t="shared" si="3"/>
        <v>0.62472523944302016</v>
      </c>
      <c r="P69" s="67">
        <f t="shared" si="4"/>
        <v>0</v>
      </c>
      <c r="Q69" s="36">
        <f t="shared" si="5"/>
        <v>0</v>
      </c>
      <c r="R69" s="36">
        <f t="shared" si="22"/>
        <v>0</v>
      </c>
      <c r="S69" s="79">
        <v>882</v>
      </c>
      <c r="T69" s="37">
        <f t="shared" si="26"/>
        <v>1517.7</v>
      </c>
      <c r="U69" s="9">
        <f t="shared" si="27"/>
        <v>9747.9599999999991</v>
      </c>
      <c r="V69" s="73">
        <v>3881116073.6700001</v>
      </c>
      <c r="W69" s="73">
        <v>50237</v>
      </c>
      <c r="X69" s="18">
        <f t="shared" si="8"/>
        <v>77256.13</v>
      </c>
      <c r="Y69" s="38">
        <f t="shared" si="9"/>
        <v>0.41894399999999998</v>
      </c>
      <c r="Z69" s="73">
        <v>50750</v>
      </c>
      <c r="AA69" s="38">
        <f t="shared" si="10"/>
        <v>0.45448899999999998</v>
      </c>
      <c r="AB69" s="38">
        <f t="shared" si="11"/>
        <v>0.57039300000000004</v>
      </c>
      <c r="AC69" s="39">
        <f t="shared" si="28"/>
        <v>0.57039300000000004</v>
      </c>
      <c r="AD69" s="39">
        <f t="shared" si="30"/>
        <v>0.62039300000000008</v>
      </c>
      <c r="AE69" s="80"/>
      <c r="AF69" s="40">
        <v>0</v>
      </c>
      <c r="AG69" s="9">
        <f t="shared" si="14"/>
        <v>0</v>
      </c>
      <c r="AH69" s="11">
        <f t="shared" si="15"/>
        <v>0</v>
      </c>
      <c r="AI69" s="11">
        <f t="shared" si="16"/>
        <v>69698200</v>
      </c>
      <c r="AJ69" s="11">
        <f t="shared" si="17"/>
        <v>69698200</v>
      </c>
      <c r="AK69" s="36">
        <v>49075156</v>
      </c>
      <c r="AL69" s="36">
        <v>49985676.210000001</v>
      </c>
      <c r="AM69" s="36">
        <f t="shared" si="23"/>
        <v>20623044</v>
      </c>
      <c r="AN69" s="68">
        <f t="shared" si="29"/>
        <v>69698200</v>
      </c>
      <c r="AO69" s="68">
        <f t="shared" si="24"/>
        <v>20623044</v>
      </c>
      <c r="AP69" s="69">
        <f t="shared" si="19"/>
        <v>52184092.700400002</v>
      </c>
      <c r="AQ69" s="36">
        <f t="shared" si="20"/>
        <v>2198416.4904000014</v>
      </c>
      <c r="AR69" s="70">
        <f t="shared" si="21"/>
        <v>4.398092927990023E-2</v>
      </c>
      <c r="AS69" s="36"/>
      <c r="AT69" s="22"/>
      <c r="AV69" s="22"/>
      <c r="AW69" s="22"/>
      <c r="BA69" s="22"/>
      <c r="BB69" s="22"/>
      <c r="BC69" s="22"/>
      <c r="BD69" s="22"/>
      <c r="BE69" s="22"/>
    </row>
    <row r="70" spans="1:57" ht="15" x14ac:dyDescent="0.25">
      <c r="A70" s="8" t="s">
        <v>140</v>
      </c>
      <c r="B70" s="8"/>
      <c r="C70" s="26">
        <v>1</v>
      </c>
      <c r="D70" s="26">
        <v>1</v>
      </c>
      <c r="E70" s="26"/>
      <c r="F70" s="1">
        <v>9</v>
      </c>
      <c r="G70" s="71">
        <v>292.16555111175222</v>
      </c>
      <c r="H70" s="8">
        <v>44</v>
      </c>
      <c r="I70" s="3" t="s">
        <v>177</v>
      </c>
      <c r="J70" s="13">
        <f t="shared" si="2"/>
        <v>0</v>
      </c>
      <c r="K70" s="78">
        <v>3291.21</v>
      </c>
      <c r="L70" s="36"/>
      <c r="M70" s="35"/>
      <c r="N70" s="81">
        <v>1885</v>
      </c>
      <c r="O70" s="67">
        <f t="shared" si="3"/>
        <v>0.57273768613974796</v>
      </c>
      <c r="P70" s="67">
        <f t="shared" si="4"/>
        <v>0</v>
      </c>
      <c r="Q70" s="36">
        <f t="shared" si="5"/>
        <v>0</v>
      </c>
      <c r="R70" s="36">
        <f t="shared" si="22"/>
        <v>0</v>
      </c>
      <c r="S70" s="79">
        <v>271</v>
      </c>
      <c r="T70" s="37">
        <f t="shared" si="26"/>
        <v>565.5</v>
      </c>
      <c r="U70" s="9">
        <f t="shared" si="27"/>
        <v>3897.36</v>
      </c>
      <c r="V70" s="73">
        <v>2796302581.3299999</v>
      </c>
      <c r="W70" s="73">
        <v>28807</v>
      </c>
      <c r="X70" s="18">
        <f t="shared" si="8"/>
        <v>97070.25</v>
      </c>
      <c r="Y70" s="38">
        <f t="shared" si="9"/>
        <v>0.52639100000000005</v>
      </c>
      <c r="Z70" s="73">
        <v>63137</v>
      </c>
      <c r="AA70" s="38">
        <f t="shared" si="10"/>
        <v>0.56542000000000003</v>
      </c>
      <c r="AB70" s="38">
        <f t="shared" si="11"/>
        <v>0.46189999999999998</v>
      </c>
      <c r="AC70" s="39">
        <f t="shared" si="28"/>
        <v>0.46189999999999998</v>
      </c>
      <c r="AD70" s="39">
        <f t="shared" si="30"/>
        <v>0.46189999999999998</v>
      </c>
      <c r="AE70" s="80"/>
      <c r="AF70" s="40">
        <v>0</v>
      </c>
      <c r="AG70" s="9">
        <f t="shared" si="14"/>
        <v>0</v>
      </c>
      <c r="AH70" s="11">
        <f t="shared" si="15"/>
        <v>0</v>
      </c>
      <c r="AI70" s="11">
        <f t="shared" si="16"/>
        <v>20747196</v>
      </c>
      <c r="AJ70" s="11">
        <f t="shared" si="17"/>
        <v>20747196</v>
      </c>
      <c r="AK70" s="36">
        <v>19595415</v>
      </c>
      <c r="AL70" s="36">
        <v>19629837.329</v>
      </c>
      <c r="AM70" s="36">
        <f t="shared" si="23"/>
        <v>1151781</v>
      </c>
      <c r="AN70" s="68">
        <f t="shared" si="29"/>
        <v>20747196</v>
      </c>
      <c r="AO70" s="68">
        <f t="shared" si="24"/>
        <v>1151781</v>
      </c>
      <c r="AP70" s="69">
        <f t="shared" si="19"/>
        <v>19752617.183600001</v>
      </c>
      <c r="AQ70" s="36">
        <f t="shared" si="20"/>
        <v>122779.85460000113</v>
      </c>
      <c r="AR70" s="70">
        <f t="shared" si="21"/>
        <v>6.2547566004845685E-3</v>
      </c>
      <c r="AS70" s="36"/>
      <c r="AT70" s="22"/>
      <c r="AV70" s="22"/>
      <c r="AW70" s="22"/>
      <c r="BA70" s="22"/>
      <c r="BB70" s="22"/>
      <c r="BC70" s="22"/>
      <c r="BD70" s="22"/>
      <c r="BE70" s="22"/>
    </row>
    <row r="71" spans="1:57" ht="15" x14ac:dyDescent="0.25">
      <c r="A71" s="8" t="s">
        <v>135</v>
      </c>
      <c r="B71" s="8"/>
      <c r="C71" s="26"/>
      <c r="D71" s="26"/>
      <c r="E71" s="26"/>
      <c r="F71" s="1">
        <v>4</v>
      </c>
      <c r="G71" s="66">
        <v>223.85195703640417</v>
      </c>
      <c r="H71" s="8">
        <v>45</v>
      </c>
      <c r="I71" s="3" t="s">
        <v>178</v>
      </c>
      <c r="J71" s="13">
        <f t="shared" si="2"/>
        <v>0</v>
      </c>
      <c r="K71" s="78">
        <v>2584.7600000000002</v>
      </c>
      <c r="L71" s="36"/>
      <c r="M71" s="35"/>
      <c r="N71" s="81">
        <v>587</v>
      </c>
      <c r="O71" s="67">
        <f t="shared" si="3"/>
        <v>0.22710038843064731</v>
      </c>
      <c r="P71" s="67">
        <f t="shared" si="4"/>
        <v>0</v>
      </c>
      <c r="Q71" s="36">
        <f t="shared" si="5"/>
        <v>0</v>
      </c>
      <c r="R71" s="36">
        <f t="shared" si="22"/>
        <v>0</v>
      </c>
      <c r="S71" s="79">
        <v>32</v>
      </c>
      <c r="T71" s="37">
        <f t="shared" si="26"/>
        <v>176.1</v>
      </c>
      <c r="U71" s="9">
        <f t="shared" si="27"/>
        <v>2765.6600000000003</v>
      </c>
      <c r="V71" s="73">
        <v>3099136018.6700001</v>
      </c>
      <c r="W71" s="73">
        <v>18886</v>
      </c>
      <c r="X71" s="18">
        <f t="shared" si="8"/>
        <v>164097</v>
      </c>
      <c r="Y71" s="38">
        <f t="shared" si="9"/>
        <v>0.88986299999999996</v>
      </c>
      <c r="Z71" s="73">
        <v>85872</v>
      </c>
      <c r="AA71" s="38">
        <f t="shared" si="10"/>
        <v>0.76902199999999998</v>
      </c>
      <c r="AB71" s="38">
        <f t="shared" si="11"/>
        <v>0.14638899999999999</v>
      </c>
      <c r="AC71" s="39">
        <f t="shared" si="28"/>
        <v>0.14638899999999999</v>
      </c>
      <c r="AD71" s="39">
        <f t="shared" si="30"/>
        <v>0.14638899999999999</v>
      </c>
      <c r="AE71" s="80"/>
      <c r="AF71" s="40">
        <v>0</v>
      </c>
      <c r="AG71" s="9">
        <f t="shared" si="14"/>
        <v>0</v>
      </c>
      <c r="AH71" s="11">
        <f t="shared" si="15"/>
        <v>0</v>
      </c>
      <c r="AI71" s="11">
        <f t="shared" si="16"/>
        <v>4666037</v>
      </c>
      <c r="AJ71" s="11">
        <f t="shared" si="17"/>
        <v>4666037</v>
      </c>
      <c r="AK71" s="36">
        <v>6918462</v>
      </c>
      <c r="AL71" s="36">
        <v>6449135.5</v>
      </c>
      <c r="AM71" s="36">
        <f t="shared" si="23"/>
        <v>-2252425</v>
      </c>
      <c r="AN71" s="68">
        <f t="shared" si="29"/>
        <v>4666037</v>
      </c>
      <c r="AO71" s="68">
        <f t="shared" si="24"/>
        <v>-2252425</v>
      </c>
      <c r="AP71" s="69">
        <f t="shared" si="19"/>
        <v>6261508.4974999996</v>
      </c>
      <c r="AQ71" s="36">
        <f t="shared" si="20"/>
        <v>-187627.00250000041</v>
      </c>
      <c r="AR71" s="70">
        <f t="shared" si="21"/>
        <v>-2.9093357163917616E-2</v>
      </c>
      <c r="AS71" s="36"/>
      <c r="AT71" s="22"/>
      <c r="AV71" s="22"/>
      <c r="AW71" s="22"/>
      <c r="BA71" s="22"/>
      <c r="BB71" s="22"/>
      <c r="BC71" s="22"/>
      <c r="BD71" s="22"/>
      <c r="BE71" s="22"/>
    </row>
    <row r="72" spans="1:57" ht="15" x14ac:dyDescent="0.25">
      <c r="A72" s="8" t="s">
        <v>167</v>
      </c>
      <c r="B72" s="8"/>
      <c r="C72" s="26"/>
      <c r="D72" s="26"/>
      <c r="E72" s="26"/>
      <c r="F72" s="1">
        <v>1</v>
      </c>
      <c r="G72" s="66">
        <v>171.6054663813868</v>
      </c>
      <c r="H72" s="8">
        <v>46</v>
      </c>
      <c r="I72" s="3" t="s">
        <v>179</v>
      </c>
      <c r="J72" s="13">
        <f t="shared" si="2"/>
        <v>0</v>
      </c>
      <c r="K72" s="78">
        <v>1259.31</v>
      </c>
      <c r="L72" s="36"/>
      <c r="M72" s="35"/>
      <c r="N72" s="81">
        <v>103</v>
      </c>
      <c r="O72" s="67">
        <f t="shared" si="3"/>
        <v>8.1790821958056398E-2</v>
      </c>
      <c r="P72" s="67">
        <f t="shared" si="4"/>
        <v>0</v>
      </c>
      <c r="Q72" s="36">
        <f t="shared" si="5"/>
        <v>0</v>
      </c>
      <c r="R72" s="36">
        <f t="shared" si="22"/>
        <v>0</v>
      </c>
      <c r="S72" s="79">
        <v>15</v>
      </c>
      <c r="T72" s="37">
        <f t="shared" si="26"/>
        <v>30.9</v>
      </c>
      <c r="U72" s="9">
        <f t="shared" si="27"/>
        <v>1292.46</v>
      </c>
      <c r="V72" s="73">
        <v>1894305896.3299999</v>
      </c>
      <c r="W72" s="73">
        <v>7561</v>
      </c>
      <c r="X72" s="18">
        <f t="shared" si="8"/>
        <v>250536.42</v>
      </c>
      <c r="Y72" s="38">
        <f t="shared" si="9"/>
        <v>1.358606</v>
      </c>
      <c r="Z72" s="73">
        <v>133356</v>
      </c>
      <c r="AA72" s="38">
        <f t="shared" si="10"/>
        <v>1.1942619999999999</v>
      </c>
      <c r="AB72" s="38">
        <f t="shared" si="11"/>
        <v>-0.30930299999999999</v>
      </c>
      <c r="AC72" s="39">
        <f t="shared" si="28"/>
        <v>0.01</v>
      </c>
      <c r="AD72" s="39">
        <f t="shared" si="30"/>
        <v>0.01</v>
      </c>
      <c r="AE72" s="80">
        <v>397</v>
      </c>
      <c r="AF72" s="40">
        <v>4</v>
      </c>
      <c r="AG72" s="9">
        <f t="shared" si="14"/>
        <v>30.77</v>
      </c>
      <c r="AH72" s="11">
        <f t="shared" si="15"/>
        <v>12216</v>
      </c>
      <c r="AI72" s="11">
        <f t="shared" si="16"/>
        <v>148956</v>
      </c>
      <c r="AJ72" s="11">
        <f t="shared" si="17"/>
        <v>161172</v>
      </c>
      <c r="AK72" s="36">
        <v>177907</v>
      </c>
      <c r="AL72" s="36">
        <v>174582.5</v>
      </c>
      <c r="AM72" s="36">
        <f t="shared" si="23"/>
        <v>-16735</v>
      </c>
      <c r="AN72" s="68">
        <f t="shared" si="29"/>
        <v>161172</v>
      </c>
      <c r="AO72" s="68">
        <f t="shared" si="24"/>
        <v>-16735</v>
      </c>
      <c r="AP72" s="69">
        <f t="shared" si="19"/>
        <v>173188.47450000001</v>
      </c>
      <c r="AQ72" s="36">
        <f t="shared" si="20"/>
        <v>-1394.0254999999888</v>
      </c>
      <c r="AR72" s="70">
        <f t="shared" si="21"/>
        <v>-7.9849097131727918E-3</v>
      </c>
      <c r="AS72" s="36"/>
      <c r="AT72" s="22"/>
      <c r="AV72" s="22"/>
      <c r="AW72" s="22"/>
      <c r="BA72" s="22"/>
      <c r="BB72" s="22"/>
      <c r="BC72" s="22"/>
      <c r="BD72" s="22"/>
      <c r="BE72" s="22"/>
    </row>
    <row r="73" spans="1:57" ht="15" x14ac:dyDescent="0.25">
      <c r="A73" s="8" t="s">
        <v>153</v>
      </c>
      <c r="B73" s="8"/>
      <c r="C73" s="26">
        <v>1</v>
      </c>
      <c r="D73" s="26">
        <v>1</v>
      </c>
      <c r="E73" s="26"/>
      <c r="F73" s="1">
        <v>8</v>
      </c>
      <c r="G73" s="71">
        <v>263.45542769438646</v>
      </c>
      <c r="H73" s="8">
        <v>47</v>
      </c>
      <c r="I73" s="3" t="s">
        <v>180</v>
      </c>
      <c r="J73" s="13">
        <f t="shared" si="2"/>
        <v>0</v>
      </c>
      <c r="K73" s="78">
        <v>1160.5999999999999</v>
      </c>
      <c r="L73" s="36"/>
      <c r="M73" s="35"/>
      <c r="N73" s="81">
        <v>575</v>
      </c>
      <c r="O73" s="67">
        <f t="shared" si="3"/>
        <v>0.49543339651904189</v>
      </c>
      <c r="P73" s="67">
        <f t="shared" si="4"/>
        <v>0</v>
      </c>
      <c r="Q73" s="36">
        <f t="shared" si="5"/>
        <v>0</v>
      </c>
      <c r="R73" s="36">
        <f t="shared" si="22"/>
        <v>0</v>
      </c>
      <c r="S73" s="79">
        <v>55</v>
      </c>
      <c r="T73" s="37">
        <f t="shared" si="26"/>
        <v>172.5</v>
      </c>
      <c r="U73" s="9">
        <f t="shared" si="27"/>
        <v>1341.35</v>
      </c>
      <c r="V73" s="73">
        <v>1370018835</v>
      </c>
      <c r="W73" s="73">
        <v>11355</v>
      </c>
      <c r="X73" s="18">
        <f t="shared" si="8"/>
        <v>120653.35</v>
      </c>
      <c r="Y73" s="38">
        <f t="shared" si="9"/>
        <v>0.654277</v>
      </c>
      <c r="Z73" s="73">
        <v>74784</v>
      </c>
      <c r="AA73" s="38">
        <f t="shared" si="10"/>
        <v>0.66972399999999999</v>
      </c>
      <c r="AB73" s="38">
        <f t="shared" si="11"/>
        <v>0.34108899999999998</v>
      </c>
      <c r="AC73" s="39">
        <f t="shared" si="28"/>
        <v>0.34108899999999998</v>
      </c>
      <c r="AD73" s="39">
        <f t="shared" si="30"/>
        <v>0.34108899999999998</v>
      </c>
      <c r="AE73" s="80"/>
      <c r="AF73" s="40">
        <v>0</v>
      </c>
      <c r="AG73" s="9">
        <f t="shared" si="14"/>
        <v>0</v>
      </c>
      <c r="AH73" s="11">
        <f t="shared" si="15"/>
        <v>0</v>
      </c>
      <c r="AI73" s="11">
        <f t="shared" si="16"/>
        <v>5272915</v>
      </c>
      <c r="AJ73" s="11">
        <f t="shared" si="17"/>
        <v>5272915</v>
      </c>
      <c r="AK73" s="36">
        <v>5669122</v>
      </c>
      <c r="AL73" s="36">
        <v>5669122</v>
      </c>
      <c r="AM73" s="36">
        <f t="shared" si="23"/>
        <v>-396207</v>
      </c>
      <c r="AN73" s="68">
        <f t="shared" si="29"/>
        <v>5669122</v>
      </c>
      <c r="AO73" s="68">
        <f t="shared" si="24"/>
        <v>0</v>
      </c>
      <c r="AP73" s="69">
        <f t="shared" si="19"/>
        <v>5669122</v>
      </c>
      <c r="AQ73" s="36">
        <f t="shared" si="20"/>
        <v>0</v>
      </c>
      <c r="AR73" s="70">
        <f t="shared" si="21"/>
        <v>0</v>
      </c>
      <c r="AS73" s="36"/>
      <c r="AT73" s="22"/>
      <c r="AV73" s="22"/>
      <c r="AW73" s="22"/>
      <c r="BA73" s="22"/>
      <c r="BB73" s="22"/>
      <c r="BC73" s="22"/>
      <c r="BD73" s="22"/>
      <c r="BE73" s="22"/>
    </row>
    <row r="74" spans="1:57" ht="15" x14ac:dyDescent="0.25">
      <c r="A74" s="8" t="s">
        <v>125</v>
      </c>
      <c r="B74" s="8"/>
      <c r="C74" s="26"/>
      <c r="D74" s="26"/>
      <c r="E74" s="26"/>
      <c r="F74" s="1">
        <v>7</v>
      </c>
      <c r="G74" s="66">
        <v>232.16878625611164</v>
      </c>
      <c r="H74" s="8">
        <v>48</v>
      </c>
      <c r="I74" s="3" t="s">
        <v>181</v>
      </c>
      <c r="J74" s="13">
        <f t="shared" si="2"/>
        <v>0</v>
      </c>
      <c r="K74" s="78">
        <v>2735</v>
      </c>
      <c r="L74" s="36"/>
      <c r="M74" s="35"/>
      <c r="N74" s="81">
        <v>363</v>
      </c>
      <c r="O74" s="67">
        <f t="shared" si="3"/>
        <v>0.13272394881170019</v>
      </c>
      <c r="P74" s="67">
        <f t="shared" si="4"/>
        <v>0</v>
      </c>
      <c r="Q74" s="36">
        <f t="shared" si="5"/>
        <v>0</v>
      </c>
      <c r="R74" s="36">
        <f t="shared" si="22"/>
        <v>0</v>
      </c>
      <c r="S74" s="79">
        <v>58</v>
      </c>
      <c r="T74" s="37">
        <f t="shared" si="26"/>
        <v>108.9</v>
      </c>
      <c r="U74" s="9">
        <f t="shared" si="27"/>
        <v>2852.6</v>
      </c>
      <c r="V74" s="73">
        <v>1919659776</v>
      </c>
      <c r="W74" s="73">
        <v>16071</v>
      </c>
      <c r="X74" s="18">
        <f t="shared" si="8"/>
        <v>119448.68</v>
      </c>
      <c r="Y74" s="38">
        <f t="shared" si="9"/>
        <v>0.64774500000000002</v>
      </c>
      <c r="Z74" s="73">
        <v>79917</v>
      </c>
      <c r="AA74" s="38">
        <f t="shared" si="10"/>
        <v>0.71569199999999999</v>
      </c>
      <c r="AB74" s="38">
        <f t="shared" si="11"/>
        <v>0.33187100000000003</v>
      </c>
      <c r="AC74" s="39">
        <f t="shared" si="28"/>
        <v>0.33187100000000003</v>
      </c>
      <c r="AD74" s="39">
        <f t="shared" si="30"/>
        <v>0.33187100000000003</v>
      </c>
      <c r="AE74" s="80"/>
      <c r="AF74" s="40">
        <v>0</v>
      </c>
      <c r="AG74" s="9">
        <f t="shared" si="14"/>
        <v>0</v>
      </c>
      <c r="AH74" s="11">
        <f t="shared" si="15"/>
        <v>0</v>
      </c>
      <c r="AI74" s="11">
        <f t="shared" si="16"/>
        <v>10910662</v>
      </c>
      <c r="AJ74" s="11">
        <f t="shared" si="17"/>
        <v>10910662</v>
      </c>
      <c r="AK74" s="36">
        <v>9684435</v>
      </c>
      <c r="AL74" s="36">
        <v>9699781.5460000001</v>
      </c>
      <c r="AM74" s="36">
        <f t="shared" si="23"/>
        <v>1226227</v>
      </c>
      <c r="AN74" s="68">
        <f t="shared" si="29"/>
        <v>10910662</v>
      </c>
      <c r="AO74" s="68">
        <f t="shared" si="24"/>
        <v>1226227</v>
      </c>
      <c r="AP74" s="69">
        <f t="shared" si="19"/>
        <v>9830497.3442000002</v>
      </c>
      <c r="AQ74" s="36">
        <f t="shared" si="20"/>
        <v>130715.79820000008</v>
      </c>
      <c r="AR74" s="70">
        <f t="shared" si="21"/>
        <v>1.3476158981529303E-2</v>
      </c>
      <c r="AS74" s="36"/>
      <c r="AT74" s="22"/>
      <c r="AV74" s="22"/>
      <c r="AW74" s="22"/>
      <c r="BA74" s="22"/>
      <c r="BB74" s="22"/>
      <c r="BC74" s="22"/>
      <c r="BD74" s="22"/>
      <c r="BE74" s="22"/>
    </row>
    <row r="75" spans="1:57" ht="15" x14ac:dyDescent="0.25">
      <c r="A75" s="8" t="s">
        <v>153</v>
      </c>
      <c r="B75" s="8"/>
      <c r="C75" s="26"/>
      <c r="D75" s="26"/>
      <c r="E75" s="26"/>
      <c r="F75" s="1">
        <v>9</v>
      </c>
      <c r="G75" s="71">
        <v>272.06220943618359</v>
      </c>
      <c r="H75" s="8">
        <v>49</v>
      </c>
      <c r="I75" s="3" t="s">
        <v>182</v>
      </c>
      <c r="J75" s="13">
        <f t="shared" si="2"/>
        <v>0</v>
      </c>
      <c r="K75" s="78">
        <v>5455.58</v>
      </c>
      <c r="L75" s="36"/>
      <c r="M75" s="35"/>
      <c r="N75" s="81">
        <v>2403</v>
      </c>
      <c r="O75" s="67">
        <f t="shared" si="3"/>
        <v>0.44046645819509567</v>
      </c>
      <c r="P75" s="67">
        <f t="shared" si="4"/>
        <v>0</v>
      </c>
      <c r="Q75" s="36">
        <f t="shared" si="5"/>
        <v>0</v>
      </c>
      <c r="R75" s="36">
        <f t="shared" si="22"/>
        <v>0</v>
      </c>
      <c r="S75" s="79">
        <v>114</v>
      </c>
      <c r="T75" s="37">
        <f t="shared" si="26"/>
        <v>720.9</v>
      </c>
      <c r="U75" s="9">
        <f t="shared" si="27"/>
        <v>6193.58</v>
      </c>
      <c r="V75" s="73">
        <v>4119993237.6700001</v>
      </c>
      <c r="W75" s="73">
        <v>44368</v>
      </c>
      <c r="X75" s="18">
        <f t="shared" si="8"/>
        <v>92859.57</v>
      </c>
      <c r="Y75" s="38">
        <f t="shared" si="9"/>
        <v>0.50355799999999995</v>
      </c>
      <c r="Z75" s="73">
        <v>71526</v>
      </c>
      <c r="AA75" s="38">
        <f t="shared" si="10"/>
        <v>0.64054699999999998</v>
      </c>
      <c r="AB75" s="38">
        <f t="shared" si="11"/>
        <v>0.455345</v>
      </c>
      <c r="AC75" s="39">
        <f t="shared" si="28"/>
        <v>0.455345</v>
      </c>
      <c r="AD75" s="39">
        <f t="shared" si="30"/>
        <v>0.455345</v>
      </c>
      <c r="AE75" s="80"/>
      <c r="AF75" s="40">
        <v>0</v>
      </c>
      <c r="AG75" s="9">
        <f t="shared" si="14"/>
        <v>0</v>
      </c>
      <c r="AH75" s="11">
        <f t="shared" si="15"/>
        <v>0</v>
      </c>
      <c r="AI75" s="11">
        <f t="shared" si="16"/>
        <v>32502986</v>
      </c>
      <c r="AJ75" s="11">
        <f t="shared" si="17"/>
        <v>32502986</v>
      </c>
      <c r="AK75" s="36">
        <v>28585010</v>
      </c>
      <c r="AL75" s="36">
        <v>28752342.684999999</v>
      </c>
      <c r="AM75" s="36">
        <f t="shared" si="23"/>
        <v>3917976</v>
      </c>
      <c r="AN75" s="68">
        <f t="shared" si="29"/>
        <v>32502986</v>
      </c>
      <c r="AO75" s="68">
        <f t="shared" si="24"/>
        <v>3917976</v>
      </c>
      <c r="AP75" s="69">
        <f t="shared" si="19"/>
        <v>29169998.926599998</v>
      </c>
      <c r="AQ75" s="36">
        <f t="shared" si="20"/>
        <v>417656.24159999937</v>
      </c>
      <c r="AR75" s="70">
        <f t="shared" si="21"/>
        <v>1.4525989974997384E-2</v>
      </c>
      <c r="AS75" s="36"/>
      <c r="AT75" s="22"/>
      <c r="AV75" s="22"/>
      <c r="AW75" s="22"/>
      <c r="BA75" s="22"/>
      <c r="BB75" s="22"/>
      <c r="BC75" s="22"/>
      <c r="BD75" s="22"/>
      <c r="BE75" s="22"/>
    </row>
    <row r="76" spans="1:57" ht="15" x14ac:dyDescent="0.25">
      <c r="A76" s="8" t="s">
        <v>125</v>
      </c>
      <c r="B76" s="8"/>
      <c r="C76" s="26"/>
      <c r="D76" s="26"/>
      <c r="E76" s="26"/>
      <c r="F76" s="1">
        <v>2</v>
      </c>
      <c r="G76" s="66">
        <v>177.61811161383341</v>
      </c>
      <c r="H76" s="8">
        <v>50</v>
      </c>
      <c r="I76" s="3" t="s">
        <v>183</v>
      </c>
      <c r="J76" s="13">
        <f t="shared" si="2"/>
        <v>0</v>
      </c>
      <c r="K76" s="78">
        <v>678.5</v>
      </c>
      <c r="L76" s="36"/>
      <c r="M76" s="35"/>
      <c r="N76" s="81">
        <v>124</v>
      </c>
      <c r="O76" s="67">
        <f t="shared" si="3"/>
        <v>0.18275607958732498</v>
      </c>
      <c r="P76" s="67">
        <f t="shared" si="4"/>
        <v>0</v>
      </c>
      <c r="Q76" s="36">
        <f t="shared" si="5"/>
        <v>0</v>
      </c>
      <c r="R76" s="36">
        <f t="shared" si="22"/>
        <v>0</v>
      </c>
      <c r="S76" s="79">
        <v>14</v>
      </c>
      <c r="T76" s="37">
        <f t="shared" si="26"/>
        <v>37.200000000000003</v>
      </c>
      <c r="U76" s="9">
        <f t="shared" si="27"/>
        <v>717.80000000000007</v>
      </c>
      <c r="V76" s="73">
        <v>1534774079.3299999</v>
      </c>
      <c r="W76" s="73">
        <v>6539</v>
      </c>
      <c r="X76" s="18">
        <f t="shared" si="8"/>
        <v>234710.82</v>
      </c>
      <c r="Y76" s="38">
        <f t="shared" si="9"/>
        <v>1.2727869999999999</v>
      </c>
      <c r="Z76" s="73">
        <v>89950</v>
      </c>
      <c r="AA76" s="38">
        <f t="shared" si="10"/>
        <v>0.80554199999999998</v>
      </c>
      <c r="AB76" s="38">
        <f t="shared" si="11"/>
        <v>-0.13261400000000001</v>
      </c>
      <c r="AC76" s="39">
        <f t="shared" si="28"/>
        <v>0.01</v>
      </c>
      <c r="AD76" s="39">
        <f t="shared" si="30"/>
        <v>0.01</v>
      </c>
      <c r="AE76" s="80">
        <v>368</v>
      </c>
      <c r="AF76" s="40">
        <v>6</v>
      </c>
      <c r="AG76" s="9">
        <f t="shared" si="14"/>
        <v>46.15</v>
      </c>
      <c r="AH76" s="11">
        <f t="shared" si="15"/>
        <v>16983</v>
      </c>
      <c r="AI76" s="11">
        <f t="shared" si="16"/>
        <v>82726</v>
      </c>
      <c r="AJ76" s="11">
        <f t="shared" si="17"/>
        <v>99709</v>
      </c>
      <c r="AK76" s="36">
        <v>105052</v>
      </c>
      <c r="AL76" s="36">
        <v>105065.038</v>
      </c>
      <c r="AM76" s="36">
        <f t="shared" si="23"/>
        <v>-5343</v>
      </c>
      <c r="AN76" s="68">
        <f t="shared" si="29"/>
        <v>99709</v>
      </c>
      <c r="AO76" s="68">
        <f t="shared" si="24"/>
        <v>-5343</v>
      </c>
      <c r="AP76" s="69">
        <f t="shared" si="19"/>
        <v>104619.96610000001</v>
      </c>
      <c r="AQ76" s="36">
        <f t="shared" si="20"/>
        <v>-445.07189999999537</v>
      </c>
      <c r="AR76" s="70">
        <f t="shared" si="21"/>
        <v>-4.2361560845768252E-3</v>
      </c>
      <c r="AS76" s="36"/>
      <c r="AT76" s="22"/>
      <c r="AV76" s="22"/>
      <c r="AW76" s="22"/>
      <c r="BA76" s="22"/>
      <c r="BB76" s="22"/>
      <c r="BC76" s="22"/>
      <c r="BD76" s="22"/>
      <c r="BE76" s="22"/>
    </row>
    <row r="77" spans="1:57" ht="15" x14ac:dyDescent="0.25">
      <c r="A77" s="8" t="s">
        <v>131</v>
      </c>
      <c r="B77" s="8"/>
      <c r="C77" s="26"/>
      <c r="D77" s="26"/>
      <c r="E77" s="26"/>
      <c r="F77" s="1">
        <v>2</v>
      </c>
      <c r="G77" s="66">
        <v>173.30195420535688</v>
      </c>
      <c r="H77" s="8">
        <v>51</v>
      </c>
      <c r="I77" s="3" t="s">
        <v>184</v>
      </c>
      <c r="J77" s="13">
        <f t="shared" si="2"/>
        <v>0</v>
      </c>
      <c r="K77" s="78">
        <v>9834.25</v>
      </c>
      <c r="L77" s="36"/>
      <c r="M77" s="35"/>
      <c r="N77" s="81">
        <v>1551</v>
      </c>
      <c r="O77" s="67">
        <f t="shared" si="3"/>
        <v>0.15771411139639524</v>
      </c>
      <c r="P77" s="67">
        <f t="shared" si="4"/>
        <v>0</v>
      </c>
      <c r="Q77" s="36">
        <f t="shared" si="5"/>
        <v>0</v>
      </c>
      <c r="R77" s="36">
        <f t="shared" si="22"/>
        <v>0</v>
      </c>
      <c r="S77" s="79">
        <v>264</v>
      </c>
      <c r="T77" s="37">
        <f t="shared" si="26"/>
        <v>465.3</v>
      </c>
      <c r="U77" s="9">
        <f t="shared" si="27"/>
        <v>10339.15</v>
      </c>
      <c r="V77" s="73">
        <v>15857863785.33</v>
      </c>
      <c r="W77" s="73">
        <v>61160</v>
      </c>
      <c r="X77" s="18">
        <f t="shared" si="8"/>
        <v>259284.89</v>
      </c>
      <c r="Y77" s="38">
        <f t="shared" si="9"/>
        <v>1.406047</v>
      </c>
      <c r="Z77" s="73">
        <v>122135</v>
      </c>
      <c r="AA77" s="38">
        <f t="shared" si="10"/>
        <v>1.0937730000000001</v>
      </c>
      <c r="AB77" s="38">
        <f t="shared" si="11"/>
        <v>-0.312365</v>
      </c>
      <c r="AC77" s="39">
        <f t="shared" si="28"/>
        <v>0.01</v>
      </c>
      <c r="AD77" s="39">
        <f t="shared" si="30"/>
        <v>0.01</v>
      </c>
      <c r="AE77" s="80"/>
      <c r="AF77" s="40">
        <v>0</v>
      </c>
      <c r="AG77" s="9">
        <f t="shared" si="14"/>
        <v>0</v>
      </c>
      <c r="AH77" s="11">
        <f t="shared" si="15"/>
        <v>0</v>
      </c>
      <c r="AI77" s="11">
        <f t="shared" si="16"/>
        <v>1191587</v>
      </c>
      <c r="AJ77" s="11">
        <f t="shared" si="17"/>
        <v>1191587</v>
      </c>
      <c r="AK77" s="36">
        <v>1087165</v>
      </c>
      <c r="AL77" s="36">
        <v>1091333.183</v>
      </c>
      <c r="AM77" s="36">
        <f t="shared" si="23"/>
        <v>104422</v>
      </c>
      <c r="AN77" s="68">
        <f t="shared" si="29"/>
        <v>1191587</v>
      </c>
      <c r="AO77" s="68">
        <f t="shared" si="24"/>
        <v>104422</v>
      </c>
      <c r="AP77" s="69">
        <f t="shared" si="19"/>
        <v>1102464.5681999999</v>
      </c>
      <c r="AQ77" s="36">
        <f t="shared" si="20"/>
        <v>11131.385199999902</v>
      </c>
      <c r="AR77" s="70">
        <f t="shared" si="21"/>
        <v>1.0199804581585698E-2</v>
      </c>
      <c r="AS77" s="36"/>
      <c r="AT77" s="22"/>
      <c r="AV77" s="22"/>
      <c r="AW77" s="22"/>
      <c r="BA77" s="22"/>
      <c r="BB77" s="22"/>
      <c r="BC77" s="22"/>
      <c r="BD77" s="22"/>
      <c r="BE77" s="22"/>
    </row>
    <row r="78" spans="1:57" ht="15" x14ac:dyDescent="0.25">
      <c r="A78" s="8" t="s">
        <v>131</v>
      </c>
      <c r="B78" s="8"/>
      <c r="C78" s="26"/>
      <c r="D78" s="26"/>
      <c r="E78" s="26"/>
      <c r="F78" s="1">
        <v>3</v>
      </c>
      <c r="G78" s="66">
        <v>183.35213792864948</v>
      </c>
      <c r="H78" s="8">
        <v>52</v>
      </c>
      <c r="I78" s="3" t="s">
        <v>185</v>
      </c>
      <c r="J78" s="13">
        <f t="shared" si="2"/>
        <v>0</v>
      </c>
      <c r="K78" s="78">
        <v>4069.37</v>
      </c>
      <c r="L78" s="36"/>
      <c r="M78" s="35"/>
      <c r="N78" s="81">
        <v>582</v>
      </c>
      <c r="O78" s="67">
        <f t="shared" si="3"/>
        <v>0.14301968117915059</v>
      </c>
      <c r="P78" s="67">
        <f t="shared" si="4"/>
        <v>0</v>
      </c>
      <c r="Q78" s="36">
        <f t="shared" si="5"/>
        <v>0</v>
      </c>
      <c r="R78" s="36">
        <f t="shared" si="22"/>
        <v>0</v>
      </c>
      <c r="S78" s="79">
        <v>149</v>
      </c>
      <c r="T78" s="37">
        <f t="shared" si="26"/>
        <v>174.6</v>
      </c>
      <c r="U78" s="9">
        <f t="shared" si="27"/>
        <v>4266.3200000000006</v>
      </c>
      <c r="V78" s="73">
        <v>5312558499.3299999</v>
      </c>
      <c r="W78" s="73">
        <v>25524</v>
      </c>
      <c r="X78" s="18">
        <f t="shared" si="8"/>
        <v>208139.73</v>
      </c>
      <c r="Y78" s="38">
        <f t="shared" si="9"/>
        <v>1.1286970000000001</v>
      </c>
      <c r="Z78" s="73">
        <v>95158</v>
      </c>
      <c r="AA78" s="38">
        <f t="shared" si="10"/>
        <v>0.852182</v>
      </c>
      <c r="AB78" s="38">
        <f t="shared" si="11"/>
        <v>-4.5742999999999999E-2</v>
      </c>
      <c r="AC78" s="39">
        <f t="shared" si="28"/>
        <v>0.01</v>
      </c>
      <c r="AD78" s="39">
        <f t="shared" si="30"/>
        <v>0.01</v>
      </c>
      <c r="AE78" s="80"/>
      <c r="AF78" s="40">
        <v>0</v>
      </c>
      <c r="AG78" s="9">
        <f t="shared" si="14"/>
        <v>0</v>
      </c>
      <c r="AH78" s="11">
        <f t="shared" si="15"/>
        <v>0</v>
      </c>
      <c r="AI78" s="11">
        <f t="shared" si="16"/>
        <v>491693</v>
      </c>
      <c r="AJ78" s="11">
        <f t="shared" si="17"/>
        <v>491693</v>
      </c>
      <c r="AK78" s="36">
        <v>1095080</v>
      </c>
      <c r="AL78" s="36">
        <v>943540.75</v>
      </c>
      <c r="AM78" s="36">
        <f t="shared" si="23"/>
        <v>-603387</v>
      </c>
      <c r="AN78" s="68">
        <f t="shared" si="29"/>
        <v>491693</v>
      </c>
      <c r="AO78" s="68">
        <f t="shared" si="24"/>
        <v>-603387</v>
      </c>
      <c r="AP78" s="69">
        <f t="shared" si="19"/>
        <v>893278.61289999995</v>
      </c>
      <c r="AQ78" s="36">
        <f t="shared" si="20"/>
        <v>-50262.137100000051</v>
      </c>
      <c r="AR78" s="70">
        <f t="shared" si="21"/>
        <v>-5.3269704673592586E-2</v>
      </c>
      <c r="AS78" s="36"/>
      <c r="AT78" s="22"/>
      <c r="AV78" s="22"/>
      <c r="AW78" s="22"/>
      <c r="BA78" s="22"/>
      <c r="BB78" s="22"/>
      <c r="BC78" s="22"/>
      <c r="BD78" s="22"/>
      <c r="BE78" s="22"/>
    </row>
    <row r="79" spans="1:57" ht="15" x14ac:dyDescent="0.25">
      <c r="A79" s="8" t="s">
        <v>129</v>
      </c>
      <c r="B79" s="8"/>
      <c r="C79" s="26"/>
      <c r="D79" s="26"/>
      <c r="E79" s="26"/>
      <c r="F79" s="1">
        <v>5</v>
      </c>
      <c r="G79" s="66">
        <v>223.18460421627378</v>
      </c>
      <c r="H79" s="8">
        <v>53</v>
      </c>
      <c r="I79" s="3" t="s">
        <v>186</v>
      </c>
      <c r="J79" s="13">
        <f t="shared" si="2"/>
        <v>0</v>
      </c>
      <c r="K79" s="78">
        <v>222.65</v>
      </c>
      <c r="L79" s="36"/>
      <c r="M79" s="35"/>
      <c r="N79" s="81">
        <v>44</v>
      </c>
      <c r="O79" s="67">
        <f t="shared" si="3"/>
        <v>0.19761958230406468</v>
      </c>
      <c r="P79" s="67">
        <f t="shared" si="4"/>
        <v>0</v>
      </c>
      <c r="Q79" s="36">
        <f t="shared" si="5"/>
        <v>0</v>
      </c>
      <c r="R79" s="36">
        <f t="shared" si="22"/>
        <v>0</v>
      </c>
      <c r="S79" s="79"/>
      <c r="T79" s="37">
        <f t="shared" si="26"/>
        <v>13.2</v>
      </c>
      <c r="U79" s="9">
        <f t="shared" si="27"/>
        <v>235.85</v>
      </c>
      <c r="V79" s="73">
        <v>313138587</v>
      </c>
      <c r="W79" s="73">
        <v>1955</v>
      </c>
      <c r="X79" s="18">
        <f t="shared" si="8"/>
        <v>160173.19</v>
      </c>
      <c r="Y79" s="38">
        <f t="shared" si="9"/>
        <v>0.86858500000000005</v>
      </c>
      <c r="Z79" s="73">
        <v>93438</v>
      </c>
      <c r="AA79" s="38">
        <f t="shared" si="10"/>
        <v>0.83677900000000005</v>
      </c>
      <c r="AB79" s="38">
        <f t="shared" si="11"/>
        <v>0.140957</v>
      </c>
      <c r="AC79" s="39">
        <f t="shared" si="28"/>
        <v>0.140957</v>
      </c>
      <c r="AD79" s="39">
        <f t="shared" si="30"/>
        <v>0.140957</v>
      </c>
      <c r="AE79" s="80"/>
      <c r="AF79" s="40">
        <v>0</v>
      </c>
      <c r="AG79" s="9">
        <f t="shared" si="14"/>
        <v>0</v>
      </c>
      <c r="AH79" s="11">
        <f t="shared" si="15"/>
        <v>0</v>
      </c>
      <c r="AI79" s="11">
        <f t="shared" si="16"/>
        <v>383145</v>
      </c>
      <c r="AJ79" s="11">
        <f t="shared" si="17"/>
        <v>383145</v>
      </c>
      <c r="AK79" s="36">
        <v>923278</v>
      </c>
      <c r="AL79" s="36">
        <v>829080</v>
      </c>
      <c r="AM79" s="36">
        <f t="shared" si="23"/>
        <v>-540133</v>
      </c>
      <c r="AN79" s="68">
        <f t="shared" si="29"/>
        <v>383145</v>
      </c>
      <c r="AO79" s="68">
        <f t="shared" si="24"/>
        <v>-540133</v>
      </c>
      <c r="AP79" s="69">
        <f t="shared" si="19"/>
        <v>784086.92110000004</v>
      </c>
      <c r="AQ79" s="36">
        <f t="shared" si="20"/>
        <v>-44993.078899999964</v>
      </c>
      <c r="AR79" s="70">
        <f t="shared" si="21"/>
        <v>-5.4268682033096885E-2</v>
      </c>
      <c r="AS79" s="36"/>
      <c r="AT79" s="22"/>
      <c r="AV79" s="22"/>
      <c r="AW79" s="22"/>
      <c r="BA79" s="22"/>
      <c r="BB79" s="22"/>
      <c r="BC79" s="22"/>
      <c r="BD79" s="22"/>
      <c r="BE79" s="22"/>
    </row>
    <row r="80" spans="1:57" ht="15" x14ac:dyDescent="0.25">
      <c r="A80" s="8" t="s">
        <v>131</v>
      </c>
      <c r="B80" s="8"/>
      <c r="C80" s="26"/>
      <c r="D80" s="26"/>
      <c r="E80" s="26"/>
      <c r="F80" s="1">
        <v>3</v>
      </c>
      <c r="G80" s="66">
        <v>209.29089407630926</v>
      </c>
      <c r="H80" s="8">
        <v>54</v>
      </c>
      <c r="I80" s="3" t="s">
        <v>187</v>
      </c>
      <c r="J80" s="13">
        <f t="shared" si="2"/>
        <v>0</v>
      </c>
      <c r="K80" s="78">
        <v>6024.15</v>
      </c>
      <c r="L80" s="36"/>
      <c r="M80" s="35"/>
      <c r="N80" s="81">
        <v>749</v>
      </c>
      <c r="O80" s="67">
        <f t="shared" si="3"/>
        <v>0.12433289343724842</v>
      </c>
      <c r="P80" s="67">
        <f t="shared" si="4"/>
        <v>0</v>
      </c>
      <c r="Q80" s="36">
        <f t="shared" si="5"/>
        <v>0</v>
      </c>
      <c r="R80" s="36">
        <f t="shared" si="22"/>
        <v>0</v>
      </c>
      <c r="S80" s="79">
        <v>134</v>
      </c>
      <c r="T80" s="37">
        <f t="shared" si="26"/>
        <v>224.7</v>
      </c>
      <c r="U80" s="9">
        <f t="shared" si="27"/>
        <v>6268.95</v>
      </c>
      <c r="V80" s="73">
        <v>6006271219.3299999</v>
      </c>
      <c r="W80" s="73">
        <v>34584</v>
      </c>
      <c r="X80" s="18">
        <f t="shared" si="8"/>
        <v>173671.96</v>
      </c>
      <c r="Y80" s="38">
        <f t="shared" si="9"/>
        <v>0.94178600000000001</v>
      </c>
      <c r="Z80" s="73">
        <v>108600</v>
      </c>
      <c r="AA80" s="38">
        <f t="shared" si="10"/>
        <v>0.97256100000000001</v>
      </c>
      <c r="AB80" s="38">
        <f t="shared" si="11"/>
        <v>4.8981999999999998E-2</v>
      </c>
      <c r="AC80" s="39">
        <f t="shared" si="28"/>
        <v>4.8981999999999998E-2</v>
      </c>
      <c r="AD80" s="39">
        <f t="shared" si="30"/>
        <v>4.8981999999999998E-2</v>
      </c>
      <c r="AE80" s="80"/>
      <c r="AF80" s="40">
        <v>0</v>
      </c>
      <c r="AG80" s="9">
        <f t="shared" si="14"/>
        <v>0</v>
      </c>
      <c r="AH80" s="11">
        <f t="shared" si="15"/>
        <v>0</v>
      </c>
      <c r="AI80" s="11">
        <f t="shared" si="16"/>
        <v>3538932</v>
      </c>
      <c r="AJ80" s="11">
        <f t="shared" si="17"/>
        <v>3538932</v>
      </c>
      <c r="AK80" s="36">
        <v>6654380</v>
      </c>
      <c r="AL80" s="36">
        <v>5865227</v>
      </c>
      <c r="AM80" s="36">
        <f t="shared" si="23"/>
        <v>-3115448</v>
      </c>
      <c r="AN80" s="68">
        <f t="shared" si="29"/>
        <v>3538932</v>
      </c>
      <c r="AO80" s="68">
        <f t="shared" si="24"/>
        <v>-3115448</v>
      </c>
      <c r="AP80" s="69">
        <f t="shared" si="19"/>
        <v>5605710.1815999998</v>
      </c>
      <c r="AQ80" s="36">
        <f t="shared" si="20"/>
        <v>-259516.81840000022</v>
      </c>
      <c r="AR80" s="70">
        <f t="shared" si="21"/>
        <v>-4.424667935273438E-2</v>
      </c>
      <c r="AS80" s="36"/>
      <c r="AT80" s="22"/>
      <c r="AV80" s="22"/>
      <c r="AW80" s="22"/>
      <c r="BA80" s="22"/>
      <c r="BB80" s="22"/>
      <c r="BC80" s="22"/>
      <c r="BD80" s="22"/>
      <c r="BE80" s="22"/>
    </row>
    <row r="81" spans="1:57" ht="15" x14ac:dyDescent="0.25">
      <c r="A81" s="8" t="s">
        <v>129</v>
      </c>
      <c r="B81" s="8"/>
      <c r="C81" s="26"/>
      <c r="D81" s="26"/>
      <c r="E81" s="26"/>
      <c r="F81" s="1">
        <v>2</v>
      </c>
      <c r="G81" s="66">
        <v>201.09149574221237</v>
      </c>
      <c r="H81" s="8">
        <v>55</v>
      </c>
      <c r="I81" s="3" t="s">
        <v>188</v>
      </c>
      <c r="J81" s="13">
        <f t="shared" si="2"/>
        <v>0</v>
      </c>
      <c r="K81" s="78">
        <v>337.89</v>
      </c>
      <c r="L81" s="36"/>
      <c r="M81" s="35"/>
      <c r="N81" s="81">
        <v>68</v>
      </c>
      <c r="O81" s="67">
        <f t="shared" si="3"/>
        <v>0.20124892716564563</v>
      </c>
      <c r="P81" s="67">
        <f t="shared" si="4"/>
        <v>0</v>
      </c>
      <c r="Q81" s="36">
        <f t="shared" si="5"/>
        <v>0</v>
      </c>
      <c r="R81" s="36">
        <f t="shared" si="22"/>
        <v>0</v>
      </c>
      <c r="S81" s="79">
        <v>4</v>
      </c>
      <c r="T81" s="37">
        <f t="shared" si="26"/>
        <v>20.399999999999999</v>
      </c>
      <c r="U81" s="9">
        <f t="shared" si="27"/>
        <v>358.89</v>
      </c>
      <c r="V81" s="73">
        <v>763464888</v>
      </c>
      <c r="W81" s="73">
        <v>2891</v>
      </c>
      <c r="X81" s="18">
        <f t="shared" si="8"/>
        <v>264083.32</v>
      </c>
      <c r="Y81" s="38">
        <f t="shared" si="9"/>
        <v>1.4320679999999999</v>
      </c>
      <c r="Z81" s="73">
        <v>95219</v>
      </c>
      <c r="AA81" s="38">
        <f t="shared" si="10"/>
        <v>0.85272899999999996</v>
      </c>
      <c r="AB81" s="38">
        <f t="shared" si="11"/>
        <v>-0.258266</v>
      </c>
      <c r="AC81" s="39">
        <f t="shared" si="28"/>
        <v>0.01</v>
      </c>
      <c r="AD81" s="39">
        <f t="shared" si="30"/>
        <v>0.01</v>
      </c>
      <c r="AE81" s="80">
        <v>343</v>
      </c>
      <c r="AF81" s="40">
        <v>13</v>
      </c>
      <c r="AG81" s="9">
        <f t="shared" si="14"/>
        <v>100</v>
      </c>
      <c r="AH81" s="11">
        <f t="shared" si="15"/>
        <v>34300</v>
      </c>
      <c r="AI81" s="11">
        <f t="shared" si="16"/>
        <v>41362</v>
      </c>
      <c r="AJ81" s="11">
        <f t="shared" si="17"/>
        <v>75662</v>
      </c>
      <c r="AK81" s="36">
        <v>82025</v>
      </c>
      <c r="AL81" s="36">
        <v>80959.25</v>
      </c>
      <c r="AM81" s="36">
        <f t="shared" si="23"/>
        <v>-6363</v>
      </c>
      <c r="AN81" s="68">
        <f t="shared" si="29"/>
        <v>75662</v>
      </c>
      <c r="AO81" s="68">
        <f t="shared" si="24"/>
        <v>-6363</v>
      </c>
      <c r="AP81" s="69">
        <f t="shared" si="19"/>
        <v>80429.212100000004</v>
      </c>
      <c r="AQ81" s="36">
        <f t="shared" si="20"/>
        <v>-530.03789999999572</v>
      </c>
      <c r="AR81" s="70">
        <f t="shared" si="21"/>
        <v>-6.5469714702149013E-3</v>
      </c>
      <c r="AS81" s="36"/>
      <c r="AT81" s="22"/>
      <c r="AV81" s="22"/>
      <c r="AW81" s="22"/>
      <c r="BA81" s="22"/>
      <c r="BB81" s="22"/>
      <c r="BC81" s="22"/>
      <c r="BD81" s="22"/>
      <c r="BE81" s="22"/>
    </row>
    <row r="82" spans="1:57" ht="15" x14ac:dyDescent="0.25">
      <c r="A82" s="8" t="s">
        <v>131</v>
      </c>
      <c r="B82" s="8"/>
      <c r="C82" s="26"/>
      <c r="D82" s="26"/>
      <c r="E82" s="26"/>
      <c r="F82" s="1">
        <v>5</v>
      </c>
      <c r="G82" s="66">
        <v>207.42425468524436</v>
      </c>
      <c r="H82" s="8">
        <v>56</v>
      </c>
      <c r="I82" s="3" t="s">
        <v>189</v>
      </c>
      <c r="J82" s="13">
        <f t="shared" si="2"/>
        <v>0</v>
      </c>
      <c r="K82" s="78">
        <v>1832.75</v>
      </c>
      <c r="L82" s="36"/>
      <c r="M82" s="35"/>
      <c r="N82" s="81">
        <v>177</v>
      </c>
      <c r="O82" s="67">
        <f t="shared" si="3"/>
        <v>9.6576183331059884E-2</v>
      </c>
      <c r="P82" s="67">
        <f t="shared" si="4"/>
        <v>0</v>
      </c>
      <c r="Q82" s="36">
        <f t="shared" si="5"/>
        <v>0</v>
      </c>
      <c r="R82" s="36">
        <f t="shared" si="22"/>
        <v>0</v>
      </c>
      <c r="S82" s="79">
        <v>5</v>
      </c>
      <c r="T82" s="37">
        <f t="shared" si="26"/>
        <v>53.1</v>
      </c>
      <c r="U82" s="9">
        <f t="shared" si="27"/>
        <v>1886.6</v>
      </c>
      <c r="V82" s="73">
        <v>1437180040</v>
      </c>
      <c r="W82" s="73">
        <v>11247</v>
      </c>
      <c r="X82" s="18">
        <f t="shared" si="8"/>
        <v>127783.41</v>
      </c>
      <c r="Y82" s="38">
        <f t="shared" si="9"/>
        <v>0.69294199999999995</v>
      </c>
      <c r="Z82" s="73">
        <v>109901</v>
      </c>
      <c r="AA82" s="38">
        <f t="shared" si="10"/>
        <v>0.98421199999999998</v>
      </c>
      <c r="AB82" s="38">
        <f t="shared" si="11"/>
        <v>0.21967700000000001</v>
      </c>
      <c r="AC82" s="39">
        <f t="shared" si="28"/>
        <v>0.21967700000000001</v>
      </c>
      <c r="AD82" s="39">
        <f t="shared" si="30"/>
        <v>0.21967700000000001</v>
      </c>
      <c r="AE82" s="80"/>
      <c r="AF82" s="40">
        <v>0</v>
      </c>
      <c r="AG82" s="9">
        <f t="shared" si="14"/>
        <v>0</v>
      </c>
      <c r="AH82" s="11">
        <f t="shared" si="15"/>
        <v>0</v>
      </c>
      <c r="AI82" s="11">
        <f t="shared" si="16"/>
        <v>4776451</v>
      </c>
      <c r="AJ82" s="11">
        <f t="shared" si="17"/>
        <v>4776451</v>
      </c>
      <c r="AK82" s="36">
        <v>5510220</v>
      </c>
      <c r="AL82" s="36">
        <v>5391340.5</v>
      </c>
      <c r="AM82" s="36">
        <f t="shared" si="23"/>
        <v>-733769</v>
      </c>
      <c r="AN82" s="68">
        <f t="shared" si="29"/>
        <v>4776451</v>
      </c>
      <c r="AO82" s="68">
        <f t="shared" si="24"/>
        <v>-733769</v>
      </c>
      <c r="AP82" s="69">
        <f t="shared" si="19"/>
        <v>5330217.5422999999</v>
      </c>
      <c r="AQ82" s="36">
        <f t="shared" si="20"/>
        <v>-61122.957700000145</v>
      </c>
      <c r="AR82" s="70">
        <f t="shared" si="21"/>
        <v>-1.1337246775639591E-2</v>
      </c>
      <c r="AS82" s="36"/>
      <c r="AT82" s="22"/>
      <c r="AV82" s="22"/>
      <c r="AW82" s="22"/>
      <c r="BA82" s="22"/>
      <c r="BB82" s="22"/>
      <c r="BC82" s="22"/>
      <c r="BD82" s="22"/>
      <c r="BE82" s="22"/>
    </row>
    <row r="83" spans="1:57" ht="15" x14ac:dyDescent="0.25">
      <c r="A83" s="8" t="s">
        <v>131</v>
      </c>
      <c r="B83" s="8"/>
      <c r="C83" s="26"/>
      <c r="D83" s="26"/>
      <c r="E83" s="26"/>
      <c r="F83" s="1">
        <v>1</v>
      </c>
      <c r="G83" s="66">
        <v>23.391404472085778</v>
      </c>
      <c r="H83" s="8">
        <v>57</v>
      </c>
      <c r="I83" s="3" t="s">
        <v>190</v>
      </c>
      <c r="J83" s="13">
        <f t="shared" si="2"/>
        <v>0</v>
      </c>
      <c r="K83" s="78">
        <v>8883.7900000000009</v>
      </c>
      <c r="L83" s="36"/>
      <c r="M83" s="35"/>
      <c r="N83" s="81">
        <v>1808</v>
      </c>
      <c r="O83" s="67">
        <f t="shared" si="3"/>
        <v>0.20351674229129682</v>
      </c>
      <c r="P83" s="67">
        <f t="shared" si="4"/>
        <v>0</v>
      </c>
      <c r="Q83" s="36">
        <f t="shared" si="5"/>
        <v>0</v>
      </c>
      <c r="R83" s="36">
        <f t="shared" si="22"/>
        <v>0</v>
      </c>
      <c r="S83" s="79">
        <v>424</v>
      </c>
      <c r="T83" s="37">
        <f t="shared" si="26"/>
        <v>542.4</v>
      </c>
      <c r="U83" s="9">
        <f t="shared" si="27"/>
        <v>9489.7900000000009</v>
      </c>
      <c r="V83" s="73">
        <v>48268601636.330002</v>
      </c>
      <c r="W83" s="73">
        <v>62359</v>
      </c>
      <c r="X83" s="18">
        <f t="shared" si="8"/>
        <v>774043.87</v>
      </c>
      <c r="Y83" s="38">
        <f t="shared" si="9"/>
        <v>4.1974749999999998</v>
      </c>
      <c r="Z83" s="73">
        <v>134223</v>
      </c>
      <c r="AA83" s="38">
        <f t="shared" si="10"/>
        <v>1.202027</v>
      </c>
      <c r="AB83" s="38">
        <f t="shared" si="11"/>
        <v>-2.2988409999999999</v>
      </c>
      <c r="AC83" s="39">
        <f t="shared" si="28"/>
        <v>0.01</v>
      </c>
      <c r="AD83" s="39">
        <f t="shared" si="30"/>
        <v>0.01</v>
      </c>
      <c r="AE83" s="80"/>
      <c r="AF83" s="40">
        <v>0</v>
      </c>
      <c r="AG83" s="9">
        <f t="shared" si="14"/>
        <v>0</v>
      </c>
      <c r="AH83" s="11">
        <f t="shared" si="15"/>
        <v>0</v>
      </c>
      <c r="AI83" s="11">
        <f t="shared" si="16"/>
        <v>1093698</v>
      </c>
      <c r="AJ83" s="11">
        <f t="shared" si="17"/>
        <v>1093698</v>
      </c>
      <c r="AK83" s="36">
        <v>136859</v>
      </c>
      <c r="AL83" s="36">
        <v>175368.41399999999</v>
      </c>
      <c r="AM83" s="36">
        <f t="shared" si="23"/>
        <v>956839</v>
      </c>
      <c r="AN83" s="68">
        <f t="shared" si="29"/>
        <v>1093698</v>
      </c>
      <c r="AO83" s="68">
        <f t="shared" si="24"/>
        <v>956839</v>
      </c>
      <c r="AP83" s="69">
        <f t="shared" si="19"/>
        <v>277367.45140000002</v>
      </c>
      <c r="AQ83" s="36">
        <f t="shared" si="20"/>
        <v>101999.03740000003</v>
      </c>
      <c r="AR83" s="70">
        <f t="shared" si="21"/>
        <v>0.58162718743638775</v>
      </c>
      <c r="AS83" s="36"/>
      <c r="AT83" s="22"/>
      <c r="AV83" s="22"/>
      <c r="AW83" s="22"/>
      <c r="BA83" s="22"/>
      <c r="BB83" s="22"/>
      <c r="BC83" s="22"/>
      <c r="BD83" s="22"/>
      <c r="BE83" s="22"/>
    </row>
    <row r="84" spans="1:57" ht="15" x14ac:dyDescent="0.25">
      <c r="A84" s="8" t="s">
        <v>153</v>
      </c>
      <c r="B84" s="8"/>
      <c r="C84" s="26"/>
      <c r="D84" s="26"/>
      <c r="E84" s="26"/>
      <c r="F84" s="1">
        <v>9</v>
      </c>
      <c r="G84" s="71">
        <v>288.67889595758743</v>
      </c>
      <c r="H84" s="8">
        <v>58</v>
      </c>
      <c r="I84" s="3" t="s">
        <v>191</v>
      </c>
      <c r="J84" s="13">
        <f t="shared" si="2"/>
        <v>0</v>
      </c>
      <c r="K84" s="78">
        <v>1657.31</v>
      </c>
      <c r="L84" s="36"/>
      <c r="M84" s="35"/>
      <c r="N84" s="81">
        <v>799</v>
      </c>
      <c r="O84" s="67">
        <f t="shared" si="3"/>
        <v>0.48210654615008658</v>
      </c>
      <c r="P84" s="67">
        <f t="shared" si="4"/>
        <v>0</v>
      </c>
      <c r="Q84" s="36">
        <f t="shared" si="5"/>
        <v>0</v>
      </c>
      <c r="R84" s="36">
        <f t="shared" si="22"/>
        <v>0</v>
      </c>
      <c r="S84" s="79">
        <v>22</v>
      </c>
      <c r="T84" s="37">
        <f t="shared" si="26"/>
        <v>239.7</v>
      </c>
      <c r="U84" s="9">
        <f t="shared" si="27"/>
        <v>1900.31</v>
      </c>
      <c r="V84" s="73">
        <v>990230912.33000004</v>
      </c>
      <c r="W84" s="73">
        <v>11719</v>
      </c>
      <c r="X84" s="18">
        <f t="shared" si="8"/>
        <v>84497.9</v>
      </c>
      <c r="Y84" s="38">
        <f t="shared" si="9"/>
        <v>0.45821400000000001</v>
      </c>
      <c r="Z84" s="73">
        <v>57312</v>
      </c>
      <c r="AA84" s="38">
        <f t="shared" si="10"/>
        <v>0.51325500000000002</v>
      </c>
      <c r="AB84" s="38">
        <f t="shared" si="11"/>
        <v>0.52527400000000002</v>
      </c>
      <c r="AC84" s="39">
        <f t="shared" si="28"/>
        <v>0.52527400000000002</v>
      </c>
      <c r="AD84" s="39">
        <f t="shared" si="30"/>
        <v>0.52527400000000002</v>
      </c>
      <c r="AE84" s="80"/>
      <c r="AF84" s="40">
        <v>0</v>
      </c>
      <c r="AG84" s="9">
        <f t="shared" si="14"/>
        <v>0</v>
      </c>
      <c r="AH84" s="11">
        <f t="shared" si="15"/>
        <v>0</v>
      </c>
      <c r="AI84" s="11">
        <f t="shared" si="16"/>
        <v>11504064</v>
      </c>
      <c r="AJ84" s="11">
        <f t="shared" si="17"/>
        <v>11504064</v>
      </c>
      <c r="AK84" s="36">
        <v>10775767</v>
      </c>
      <c r="AL84" s="36">
        <v>10797966.368000001</v>
      </c>
      <c r="AM84" s="36">
        <f t="shared" si="23"/>
        <v>728297</v>
      </c>
      <c r="AN84" s="68">
        <f t="shared" si="29"/>
        <v>11504064</v>
      </c>
      <c r="AO84" s="68">
        <f t="shared" si="24"/>
        <v>728297</v>
      </c>
      <c r="AP84" s="69">
        <f t="shared" si="19"/>
        <v>10875602.828200001</v>
      </c>
      <c r="AQ84" s="36">
        <f t="shared" si="20"/>
        <v>77636.460200000554</v>
      </c>
      <c r="AR84" s="70">
        <f t="shared" si="21"/>
        <v>7.1899149852955486E-3</v>
      </c>
      <c r="AS84" s="36"/>
      <c r="AT84" s="22"/>
      <c r="AV84" s="22"/>
      <c r="AW84" s="22"/>
      <c r="BA84" s="22"/>
      <c r="BB84" s="22"/>
      <c r="BC84" s="22"/>
      <c r="BD84" s="22"/>
      <c r="BE84" s="22"/>
    </row>
    <row r="85" spans="1:57" ht="15" x14ac:dyDescent="0.25">
      <c r="A85" s="8" t="s">
        <v>140</v>
      </c>
      <c r="B85" s="8"/>
      <c r="C85" s="26">
        <v>1</v>
      </c>
      <c r="D85" s="26"/>
      <c r="E85" s="26"/>
      <c r="F85" s="1">
        <v>8</v>
      </c>
      <c r="G85" s="71">
        <v>236.59854401982864</v>
      </c>
      <c r="H85" s="8">
        <v>59</v>
      </c>
      <c r="I85" s="3" t="s">
        <v>192</v>
      </c>
      <c r="J85" s="13">
        <f t="shared" si="2"/>
        <v>0</v>
      </c>
      <c r="K85" s="78">
        <v>4697.46</v>
      </c>
      <c r="L85" s="36"/>
      <c r="M85" s="35"/>
      <c r="N85" s="81">
        <v>2366</v>
      </c>
      <c r="O85" s="67">
        <f t="shared" si="3"/>
        <v>0.50367645493522029</v>
      </c>
      <c r="P85" s="67">
        <f t="shared" si="4"/>
        <v>0</v>
      </c>
      <c r="Q85" s="36">
        <f t="shared" si="5"/>
        <v>0</v>
      </c>
      <c r="R85" s="36">
        <f t="shared" si="22"/>
        <v>0</v>
      </c>
      <c r="S85" s="79">
        <v>150</v>
      </c>
      <c r="T85" s="37">
        <f t="shared" si="26"/>
        <v>709.8</v>
      </c>
      <c r="U85" s="9">
        <f t="shared" si="27"/>
        <v>5429.76</v>
      </c>
      <c r="V85" s="73">
        <v>5163608399.3299999</v>
      </c>
      <c r="W85" s="73">
        <v>39261</v>
      </c>
      <c r="X85" s="18">
        <f t="shared" si="8"/>
        <v>131520.04</v>
      </c>
      <c r="Y85" s="38">
        <f t="shared" si="9"/>
        <v>0.71320499999999998</v>
      </c>
      <c r="Z85" s="73">
        <v>64074</v>
      </c>
      <c r="AA85" s="38">
        <f t="shared" si="10"/>
        <v>0.57381099999999996</v>
      </c>
      <c r="AB85" s="38">
        <f t="shared" si="11"/>
        <v>0.32861299999999999</v>
      </c>
      <c r="AC85" s="39">
        <f t="shared" si="28"/>
        <v>0.32861299999999999</v>
      </c>
      <c r="AD85" s="39">
        <f t="shared" si="30"/>
        <v>0.32861299999999999</v>
      </c>
      <c r="AE85" s="80"/>
      <c r="AF85" s="40">
        <v>0</v>
      </c>
      <c r="AG85" s="9">
        <f t="shared" si="14"/>
        <v>0</v>
      </c>
      <c r="AH85" s="11">
        <f t="shared" si="15"/>
        <v>0</v>
      </c>
      <c r="AI85" s="11">
        <f t="shared" si="16"/>
        <v>20563939</v>
      </c>
      <c r="AJ85" s="11">
        <f t="shared" si="17"/>
        <v>20563939</v>
      </c>
      <c r="AK85" s="36">
        <v>25040045</v>
      </c>
      <c r="AL85" s="36">
        <v>25040045</v>
      </c>
      <c r="AM85" s="36">
        <f t="shared" si="23"/>
        <v>-4476106</v>
      </c>
      <c r="AN85" s="68">
        <f t="shared" si="29"/>
        <v>25040045</v>
      </c>
      <c r="AO85" s="68">
        <f t="shared" si="24"/>
        <v>0</v>
      </c>
      <c r="AP85" s="69">
        <f t="shared" si="19"/>
        <v>25040045</v>
      </c>
      <c r="AQ85" s="36">
        <f t="shared" si="20"/>
        <v>0</v>
      </c>
      <c r="AR85" s="70">
        <f t="shared" si="21"/>
        <v>0</v>
      </c>
      <c r="AS85" s="36"/>
      <c r="AT85" s="22"/>
      <c r="AV85" s="22"/>
      <c r="AW85" s="22"/>
      <c r="BA85" s="22"/>
      <c r="BB85" s="22"/>
      <c r="BC85" s="22"/>
      <c r="BD85" s="22"/>
      <c r="BE85" s="22"/>
    </row>
    <row r="86" spans="1:57" ht="15" x14ac:dyDescent="0.25">
      <c r="A86" s="8" t="s">
        <v>131</v>
      </c>
      <c r="B86" s="8"/>
      <c r="C86" s="26"/>
      <c r="D86" s="26"/>
      <c r="E86" s="26"/>
      <c r="F86" s="1">
        <v>2</v>
      </c>
      <c r="G86" s="66">
        <v>182.0811947745994</v>
      </c>
      <c r="H86" s="8">
        <v>60</v>
      </c>
      <c r="I86" s="3" t="s">
        <v>193</v>
      </c>
      <c r="J86" s="13">
        <f t="shared" si="2"/>
        <v>0</v>
      </c>
      <c r="K86" s="78">
        <v>3337.69</v>
      </c>
      <c r="L86" s="36"/>
      <c r="M86" s="35"/>
      <c r="N86" s="81">
        <v>419</v>
      </c>
      <c r="O86" s="67">
        <f t="shared" si="3"/>
        <v>0.12553592454661758</v>
      </c>
      <c r="P86" s="67">
        <f t="shared" si="4"/>
        <v>0</v>
      </c>
      <c r="Q86" s="36">
        <f t="shared" si="5"/>
        <v>0</v>
      </c>
      <c r="R86" s="36">
        <f t="shared" si="22"/>
        <v>0</v>
      </c>
      <c r="S86" s="79">
        <v>65</v>
      </c>
      <c r="T86" s="37">
        <f t="shared" si="26"/>
        <v>125.7</v>
      </c>
      <c r="U86" s="9">
        <f t="shared" si="27"/>
        <v>3473.14</v>
      </c>
      <c r="V86" s="73">
        <v>4499327049.6700001</v>
      </c>
      <c r="W86" s="73">
        <v>22277</v>
      </c>
      <c r="X86" s="18">
        <f t="shared" si="8"/>
        <v>201971.86</v>
      </c>
      <c r="Y86" s="38">
        <f t="shared" si="9"/>
        <v>1.0952500000000001</v>
      </c>
      <c r="Z86" s="73">
        <v>102199</v>
      </c>
      <c r="AA86" s="38">
        <f t="shared" si="10"/>
        <v>0.915238</v>
      </c>
      <c r="AB86" s="38">
        <f t="shared" si="11"/>
        <v>-4.1245999999999998E-2</v>
      </c>
      <c r="AC86" s="39">
        <f t="shared" si="28"/>
        <v>0.01</v>
      </c>
      <c r="AD86" s="39">
        <f t="shared" si="30"/>
        <v>0.01</v>
      </c>
      <c r="AE86" s="80"/>
      <c r="AF86" s="40">
        <v>0</v>
      </c>
      <c r="AG86" s="9">
        <f t="shared" si="14"/>
        <v>0</v>
      </c>
      <c r="AH86" s="11">
        <f t="shared" si="15"/>
        <v>0</v>
      </c>
      <c r="AI86" s="11">
        <f t="shared" si="16"/>
        <v>400279</v>
      </c>
      <c r="AJ86" s="11">
        <f t="shared" si="17"/>
        <v>400279</v>
      </c>
      <c r="AK86" s="36">
        <v>2740394</v>
      </c>
      <c r="AL86" s="36">
        <v>2156390</v>
      </c>
      <c r="AM86" s="36">
        <f t="shared" si="23"/>
        <v>-2340115</v>
      </c>
      <c r="AN86" s="68">
        <f t="shared" si="29"/>
        <v>400279</v>
      </c>
      <c r="AO86" s="68">
        <f t="shared" si="24"/>
        <v>-2340115</v>
      </c>
      <c r="AP86" s="69">
        <f t="shared" si="19"/>
        <v>1961458.4205</v>
      </c>
      <c r="AQ86" s="36">
        <f t="shared" si="20"/>
        <v>-194931.57949999999</v>
      </c>
      <c r="AR86" s="70">
        <f t="shared" si="21"/>
        <v>-9.0397182096003045E-2</v>
      </c>
      <c r="AS86" s="36"/>
      <c r="AT86" s="22"/>
      <c r="AV86" s="22"/>
      <c r="AW86" s="22"/>
      <c r="BA86" s="22"/>
      <c r="BB86" s="22"/>
      <c r="BC86" s="22"/>
      <c r="BD86" s="22"/>
      <c r="BE86" s="22"/>
    </row>
    <row r="87" spans="1:57" ht="15" x14ac:dyDescent="0.25">
      <c r="A87" s="8" t="s">
        <v>125</v>
      </c>
      <c r="B87" s="8"/>
      <c r="C87" s="26"/>
      <c r="D87" s="26"/>
      <c r="E87" s="26"/>
      <c r="F87" s="1">
        <v>4</v>
      </c>
      <c r="G87" s="66">
        <v>216.84506739331732</v>
      </c>
      <c r="H87" s="8">
        <v>61</v>
      </c>
      <c r="I87" s="3" t="s">
        <v>194</v>
      </c>
      <c r="J87" s="13">
        <f t="shared" si="2"/>
        <v>0</v>
      </c>
      <c r="K87" s="78">
        <v>1210.23</v>
      </c>
      <c r="L87" s="36"/>
      <c r="M87" s="35"/>
      <c r="N87" s="81">
        <v>188</v>
      </c>
      <c r="O87" s="67">
        <f t="shared" si="3"/>
        <v>0.15534237293737554</v>
      </c>
      <c r="P87" s="67">
        <f t="shared" si="4"/>
        <v>0</v>
      </c>
      <c r="Q87" s="36">
        <f t="shared" si="5"/>
        <v>0</v>
      </c>
      <c r="R87" s="36">
        <f t="shared" si="22"/>
        <v>0</v>
      </c>
      <c r="S87" s="79">
        <v>11</v>
      </c>
      <c r="T87" s="37">
        <f t="shared" si="26"/>
        <v>56.4</v>
      </c>
      <c r="U87" s="9">
        <f t="shared" si="27"/>
        <v>1268.2800000000002</v>
      </c>
      <c r="V87" s="73">
        <v>1279770927.3299999</v>
      </c>
      <c r="W87" s="73">
        <v>8260</v>
      </c>
      <c r="X87" s="18">
        <f t="shared" si="8"/>
        <v>154935.95000000001</v>
      </c>
      <c r="Y87" s="38">
        <f t="shared" si="9"/>
        <v>0.84018499999999996</v>
      </c>
      <c r="Z87" s="73">
        <v>99258</v>
      </c>
      <c r="AA87" s="38">
        <f t="shared" si="10"/>
        <v>0.88890000000000002</v>
      </c>
      <c r="AB87" s="38">
        <f t="shared" si="11"/>
        <v>0.145201</v>
      </c>
      <c r="AC87" s="39">
        <f t="shared" si="28"/>
        <v>0.145201</v>
      </c>
      <c r="AD87" s="39">
        <f t="shared" si="30"/>
        <v>0.145201</v>
      </c>
      <c r="AE87" s="80">
        <v>1207</v>
      </c>
      <c r="AF87" s="40">
        <v>13</v>
      </c>
      <c r="AG87" s="9">
        <f t="shared" si="14"/>
        <v>100</v>
      </c>
      <c r="AH87" s="11">
        <f t="shared" si="15"/>
        <v>120700</v>
      </c>
      <c r="AI87" s="11">
        <f t="shared" si="16"/>
        <v>2122392</v>
      </c>
      <c r="AJ87" s="11">
        <f t="shared" si="17"/>
        <v>2243092</v>
      </c>
      <c r="AK87" s="36">
        <v>1971482</v>
      </c>
      <c r="AL87" s="36">
        <v>1979789.5430000001</v>
      </c>
      <c r="AM87" s="36">
        <f t="shared" si="23"/>
        <v>271610</v>
      </c>
      <c r="AN87" s="68">
        <f t="shared" si="29"/>
        <v>2243092</v>
      </c>
      <c r="AO87" s="68">
        <f t="shared" si="24"/>
        <v>271610</v>
      </c>
      <c r="AP87" s="69">
        <f t="shared" si="19"/>
        <v>2008743.169</v>
      </c>
      <c r="AQ87" s="36">
        <f t="shared" si="20"/>
        <v>28953.625999999931</v>
      </c>
      <c r="AR87" s="70">
        <f t="shared" si="21"/>
        <v>1.4624597903535815E-2</v>
      </c>
      <c r="AS87" s="36"/>
      <c r="AT87" s="22"/>
      <c r="AV87" s="22"/>
      <c r="AW87" s="22"/>
      <c r="BA87" s="22"/>
      <c r="BB87" s="22"/>
      <c r="BC87" s="22"/>
      <c r="BD87" s="22"/>
      <c r="BE87" s="22"/>
    </row>
    <row r="88" spans="1:57" ht="15" x14ac:dyDescent="0.25">
      <c r="A88" s="8" t="s">
        <v>140</v>
      </c>
      <c r="B88" s="8"/>
      <c r="C88" s="26">
        <v>1</v>
      </c>
      <c r="D88" s="26">
        <v>1</v>
      </c>
      <c r="E88" s="26"/>
      <c r="F88" s="1">
        <v>9</v>
      </c>
      <c r="G88" s="71">
        <v>284.49778722286788</v>
      </c>
      <c r="H88" s="8">
        <v>62</v>
      </c>
      <c r="I88" s="3" t="s">
        <v>195</v>
      </c>
      <c r="J88" s="13">
        <f t="shared" si="2"/>
        <v>0</v>
      </c>
      <c r="K88" s="78">
        <v>6330</v>
      </c>
      <c r="L88" s="36"/>
      <c r="M88" s="35"/>
      <c r="N88" s="81">
        <v>2955</v>
      </c>
      <c r="O88" s="67">
        <f t="shared" si="3"/>
        <v>0.46682464454976302</v>
      </c>
      <c r="P88" s="67">
        <f t="shared" si="4"/>
        <v>0</v>
      </c>
      <c r="Q88" s="36">
        <f t="shared" si="5"/>
        <v>0</v>
      </c>
      <c r="R88" s="36">
        <f t="shared" si="22"/>
        <v>0</v>
      </c>
      <c r="S88" s="79">
        <v>369</v>
      </c>
      <c r="T88" s="37">
        <f t="shared" si="26"/>
        <v>886.5</v>
      </c>
      <c r="U88" s="9">
        <f t="shared" si="27"/>
        <v>7271.85</v>
      </c>
      <c r="V88" s="73">
        <v>5566243271.6700001</v>
      </c>
      <c r="W88" s="73">
        <v>61125</v>
      </c>
      <c r="X88" s="18">
        <f t="shared" si="8"/>
        <v>91063.28</v>
      </c>
      <c r="Y88" s="38">
        <f t="shared" si="9"/>
        <v>0.49381700000000001</v>
      </c>
      <c r="Z88" s="73">
        <v>71665</v>
      </c>
      <c r="AA88" s="38">
        <f t="shared" si="10"/>
        <v>0.64179200000000003</v>
      </c>
      <c r="AB88" s="38">
        <f t="shared" si="11"/>
        <v>0.46179100000000001</v>
      </c>
      <c r="AC88" s="39">
        <f t="shared" si="28"/>
        <v>0.46179100000000001</v>
      </c>
      <c r="AD88" s="39">
        <f t="shared" si="30"/>
        <v>0.46179100000000001</v>
      </c>
      <c r="AE88" s="80"/>
      <c r="AF88" s="40">
        <v>0</v>
      </c>
      <c r="AG88" s="9">
        <f t="shared" si="14"/>
        <v>0</v>
      </c>
      <c r="AH88" s="11">
        <f t="shared" si="15"/>
        <v>0</v>
      </c>
      <c r="AI88" s="11">
        <f t="shared" si="16"/>
        <v>38701813</v>
      </c>
      <c r="AJ88" s="11">
        <f t="shared" si="17"/>
        <v>38701813</v>
      </c>
      <c r="AK88" s="36">
        <v>26945481</v>
      </c>
      <c r="AL88" s="36">
        <v>27385774.875</v>
      </c>
      <c r="AM88" s="36">
        <f t="shared" si="23"/>
        <v>11756332</v>
      </c>
      <c r="AN88" s="68">
        <f t="shared" si="29"/>
        <v>38701813</v>
      </c>
      <c r="AO88" s="68">
        <f t="shared" si="24"/>
        <v>11756332</v>
      </c>
      <c r="AP88" s="69">
        <f t="shared" si="19"/>
        <v>28638999.8662</v>
      </c>
      <c r="AQ88" s="36">
        <f t="shared" si="20"/>
        <v>1253224.9912</v>
      </c>
      <c r="AR88" s="70">
        <f t="shared" si="21"/>
        <v>4.5761896346560839E-2</v>
      </c>
      <c r="AS88" s="36"/>
      <c r="AT88" s="22"/>
      <c r="AV88" s="22"/>
      <c r="AW88" s="22"/>
      <c r="BA88" s="22"/>
      <c r="BB88" s="22"/>
      <c r="BC88" s="22"/>
      <c r="BD88" s="22"/>
      <c r="BE88" s="22"/>
    </row>
    <row r="89" spans="1:57" ht="15" x14ac:dyDescent="0.25">
      <c r="A89" s="8" t="s">
        <v>129</v>
      </c>
      <c r="B89" s="8"/>
      <c r="C89" s="26"/>
      <c r="D89" s="26"/>
      <c r="E89" s="26"/>
      <c r="F89" s="1">
        <v>7</v>
      </c>
      <c r="G89" s="71">
        <v>254.31112094860242</v>
      </c>
      <c r="H89" s="8">
        <v>63</v>
      </c>
      <c r="I89" s="3" t="s">
        <v>196</v>
      </c>
      <c r="J89" s="13">
        <f t="shared" si="2"/>
        <v>0</v>
      </c>
      <c r="K89" s="78">
        <v>138.78</v>
      </c>
      <c r="L89" s="36"/>
      <c r="M89" s="35"/>
      <c r="N89" s="81">
        <v>43</v>
      </c>
      <c r="O89" s="67">
        <f t="shared" si="3"/>
        <v>0.30984291684680787</v>
      </c>
      <c r="P89" s="67">
        <f t="shared" si="4"/>
        <v>0</v>
      </c>
      <c r="Q89" s="36">
        <f t="shared" si="5"/>
        <v>0</v>
      </c>
      <c r="R89" s="36">
        <f t="shared" si="22"/>
        <v>0</v>
      </c>
      <c r="S89" s="79"/>
      <c r="T89" s="37">
        <f t="shared" si="26"/>
        <v>12.9</v>
      </c>
      <c r="U89" s="9">
        <f t="shared" si="27"/>
        <v>151.68</v>
      </c>
      <c r="V89" s="73">
        <v>202386004.66999999</v>
      </c>
      <c r="W89" s="73">
        <v>1837</v>
      </c>
      <c r="X89" s="18">
        <f t="shared" si="8"/>
        <v>110172.02</v>
      </c>
      <c r="Y89" s="38">
        <f t="shared" si="9"/>
        <v>0.59743900000000005</v>
      </c>
      <c r="Z89" s="73">
        <v>73684</v>
      </c>
      <c r="AA89" s="38">
        <f t="shared" si="10"/>
        <v>0.65987300000000004</v>
      </c>
      <c r="AB89" s="38">
        <f t="shared" si="11"/>
        <v>0.38383099999999998</v>
      </c>
      <c r="AC89" s="39">
        <f t="shared" si="28"/>
        <v>0.38383099999999998</v>
      </c>
      <c r="AD89" s="39">
        <f t="shared" si="30"/>
        <v>0.38383099999999998</v>
      </c>
      <c r="AE89" s="80">
        <v>61</v>
      </c>
      <c r="AF89" s="40">
        <v>6</v>
      </c>
      <c r="AG89" s="9">
        <f t="shared" si="14"/>
        <v>46.15</v>
      </c>
      <c r="AH89" s="11">
        <f t="shared" si="15"/>
        <v>2815</v>
      </c>
      <c r="AI89" s="11">
        <f t="shared" si="16"/>
        <v>670980</v>
      </c>
      <c r="AJ89" s="11">
        <f t="shared" si="17"/>
        <v>673795</v>
      </c>
      <c r="AK89" s="36">
        <v>1312383</v>
      </c>
      <c r="AL89" s="36">
        <v>1167197.75</v>
      </c>
      <c r="AM89" s="36">
        <f t="shared" si="23"/>
        <v>-638588</v>
      </c>
      <c r="AN89" s="68">
        <f t="shared" si="29"/>
        <v>673795</v>
      </c>
      <c r="AO89" s="68">
        <f t="shared" si="24"/>
        <v>-638588</v>
      </c>
      <c r="AP89" s="69">
        <f t="shared" si="19"/>
        <v>1114003.3696000001</v>
      </c>
      <c r="AQ89" s="36">
        <f t="shared" si="20"/>
        <v>-53194.380399999907</v>
      </c>
      <c r="AR89" s="70">
        <f t="shared" si="21"/>
        <v>-4.5574437065184464E-2</v>
      </c>
      <c r="AS89" s="36"/>
      <c r="AT89" s="22"/>
      <c r="AV89" s="22"/>
      <c r="AW89" s="22"/>
      <c r="BA89" s="22"/>
      <c r="BB89" s="22"/>
      <c r="BC89" s="22"/>
      <c r="BD89" s="22"/>
      <c r="BE89" s="22"/>
    </row>
    <row r="90" spans="1:57" ht="15" x14ac:dyDescent="0.25">
      <c r="A90" s="8" t="s">
        <v>145</v>
      </c>
      <c r="B90" s="8">
        <v>1</v>
      </c>
      <c r="C90" s="26">
        <v>1</v>
      </c>
      <c r="D90" s="26">
        <v>0</v>
      </c>
      <c r="E90" s="26">
        <v>1</v>
      </c>
      <c r="F90" s="1">
        <v>10</v>
      </c>
      <c r="G90" s="71">
        <v>490.47579487884548</v>
      </c>
      <c r="H90" s="8">
        <v>64</v>
      </c>
      <c r="I90" s="3" t="s">
        <v>197</v>
      </c>
      <c r="J90" s="13">
        <f t="shared" si="2"/>
        <v>0</v>
      </c>
      <c r="K90" s="78">
        <v>20501.849999999999</v>
      </c>
      <c r="L90" s="36"/>
      <c r="M90" s="35"/>
      <c r="N90" s="81">
        <v>18067</v>
      </c>
      <c r="O90" s="67">
        <f t="shared" si="3"/>
        <v>0.88123754685552769</v>
      </c>
      <c r="P90" s="67">
        <f t="shared" si="4"/>
        <v>0.13123754685552769</v>
      </c>
      <c r="Q90" s="36">
        <f t="shared" si="5"/>
        <v>2690.6125000000002</v>
      </c>
      <c r="R90" s="36">
        <f t="shared" si="22"/>
        <v>134.53062500000001</v>
      </c>
      <c r="S90" s="79">
        <v>4476</v>
      </c>
      <c r="T90" s="37">
        <f t="shared" si="26"/>
        <v>5420.1</v>
      </c>
      <c r="U90" s="9">
        <f t="shared" si="27"/>
        <v>26727.880624999998</v>
      </c>
      <c r="V90" s="73">
        <v>6453383649</v>
      </c>
      <c r="W90" s="73">
        <v>123243</v>
      </c>
      <c r="X90" s="18">
        <f t="shared" si="8"/>
        <v>52363.08</v>
      </c>
      <c r="Y90" s="38">
        <f t="shared" si="9"/>
        <v>0.28395399999999998</v>
      </c>
      <c r="Z90" s="73">
        <v>32095</v>
      </c>
      <c r="AA90" s="38">
        <f t="shared" si="10"/>
        <v>0.28742499999999999</v>
      </c>
      <c r="AB90" s="38">
        <f t="shared" si="11"/>
        <v>0.715005</v>
      </c>
      <c r="AC90" s="39">
        <f t="shared" si="28"/>
        <v>0.715005</v>
      </c>
      <c r="AD90" s="39">
        <f>IF(G90&gt;300,+AC90+$AD$16,AC90)</f>
        <v>0.77500499999999994</v>
      </c>
      <c r="AE90" s="80"/>
      <c r="AF90" s="40">
        <v>0</v>
      </c>
      <c r="AG90" s="9">
        <f t="shared" si="14"/>
        <v>0</v>
      </c>
      <c r="AH90" s="11">
        <f t="shared" si="15"/>
        <v>0</v>
      </c>
      <c r="AI90" s="11">
        <f t="shared" si="16"/>
        <v>238731629</v>
      </c>
      <c r="AJ90" s="11">
        <f t="shared" si="17"/>
        <v>238731629</v>
      </c>
      <c r="AK90" s="36">
        <v>200518244</v>
      </c>
      <c r="AL90" s="36">
        <v>201834646.12900001</v>
      </c>
      <c r="AM90" s="36">
        <f t="shared" si="23"/>
        <v>38213385</v>
      </c>
      <c r="AN90" s="68">
        <f t="shared" si="29"/>
        <v>238731629</v>
      </c>
      <c r="AO90" s="68">
        <f t="shared" si="24"/>
        <v>38213385</v>
      </c>
      <c r="AP90" s="69">
        <f t="shared" si="19"/>
        <v>205908192.97</v>
      </c>
      <c r="AQ90" s="36">
        <f t="shared" si="20"/>
        <v>4073546.8409999907</v>
      </c>
      <c r="AR90" s="70">
        <f t="shared" si="21"/>
        <v>2.0182594609631271E-2</v>
      </c>
      <c r="AS90" s="36"/>
      <c r="AT90" s="22"/>
      <c r="AV90" s="22"/>
      <c r="AW90" s="22"/>
      <c r="BA90" s="22"/>
      <c r="BB90" s="22"/>
      <c r="BC90" s="22"/>
      <c r="BD90" s="22"/>
      <c r="BE90" s="22"/>
    </row>
    <row r="91" spans="1:57" ht="15" x14ac:dyDescent="0.25">
      <c r="A91" s="8" t="s">
        <v>129</v>
      </c>
      <c r="B91" s="8"/>
      <c r="C91" s="26"/>
      <c r="D91" s="26"/>
      <c r="E91" s="26"/>
      <c r="F91" s="1">
        <v>6</v>
      </c>
      <c r="G91" s="66">
        <v>219.4613443455377</v>
      </c>
      <c r="H91" s="8">
        <v>65</v>
      </c>
      <c r="I91" s="3" t="s">
        <v>198</v>
      </c>
      <c r="J91" s="13">
        <f t="shared" ref="J91:J154" si="31">AW91</f>
        <v>0</v>
      </c>
      <c r="K91" s="78">
        <v>244.91</v>
      </c>
      <c r="L91" s="36"/>
      <c r="M91" s="35"/>
      <c r="N91" s="81">
        <v>57</v>
      </c>
      <c r="O91" s="67">
        <f t="shared" ref="O91:O154" si="32">N91/K91</f>
        <v>0.23273855702094648</v>
      </c>
      <c r="P91" s="67">
        <f t="shared" ref="P91:P154" si="33">IF(O91&gt;0.75,+O91-0.75,0)</f>
        <v>0</v>
      </c>
      <c r="Q91" s="36">
        <f t="shared" ref="Q91:Q154" si="34">P91*K91</f>
        <v>0</v>
      </c>
      <c r="R91" s="36">
        <f t="shared" si="22"/>
        <v>0</v>
      </c>
      <c r="S91" s="79">
        <v>1</v>
      </c>
      <c r="T91" s="37">
        <f t="shared" ref="T91:T122" si="35">ROUND(N91*$T$2,2)</f>
        <v>17.100000000000001</v>
      </c>
      <c r="U91" s="9">
        <f t="shared" ref="U91:U122" si="36">K91+T91+0.15*S91+0.05*Q91</f>
        <v>262.15999999999997</v>
      </c>
      <c r="V91" s="73">
        <v>286383784.32999998</v>
      </c>
      <c r="W91" s="73">
        <v>2117</v>
      </c>
      <c r="X91" s="18">
        <f t="shared" ref="X91:X154" si="37">ROUND(V91/W91,2)</f>
        <v>135278.12</v>
      </c>
      <c r="Y91" s="38">
        <f t="shared" ref="Y91:Y154" si="38">(ROUND(X91/$Y$21,6))</f>
        <v>0.73358400000000001</v>
      </c>
      <c r="Z91" s="73">
        <v>89438</v>
      </c>
      <c r="AA91" s="38">
        <f t="shared" ref="AA91:AA154" si="39">(ROUND(Z91/$AA$21,6))</f>
        <v>0.80095700000000003</v>
      </c>
      <c r="AB91" s="38">
        <f t="shared" ref="AB91:AB154" si="40">ROUND(1-((Y91*$T$4)+(AA91*$T$5)),6)</f>
        <v>0.24620400000000001</v>
      </c>
      <c r="AC91" s="39">
        <f t="shared" ref="AC91:AC122" si="41">IF(C91=1,MAX($T$7,AB91),MAX($T$6,AB91))</f>
        <v>0.24620400000000001</v>
      </c>
      <c r="AD91" s="39">
        <f t="shared" ref="AD91:AD113" si="42">IF(G91&gt;300,+AC91+$AD$17,AC91)</f>
        <v>0.24620400000000001</v>
      </c>
      <c r="AE91" s="80"/>
      <c r="AF91" s="40">
        <v>0</v>
      </c>
      <c r="AG91" s="9">
        <f t="shared" ref="AG91:AG154" si="43">ROUND((AF91/13)*100,2)</f>
        <v>0</v>
      </c>
      <c r="AH91" s="11">
        <f t="shared" ref="AH91:AH154" si="44">ROUND(AE91*AG91,0)</f>
        <v>0</v>
      </c>
      <c r="AI91" s="11">
        <f t="shared" ref="AI91:AI154" si="45">ROUND(U91*AD91*$AI$21,0)</f>
        <v>743879</v>
      </c>
      <c r="AJ91" s="11">
        <f t="shared" ref="AJ91:AJ154" si="46">IF(AI91=0, 0,AH91+AI91)</f>
        <v>743879</v>
      </c>
      <c r="AK91" s="36">
        <v>1327652</v>
      </c>
      <c r="AL91" s="36">
        <v>1175504.25</v>
      </c>
      <c r="AM91" s="36">
        <f t="shared" si="23"/>
        <v>-583773</v>
      </c>
      <c r="AN91" s="68">
        <f t="shared" ref="AN91:AN122" si="47">IF(AND(C91=1,AL91&gt;AJ91),AL91,AJ91)</f>
        <v>743879</v>
      </c>
      <c r="AO91" s="68">
        <f t="shared" si="24"/>
        <v>-583773</v>
      </c>
      <c r="AP91" s="69">
        <f t="shared" ref="AP91:AP154" si="48">IF(AO91&gt;0,($AP$21*AO91)+AL91,($AP$24*AO91)+AL91)</f>
        <v>1126875.9591000001</v>
      </c>
      <c r="AQ91" s="36">
        <f t="shared" ref="AQ91:AQ154" si="49">AP91-AL91</f>
        <v>-48628.290899999905</v>
      </c>
      <c r="AR91" s="70">
        <f t="shared" ref="AR91:AR154" si="50">AQ91/AL91</f>
        <v>-4.1368026444821362E-2</v>
      </c>
      <c r="AS91" s="36"/>
      <c r="AT91" s="22"/>
      <c r="AV91" s="22"/>
      <c r="AW91" s="22"/>
      <c r="BA91" s="22"/>
      <c r="BB91" s="22"/>
      <c r="BC91" s="22"/>
      <c r="BD91" s="22"/>
      <c r="BE91" s="22"/>
    </row>
    <row r="92" spans="1:57" ht="15" x14ac:dyDescent="0.25">
      <c r="A92" s="8" t="s">
        <v>125</v>
      </c>
      <c r="B92" s="8"/>
      <c r="C92" s="26"/>
      <c r="D92" s="26"/>
      <c r="E92" s="26"/>
      <c r="F92" s="1">
        <v>5</v>
      </c>
      <c r="G92" s="66">
        <v>209.72707158344167</v>
      </c>
      <c r="H92" s="8">
        <v>66</v>
      </c>
      <c r="I92" s="3" t="s">
        <v>199</v>
      </c>
      <c r="J92" s="13">
        <f t="shared" si="31"/>
        <v>0</v>
      </c>
      <c r="K92" s="78">
        <v>797.65</v>
      </c>
      <c r="L92" s="36"/>
      <c r="M92" s="35"/>
      <c r="N92" s="81">
        <v>132</v>
      </c>
      <c r="O92" s="67">
        <f t="shared" si="32"/>
        <v>0.16548611546417602</v>
      </c>
      <c r="P92" s="67">
        <f t="shared" si="33"/>
        <v>0</v>
      </c>
      <c r="Q92" s="36">
        <f t="shared" si="34"/>
        <v>0</v>
      </c>
      <c r="R92" s="36">
        <f t="shared" ref="R92:R155" si="51">Q92*0.05</f>
        <v>0</v>
      </c>
      <c r="S92" s="79">
        <v>3</v>
      </c>
      <c r="T92" s="37">
        <f t="shared" si="35"/>
        <v>39.6</v>
      </c>
      <c r="U92" s="9">
        <f t="shared" si="36"/>
        <v>837.7</v>
      </c>
      <c r="V92" s="73">
        <v>774736423</v>
      </c>
      <c r="W92" s="73">
        <v>5466</v>
      </c>
      <c r="X92" s="18">
        <f t="shared" si="37"/>
        <v>141737.35999999999</v>
      </c>
      <c r="Y92" s="38">
        <f t="shared" si="38"/>
        <v>0.76861199999999996</v>
      </c>
      <c r="Z92" s="73">
        <v>93770</v>
      </c>
      <c r="AA92" s="38">
        <f t="shared" si="39"/>
        <v>0.83975200000000005</v>
      </c>
      <c r="AB92" s="38">
        <f t="shared" si="40"/>
        <v>0.21004600000000001</v>
      </c>
      <c r="AC92" s="39">
        <f t="shared" si="41"/>
        <v>0.21004600000000001</v>
      </c>
      <c r="AD92" s="39">
        <f t="shared" si="42"/>
        <v>0.21004600000000001</v>
      </c>
      <c r="AE92" s="80">
        <v>798</v>
      </c>
      <c r="AF92" s="40">
        <v>13</v>
      </c>
      <c r="AG92" s="9">
        <f t="shared" si="43"/>
        <v>100</v>
      </c>
      <c r="AH92" s="11">
        <f t="shared" si="44"/>
        <v>79800</v>
      </c>
      <c r="AI92" s="11">
        <f t="shared" si="45"/>
        <v>2027888</v>
      </c>
      <c r="AJ92" s="11">
        <f t="shared" si="46"/>
        <v>2107688</v>
      </c>
      <c r="AK92" s="36">
        <v>2708774</v>
      </c>
      <c r="AL92" s="36">
        <v>2557930.5</v>
      </c>
      <c r="AM92" s="36">
        <f t="shared" ref="AM92:AM155" si="52">AJ92-AK92</f>
        <v>-601086</v>
      </c>
      <c r="AN92" s="68">
        <f t="shared" si="47"/>
        <v>2107688</v>
      </c>
      <c r="AO92" s="68">
        <f t="shared" ref="AO92:AO155" si="53">AN92-AK92</f>
        <v>-601086</v>
      </c>
      <c r="AP92" s="69">
        <f t="shared" si="48"/>
        <v>2507860.0362</v>
      </c>
      <c r="AQ92" s="36">
        <f t="shared" si="49"/>
        <v>-50070.463800000027</v>
      </c>
      <c r="AR92" s="70">
        <f t="shared" si="50"/>
        <v>-1.9574598997118969E-2</v>
      </c>
      <c r="AS92" s="36"/>
      <c r="AT92" s="22"/>
      <c r="AV92" s="22"/>
      <c r="AW92" s="22"/>
      <c r="BA92" s="22"/>
      <c r="BB92" s="22"/>
      <c r="BC92" s="22"/>
      <c r="BD92" s="22"/>
      <c r="BE92" s="22"/>
    </row>
    <row r="93" spans="1:57" ht="15" x14ac:dyDescent="0.25">
      <c r="A93" s="8" t="s">
        <v>125</v>
      </c>
      <c r="B93" s="8"/>
      <c r="C93" s="26"/>
      <c r="D93" s="26"/>
      <c r="E93" s="26"/>
      <c r="F93" s="1">
        <v>4</v>
      </c>
      <c r="G93" s="66">
        <v>228.66864328727956</v>
      </c>
      <c r="H93" s="8">
        <v>67</v>
      </c>
      <c r="I93" s="3" t="s">
        <v>200</v>
      </c>
      <c r="J93" s="13">
        <f t="shared" si="31"/>
        <v>0</v>
      </c>
      <c r="K93" s="78">
        <v>1405.94</v>
      </c>
      <c r="L93" s="36"/>
      <c r="M93" s="35"/>
      <c r="N93" s="81">
        <v>213</v>
      </c>
      <c r="O93" s="67">
        <f t="shared" si="32"/>
        <v>0.15150006401411156</v>
      </c>
      <c r="P93" s="67">
        <f t="shared" si="33"/>
        <v>0</v>
      </c>
      <c r="Q93" s="36">
        <f t="shared" si="34"/>
        <v>0</v>
      </c>
      <c r="R93" s="36">
        <f t="shared" si="51"/>
        <v>0</v>
      </c>
      <c r="S93" s="79">
        <v>3</v>
      </c>
      <c r="T93" s="37">
        <f t="shared" si="35"/>
        <v>63.9</v>
      </c>
      <c r="U93" s="9">
        <f t="shared" si="36"/>
        <v>1470.2900000000002</v>
      </c>
      <c r="V93" s="73">
        <v>1084370907</v>
      </c>
      <c r="W93" s="73">
        <v>9529</v>
      </c>
      <c r="X93" s="18">
        <f t="shared" si="37"/>
        <v>113796.93</v>
      </c>
      <c r="Y93" s="38">
        <f t="shared" si="38"/>
        <v>0.61709700000000001</v>
      </c>
      <c r="Z93" s="73">
        <v>110739</v>
      </c>
      <c r="AA93" s="38">
        <f t="shared" si="39"/>
        <v>0.99171699999999996</v>
      </c>
      <c r="AB93" s="38">
        <f t="shared" si="40"/>
        <v>0.27051700000000001</v>
      </c>
      <c r="AC93" s="39">
        <f t="shared" si="41"/>
        <v>0.27051700000000001</v>
      </c>
      <c r="AD93" s="39">
        <f t="shared" si="42"/>
        <v>0.27051700000000001</v>
      </c>
      <c r="AE93" s="80">
        <v>776</v>
      </c>
      <c r="AF93" s="40">
        <v>6</v>
      </c>
      <c r="AG93" s="9">
        <f t="shared" si="43"/>
        <v>46.15</v>
      </c>
      <c r="AH93" s="11">
        <f t="shared" si="44"/>
        <v>35812</v>
      </c>
      <c r="AI93" s="11">
        <f t="shared" si="45"/>
        <v>4583936</v>
      </c>
      <c r="AJ93" s="11">
        <f t="shared" si="46"/>
        <v>4619748</v>
      </c>
      <c r="AK93" s="36">
        <v>6875123</v>
      </c>
      <c r="AL93" s="36">
        <v>6366187</v>
      </c>
      <c r="AM93" s="36">
        <f t="shared" si="52"/>
        <v>-2255375</v>
      </c>
      <c r="AN93" s="68">
        <f t="shared" si="47"/>
        <v>4619748</v>
      </c>
      <c r="AO93" s="68">
        <f t="shared" si="53"/>
        <v>-2255375</v>
      </c>
      <c r="AP93" s="69">
        <f t="shared" si="48"/>
        <v>6178314.2625000002</v>
      </c>
      <c r="AQ93" s="36">
        <f t="shared" si="49"/>
        <v>-187872.73749999981</v>
      </c>
      <c r="AR93" s="70">
        <f t="shared" si="50"/>
        <v>-2.9511030307466591E-2</v>
      </c>
      <c r="AS93" s="36"/>
      <c r="AT93" s="22"/>
      <c r="AV93" s="22"/>
      <c r="AW93" s="22"/>
      <c r="BA93" s="22"/>
      <c r="BB93" s="22"/>
      <c r="BC93" s="22"/>
      <c r="BD93" s="22"/>
      <c r="BE93" s="22"/>
    </row>
    <row r="94" spans="1:57" ht="15" x14ac:dyDescent="0.25">
      <c r="A94" s="8" t="s">
        <v>129</v>
      </c>
      <c r="B94" s="8"/>
      <c r="C94" s="26"/>
      <c r="D94" s="26"/>
      <c r="E94" s="26"/>
      <c r="F94" s="1">
        <v>2</v>
      </c>
      <c r="G94" s="66">
        <v>187.18074655240972</v>
      </c>
      <c r="H94" s="8">
        <v>68</v>
      </c>
      <c r="I94" s="3" t="s">
        <v>201</v>
      </c>
      <c r="J94" s="13">
        <f t="shared" si="31"/>
        <v>0</v>
      </c>
      <c r="K94" s="78">
        <v>260.05</v>
      </c>
      <c r="L94" s="36"/>
      <c r="M94" s="35"/>
      <c r="N94" s="81">
        <v>76</v>
      </c>
      <c r="O94" s="67">
        <f t="shared" si="32"/>
        <v>0.29225149009805806</v>
      </c>
      <c r="P94" s="67">
        <f t="shared" si="33"/>
        <v>0</v>
      </c>
      <c r="Q94" s="36">
        <f t="shared" si="34"/>
        <v>0</v>
      </c>
      <c r="R94" s="36">
        <f t="shared" si="51"/>
        <v>0</v>
      </c>
      <c r="S94" s="79">
        <v>4</v>
      </c>
      <c r="T94" s="37">
        <f t="shared" si="35"/>
        <v>22.8</v>
      </c>
      <c r="U94" s="9">
        <f t="shared" si="36"/>
        <v>283.45000000000005</v>
      </c>
      <c r="V94" s="73">
        <v>841635955</v>
      </c>
      <c r="W94" s="73">
        <v>2819</v>
      </c>
      <c r="X94" s="18">
        <f t="shared" si="37"/>
        <v>298558.34000000003</v>
      </c>
      <c r="Y94" s="38">
        <f t="shared" si="38"/>
        <v>1.6190180000000001</v>
      </c>
      <c r="Z94" s="73">
        <v>61875</v>
      </c>
      <c r="AA94" s="38">
        <f t="shared" si="39"/>
        <v>0.554118</v>
      </c>
      <c r="AB94" s="38">
        <f t="shared" si="40"/>
        <v>-0.29954799999999998</v>
      </c>
      <c r="AC94" s="39">
        <f t="shared" si="41"/>
        <v>0.01</v>
      </c>
      <c r="AD94" s="39">
        <f t="shared" si="42"/>
        <v>0.01</v>
      </c>
      <c r="AE94" s="80">
        <v>54</v>
      </c>
      <c r="AF94" s="40">
        <v>4</v>
      </c>
      <c r="AG94" s="9">
        <f t="shared" si="43"/>
        <v>30.77</v>
      </c>
      <c r="AH94" s="11">
        <f t="shared" si="44"/>
        <v>1662</v>
      </c>
      <c r="AI94" s="11">
        <f t="shared" si="45"/>
        <v>32668</v>
      </c>
      <c r="AJ94" s="11">
        <f t="shared" si="46"/>
        <v>34330</v>
      </c>
      <c r="AK94" s="36">
        <v>25634</v>
      </c>
      <c r="AL94" s="36">
        <v>26019.933000000001</v>
      </c>
      <c r="AM94" s="36">
        <f t="shared" si="52"/>
        <v>8696</v>
      </c>
      <c r="AN94" s="68">
        <f t="shared" si="47"/>
        <v>34330</v>
      </c>
      <c r="AO94" s="68">
        <f t="shared" si="53"/>
        <v>8696</v>
      </c>
      <c r="AP94" s="69">
        <f t="shared" si="48"/>
        <v>26946.926600000003</v>
      </c>
      <c r="AQ94" s="36">
        <f t="shared" si="49"/>
        <v>926.99360000000161</v>
      </c>
      <c r="AR94" s="70">
        <f t="shared" si="50"/>
        <v>3.5626286970070274E-2</v>
      </c>
      <c r="AS94" s="36"/>
      <c r="AT94" s="22"/>
      <c r="AV94" s="22"/>
      <c r="AW94" s="22"/>
      <c r="BA94" s="22"/>
      <c r="BB94" s="22"/>
      <c r="BC94" s="22"/>
      <c r="BD94" s="22"/>
      <c r="BE94" s="22"/>
    </row>
    <row r="95" spans="1:57" ht="15" x14ac:dyDescent="0.25">
      <c r="A95" s="8" t="s">
        <v>140</v>
      </c>
      <c r="B95" s="8"/>
      <c r="C95" s="26">
        <v>1</v>
      </c>
      <c r="D95" s="26">
        <v>1</v>
      </c>
      <c r="E95" s="26"/>
      <c r="F95" s="1">
        <v>10</v>
      </c>
      <c r="G95" s="71">
        <v>293.70251101929875</v>
      </c>
      <c r="H95" s="8">
        <v>69</v>
      </c>
      <c r="I95" s="3" t="s">
        <v>202</v>
      </c>
      <c r="J95" s="13">
        <f t="shared" si="31"/>
        <v>0</v>
      </c>
      <c r="K95" s="78">
        <v>2246.12</v>
      </c>
      <c r="L95" s="36"/>
      <c r="M95" s="35"/>
      <c r="N95" s="81">
        <v>1141</v>
      </c>
      <c r="O95" s="67">
        <f t="shared" si="32"/>
        <v>0.50798710665503177</v>
      </c>
      <c r="P95" s="67">
        <f t="shared" si="33"/>
        <v>0</v>
      </c>
      <c r="Q95" s="36">
        <f t="shared" si="34"/>
        <v>0</v>
      </c>
      <c r="R95" s="36">
        <f t="shared" si="51"/>
        <v>0</v>
      </c>
      <c r="S95" s="79">
        <v>41</v>
      </c>
      <c r="T95" s="37">
        <f t="shared" si="35"/>
        <v>342.3</v>
      </c>
      <c r="U95" s="9">
        <f t="shared" si="36"/>
        <v>2594.5700000000002</v>
      </c>
      <c r="V95" s="73">
        <v>1818162947.3299999</v>
      </c>
      <c r="W95" s="73">
        <v>17069</v>
      </c>
      <c r="X95" s="18">
        <f t="shared" si="37"/>
        <v>106518.42</v>
      </c>
      <c r="Y95" s="38">
        <f t="shared" si="38"/>
        <v>0.577627</v>
      </c>
      <c r="Z95" s="73">
        <v>60548</v>
      </c>
      <c r="AA95" s="38">
        <f t="shared" si="39"/>
        <v>0.54223399999999999</v>
      </c>
      <c r="AB95" s="38">
        <f t="shared" si="40"/>
        <v>0.43299100000000001</v>
      </c>
      <c r="AC95" s="39">
        <f t="shared" si="41"/>
        <v>0.43299100000000001</v>
      </c>
      <c r="AD95" s="39">
        <f t="shared" si="42"/>
        <v>0.43299100000000001</v>
      </c>
      <c r="AE95" s="80"/>
      <c r="AF95" s="40">
        <v>0</v>
      </c>
      <c r="AG95" s="9">
        <f t="shared" si="43"/>
        <v>0</v>
      </c>
      <c r="AH95" s="11">
        <f t="shared" si="44"/>
        <v>0</v>
      </c>
      <c r="AI95" s="11">
        <f t="shared" si="45"/>
        <v>12947478</v>
      </c>
      <c r="AJ95" s="11">
        <f t="shared" si="46"/>
        <v>12947478</v>
      </c>
      <c r="AK95" s="36">
        <v>15574402</v>
      </c>
      <c r="AL95" s="36">
        <v>15574402</v>
      </c>
      <c r="AM95" s="36">
        <f t="shared" si="52"/>
        <v>-2626924</v>
      </c>
      <c r="AN95" s="68">
        <f t="shared" si="47"/>
        <v>15574402</v>
      </c>
      <c r="AO95" s="68">
        <f t="shared" si="53"/>
        <v>0</v>
      </c>
      <c r="AP95" s="69">
        <f t="shared" si="48"/>
        <v>15574402</v>
      </c>
      <c r="AQ95" s="36">
        <f t="shared" si="49"/>
        <v>0</v>
      </c>
      <c r="AR95" s="70">
        <f t="shared" si="50"/>
        <v>0</v>
      </c>
      <c r="AS95" s="36"/>
      <c r="AT95" s="22"/>
      <c r="AV95" s="22"/>
      <c r="AW95" s="22"/>
      <c r="BA95" s="22"/>
      <c r="BB95" s="22"/>
      <c r="BC95" s="22"/>
      <c r="BD95" s="22"/>
      <c r="BE95" s="22"/>
    </row>
    <row r="96" spans="1:57" ht="15" x14ac:dyDescent="0.25">
      <c r="A96" s="8" t="s">
        <v>125</v>
      </c>
      <c r="B96" s="8"/>
      <c r="C96" s="26"/>
      <c r="D96" s="26"/>
      <c r="E96" s="26"/>
      <c r="F96" s="1">
        <v>3</v>
      </c>
      <c r="G96" s="66">
        <v>188.38656115849309</v>
      </c>
      <c r="H96" s="8">
        <v>70</v>
      </c>
      <c r="I96" s="3" t="s">
        <v>203</v>
      </c>
      <c r="J96" s="13">
        <f t="shared" si="31"/>
        <v>0</v>
      </c>
      <c r="K96" s="78">
        <v>849.66</v>
      </c>
      <c r="L96" s="36"/>
      <c r="M96" s="35"/>
      <c r="N96" s="81">
        <v>71</v>
      </c>
      <c r="O96" s="67">
        <f t="shared" si="32"/>
        <v>8.356283689946567E-2</v>
      </c>
      <c r="P96" s="67">
        <f t="shared" si="33"/>
        <v>0</v>
      </c>
      <c r="Q96" s="36">
        <f t="shared" si="34"/>
        <v>0</v>
      </c>
      <c r="R96" s="36">
        <f t="shared" si="51"/>
        <v>0</v>
      </c>
      <c r="S96" s="79">
        <v>3</v>
      </c>
      <c r="T96" s="37">
        <f t="shared" si="35"/>
        <v>21.3</v>
      </c>
      <c r="U96" s="9">
        <f t="shared" si="36"/>
        <v>871.41</v>
      </c>
      <c r="V96" s="73">
        <v>1012714008.33</v>
      </c>
      <c r="W96" s="73">
        <v>6419</v>
      </c>
      <c r="X96" s="18">
        <f t="shared" si="37"/>
        <v>157768.19</v>
      </c>
      <c r="Y96" s="38">
        <f t="shared" si="38"/>
        <v>0.85554300000000005</v>
      </c>
      <c r="Z96" s="73">
        <v>103295</v>
      </c>
      <c r="AA96" s="38">
        <f t="shared" si="39"/>
        <v>0.92505300000000001</v>
      </c>
      <c r="AB96" s="38">
        <f t="shared" si="40"/>
        <v>0.12360400000000001</v>
      </c>
      <c r="AC96" s="39">
        <f t="shared" si="41"/>
        <v>0.12360400000000001</v>
      </c>
      <c r="AD96" s="39">
        <f t="shared" si="42"/>
        <v>0.12360400000000001</v>
      </c>
      <c r="AE96" s="80">
        <v>848</v>
      </c>
      <c r="AF96" s="40">
        <v>13</v>
      </c>
      <c r="AG96" s="9">
        <f t="shared" si="43"/>
        <v>100</v>
      </c>
      <c r="AH96" s="11">
        <f t="shared" si="44"/>
        <v>84800</v>
      </c>
      <c r="AI96" s="11">
        <f t="shared" si="45"/>
        <v>1241355</v>
      </c>
      <c r="AJ96" s="11">
        <f t="shared" si="46"/>
        <v>1326155</v>
      </c>
      <c r="AK96" s="36">
        <v>2173420</v>
      </c>
      <c r="AL96" s="36">
        <v>1837860</v>
      </c>
      <c r="AM96" s="36">
        <f t="shared" si="52"/>
        <v>-847265</v>
      </c>
      <c r="AN96" s="68">
        <f t="shared" si="47"/>
        <v>1326155</v>
      </c>
      <c r="AO96" s="68">
        <f t="shared" si="53"/>
        <v>-847265</v>
      </c>
      <c r="AP96" s="69">
        <f t="shared" si="48"/>
        <v>1767282.8255</v>
      </c>
      <c r="AQ96" s="36">
        <f t="shared" si="49"/>
        <v>-70577.174499999965</v>
      </c>
      <c r="AR96" s="70">
        <f t="shared" si="50"/>
        <v>-3.8401823044192686E-2</v>
      </c>
      <c r="AS96" s="36"/>
      <c r="AT96" s="22"/>
      <c r="AV96" s="22"/>
      <c r="AW96" s="22"/>
      <c r="BA96" s="22"/>
      <c r="BB96" s="22"/>
      <c r="BC96" s="22"/>
      <c r="BD96" s="22"/>
      <c r="BE96" s="22"/>
    </row>
    <row r="97" spans="1:57" ht="15" x14ac:dyDescent="0.25">
      <c r="A97" s="8" t="s">
        <v>129</v>
      </c>
      <c r="B97" s="8"/>
      <c r="C97" s="26"/>
      <c r="D97" s="26"/>
      <c r="E97" s="26"/>
      <c r="F97" s="1">
        <v>7</v>
      </c>
      <c r="G97" s="66">
        <v>233.48346265873474</v>
      </c>
      <c r="H97" s="8">
        <v>71</v>
      </c>
      <c r="I97" s="3" t="s">
        <v>204</v>
      </c>
      <c r="J97" s="13">
        <f t="shared" si="31"/>
        <v>0</v>
      </c>
      <c r="K97" s="78">
        <v>972.24</v>
      </c>
      <c r="L97" s="36"/>
      <c r="M97" s="35"/>
      <c r="N97" s="81">
        <v>258</v>
      </c>
      <c r="O97" s="67">
        <f t="shared" si="32"/>
        <v>0.26536657615403603</v>
      </c>
      <c r="P97" s="67">
        <f t="shared" si="33"/>
        <v>0</v>
      </c>
      <c r="Q97" s="36">
        <f t="shared" si="34"/>
        <v>0</v>
      </c>
      <c r="R97" s="36">
        <f t="shared" si="51"/>
        <v>0</v>
      </c>
      <c r="S97" s="79">
        <v>9</v>
      </c>
      <c r="T97" s="37">
        <f t="shared" si="35"/>
        <v>77.400000000000006</v>
      </c>
      <c r="U97" s="9">
        <f t="shared" si="36"/>
        <v>1050.99</v>
      </c>
      <c r="V97" s="73">
        <v>892873808.33000004</v>
      </c>
      <c r="W97" s="73">
        <v>7197</v>
      </c>
      <c r="X97" s="18">
        <f t="shared" si="37"/>
        <v>124061.94</v>
      </c>
      <c r="Y97" s="38">
        <f t="shared" si="38"/>
        <v>0.67276100000000005</v>
      </c>
      <c r="Z97" s="73">
        <v>88125</v>
      </c>
      <c r="AA97" s="38">
        <f t="shared" si="39"/>
        <v>0.78919899999999998</v>
      </c>
      <c r="AB97" s="38">
        <f t="shared" si="40"/>
        <v>0.29230800000000001</v>
      </c>
      <c r="AC97" s="39">
        <f t="shared" si="41"/>
        <v>0.29230800000000001</v>
      </c>
      <c r="AD97" s="39">
        <f t="shared" si="42"/>
        <v>0.29230800000000001</v>
      </c>
      <c r="AE97" s="80"/>
      <c r="AF97" s="40">
        <v>0</v>
      </c>
      <c r="AG97" s="9">
        <f t="shared" si="43"/>
        <v>0</v>
      </c>
      <c r="AH97" s="11">
        <f t="shared" si="44"/>
        <v>0</v>
      </c>
      <c r="AI97" s="11">
        <f t="shared" si="45"/>
        <v>3540627</v>
      </c>
      <c r="AJ97" s="11">
        <f t="shared" si="46"/>
        <v>3540627</v>
      </c>
      <c r="AK97" s="36">
        <v>5410404</v>
      </c>
      <c r="AL97" s="36">
        <v>4916815.25</v>
      </c>
      <c r="AM97" s="36">
        <f t="shared" si="52"/>
        <v>-1869777</v>
      </c>
      <c r="AN97" s="68">
        <f t="shared" si="47"/>
        <v>3540627</v>
      </c>
      <c r="AO97" s="68">
        <f t="shared" si="53"/>
        <v>-1869777</v>
      </c>
      <c r="AP97" s="69">
        <f t="shared" si="48"/>
        <v>4761062.8258999996</v>
      </c>
      <c r="AQ97" s="36">
        <f t="shared" si="49"/>
        <v>-155752.42410000041</v>
      </c>
      <c r="AR97" s="70">
        <f t="shared" si="50"/>
        <v>-3.1677501834139574E-2</v>
      </c>
      <c r="AS97" s="36"/>
      <c r="AT97" s="22"/>
      <c r="AV97" s="22"/>
      <c r="AW97" s="22"/>
      <c r="BA97" s="22"/>
      <c r="BB97" s="22"/>
      <c r="BC97" s="22"/>
      <c r="BD97" s="22"/>
      <c r="BE97" s="22"/>
    </row>
    <row r="98" spans="1:57" ht="15" x14ac:dyDescent="0.25">
      <c r="A98" s="8" t="s">
        <v>135</v>
      </c>
      <c r="B98" s="8"/>
      <c r="C98" s="26"/>
      <c r="D98" s="26"/>
      <c r="E98" s="26"/>
      <c r="F98" s="1">
        <v>7</v>
      </c>
      <c r="G98" s="66">
        <v>241.29307159798293</v>
      </c>
      <c r="H98" s="8">
        <v>72</v>
      </c>
      <c r="I98" s="3" t="s">
        <v>205</v>
      </c>
      <c r="J98" s="13">
        <f t="shared" si="31"/>
        <v>0</v>
      </c>
      <c r="K98" s="78">
        <v>2374.75</v>
      </c>
      <c r="L98" s="36"/>
      <c r="M98" s="35"/>
      <c r="N98" s="81">
        <v>660</v>
      </c>
      <c r="O98" s="67">
        <f t="shared" si="32"/>
        <v>0.27792399199915779</v>
      </c>
      <c r="P98" s="67">
        <f t="shared" si="33"/>
        <v>0</v>
      </c>
      <c r="Q98" s="36">
        <f t="shared" si="34"/>
        <v>0</v>
      </c>
      <c r="R98" s="36">
        <f t="shared" si="51"/>
        <v>0</v>
      </c>
      <c r="S98" s="79">
        <v>32</v>
      </c>
      <c r="T98" s="37">
        <f t="shared" si="35"/>
        <v>198</v>
      </c>
      <c r="U98" s="9">
        <f t="shared" si="36"/>
        <v>2577.5500000000002</v>
      </c>
      <c r="V98" s="73">
        <v>1584974687</v>
      </c>
      <c r="W98" s="73">
        <v>14911</v>
      </c>
      <c r="X98" s="18">
        <f t="shared" si="37"/>
        <v>106295.67</v>
      </c>
      <c r="Y98" s="38">
        <f t="shared" si="38"/>
        <v>0.57641900000000001</v>
      </c>
      <c r="Z98" s="73">
        <v>84821</v>
      </c>
      <c r="AA98" s="38">
        <f t="shared" si="39"/>
        <v>0.75961000000000001</v>
      </c>
      <c r="AB98" s="38">
        <f t="shared" si="40"/>
        <v>0.36862400000000001</v>
      </c>
      <c r="AC98" s="39">
        <f t="shared" si="41"/>
        <v>0.36862400000000001</v>
      </c>
      <c r="AD98" s="39">
        <f t="shared" si="42"/>
        <v>0.36862400000000001</v>
      </c>
      <c r="AE98" s="80"/>
      <c r="AF98" s="40">
        <v>0</v>
      </c>
      <c r="AG98" s="9">
        <f t="shared" si="43"/>
        <v>0</v>
      </c>
      <c r="AH98" s="11">
        <f t="shared" si="44"/>
        <v>0</v>
      </c>
      <c r="AI98" s="11">
        <f t="shared" si="45"/>
        <v>10950442</v>
      </c>
      <c r="AJ98" s="11">
        <f t="shared" si="46"/>
        <v>10950442</v>
      </c>
      <c r="AK98" s="36">
        <v>11977384</v>
      </c>
      <c r="AL98" s="36">
        <v>11686862</v>
      </c>
      <c r="AM98" s="36">
        <f t="shared" si="52"/>
        <v>-1026942</v>
      </c>
      <c r="AN98" s="68">
        <f t="shared" si="47"/>
        <v>10950442</v>
      </c>
      <c r="AO98" s="68">
        <f t="shared" si="53"/>
        <v>-1026942</v>
      </c>
      <c r="AP98" s="69">
        <f t="shared" si="48"/>
        <v>11601317.7314</v>
      </c>
      <c r="AQ98" s="36">
        <f t="shared" si="49"/>
        <v>-85544.268600000069</v>
      </c>
      <c r="AR98" s="70">
        <f t="shared" si="50"/>
        <v>-7.3196952783390499E-3</v>
      </c>
      <c r="AS98" s="36"/>
      <c r="AT98" s="22"/>
      <c r="AV98" s="22"/>
      <c r="AW98" s="22"/>
      <c r="BA98" s="22"/>
      <c r="BB98" s="22"/>
      <c r="BC98" s="22"/>
      <c r="BD98" s="22"/>
      <c r="BE98" s="22"/>
    </row>
    <row r="99" spans="1:57" ht="15" x14ac:dyDescent="0.25">
      <c r="A99" s="8" t="s">
        <v>129</v>
      </c>
      <c r="B99" s="8"/>
      <c r="C99" s="26"/>
      <c r="D99" s="26"/>
      <c r="E99" s="26"/>
      <c r="F99" s="1">
        <v>7</v>
      </c>
      <c r="G99" s="66">
        <v>231.44289711582618</v>
      </c>
      <c r="H99" s="8">
        <v>73</v>
      </c>
      <c r="I99" s="3" t="s">
        <v>206</v>
      </c>
      <c r="J99" s="13">
        <f t="shared" si="31"/>
        <v>0</v>
      </c>
      <c r="K99" s="78">
        <v>560.25</v>
      </c>
      <c r="L99" s="36"/>
      <c r="M99" s="35"/>
      <c r="N99" s="81">
        <v>199</v>
      </c>
      <c r="O99" s="67">
        <f t="shared" si="32"/>
        <v>0.35519857206604194</v>
      </c>
      <c r="P99" s="67">
        <f t="shared" si="33"/>
        <v>0</v>
      </c>
      <c r="Q99" s="36">
        <f t="shared" si="34"/>
        <v>0</v>
      </c>
      <c r="R99" s="36">
        <f t="shared" si="51"/>
        <v>0</v>
      </c>
      <c r="S99" s="79">
        <v>6</v>
      </c>
      <c r="T99" s="37">
        <f t="shared" si="35"/>
        <v>59.7</v>
      </c>
      <c r="U99" s="9">
        <f t="shared" si="36"/>
        <v>620.85</v>
      </c>
      <c r="V99" s="73">
        <v>549541975.66999996</v>
      </c>
      <c r="W99" s="73">
        <v>4281</v>
      </c>
      <c r="X99" s="18">
        <f t="shared" si="37"/>
        <v>128367.67</v>
      </c>
      <c r="Y99" s="38">
        <f t="shared" si="38"/>
        <v>0.69611100000000004</v>
      </c>
      <c r="Z99" s="73">
        <v>86833</v>
      </c>
      <c r="AA99" s="38">
        <f t="shared" si="39"/>
        <v>0.77762799999999999</v>
      </c>
      <c r="AB99" s="38">
        <f t="shared" si="40"/>
        <v>0.27943400000000002</v>
      </c>
      <c r="AC99" s="39">
        <f t="shared" si="41"/>
        <v>0.27943400000000002</v>
      </c>
      <c r="AD99" s="39">
        <f t="shared" si="42"/>
        <v>0.27943400000000002</v>
      </c>
      <c r="AE99" s="80"/>
      <c r="AF99" s="40">
        <v>0</v>
      </c>
      <c r="AG99" s="9">
        <f t="shared" si="43"/>
        <v>0</v>
      </c>
      <c r="AH99" s="11">
        <f t="shared" si="44"/>
        <v>0</v>
      </c>
      <c r="AI99" s="11">
        <f t="shared" si="45"/>
        <v>1999433</v>
      </c>
      <c r="AJ99" s="11">
        <f t="shared" si="46"/>
        <v>1999433</v>
      </c>
      <c r="AK99" s="36">
        <v>3518715</v>
      </c>
      <c r="AL99" s="36">
        <v>3146060</v>
      </c>
      <c r="AM99" s="36">
        <f t="shared" si="52"/>
        <v>-1519282</v>
      </c>
      <c r="AN99" s="68">
        <f t="shared" si="47"/>
        <v>1999433</v>
      </c>
      <c r="AO99" s="68">
        <f t="shared" si="53"/>
        <v>-1519282</v>
      </c>
      <c r="AP99" s="69">
        <f t="shared" si="48"/>
        <v>3019503.8094000001</v>
      </c>
      <c r="AQ99" s="36">
        <f t="shared" si="49"/>
        <v>-126556.19059999986</v>
      </c>
      <c r="AR99" s="70">
        <f t="shared" si="50"/>
        <v>-4.0226883975512183E-2</v>
      </c>
      <c r="AS99" s="36"/>
      <c r="AT99" s="22"/>
      <c r="AV99" s="22"/>
      <c r="AW99" s="22"/>
      <c r="BA99" s="22"/>
      <c r="BB99" s="22"/>
      <c r="BC99" s="22"/>
      <c r="BD99" s="22"/>
      <c r="BE99" s="22"/>
    </row>
    <row r="100" spans="1:57" ht="15" x14ac:dyDescent="0.25">
      <c r="A100" s="8" t="s">
        <v>129</v>
      </c>
      <c r="B100" s="8"/>
      <c r="C100" s="26"/>
      <c r="D100" s="26"/>
      <c r="E100" s="26"/>
      <c r="F100" s="1">
        <v>4</v>
      </c>
      <c r="G100" s="66">
        <v>207.13101128255985</v>
      </c>
      <c r="H100" s="8">
        <v>74</v>
      </c>
      <c r="I100" s="3" t="s">
        <v>207</v>
      </c>
      <c r="J100" s="13">
        <f t="shared" si="31"/>
        <v>0</v>
      </c>
      <c r="K100" s="78">
        <v>891.1</v>
      </c>
      <c r="L100" s="36"/>
      <c r="M100" s="35"/>
      <c r="N100" s="81">
        <v>208</v>
      </c>
      <c r="O100" s="67">
        <f t="shared" si="32"/>
        <v>0.23341936931881943</v>
      </c>
      <c r="P100" s="67">
        <f t="shared" si="33"/>
        <v>0</v>
      </c>
      <c r="Q100" s="36">
        <f t="shared" si="34"/>
        <v>0</v>
      </c>
      <c r="R100" s="36">
        <f t="shared" si="51"/>
        <v>0</v>
      </c>
      <c r="S100" s="79">
        <v>2</v>
      </c>
      <c r="T100" s="37">
        <f t="shared" si="35"/>
        <v>62.4</v>
      </c>
      <c r="U100" s="9">
        <f t="shared" si="36"/>
        <v>953.8</v>
      </c>
      <c r="V100" s="73">
        <v>1472121897.3299999</v>
      </c>
      <c r="W100" s="73">
        <v>8175</v>
      </c>
      <c r="X100" s="18">
        <f t="shared" si="37"/>
        <v>180076.07</v>
      </c>
      <c r="Y100" s="38">
        <f t="shared" si="38"/>
        <v>0.97651399999999999</v>
      </c>
      <c r="Z100" s="73">
        <v>80951</v>
      </c>
      <c r="AA100" s="38">
        <f t="shared" si="39"/>
        <v>0.72495200000000004</v>
      </c>
      <c r="AB100" s="38">
        <f t="shared" si="40"/>
        <v>9.8955000000000001E-2</v>
      </c>
      <c r="AC100" s="39">
        <f t="shared" si="41"/>
        <v>9.8955000000000001E-2</v>
      </c>
      <c r="AD100" s="39">
        <f t="shared" si="42"/>
        <v>9.8955000000000001E-2</v>
      </c>
      <c r="AE100" s="80"/>
      <c r="AF100" s="40">
        <v>0</v>
      </c>
      <c r="AG100" s="9">
        <f t="shared" si="43"/>
        <v>0</v>
      </c>
      <c r="AH100" s="11">
        <f t="shared" si="44"/>
        <v>0</v>
      </c>
      <c r="AI100" s="11">
        <f t="shared" si="45"/>
        <v>1087767</v>
      </c>
      <c r="AJ100" s="11">
        <f t="shared" si="46"/>
        <v>1087767</v>
      </c>
      <c r="AK100" s="36">
        <v>1446598</v>
      </c>
      <c r="AL100" s="36">
        <v>1330817.75</v>
      </c>
      <c r="AM100" s="36">
        <f t="shared" si="52"/>
        <v>-358831</v>
      </c>
      <c r="AN100" s="68">
        <f t="shared" si="47"/>
        <v>1087767</v>
      </c>
      <c r="AO100" s="68">
        <f t="shared" si="53"/>
        <v>-358831</v>
      </c>
      <c r="AP100" s="69">
        <f t="shared" si="48"/>
        <v>1300927.1277000001</v>
      </c>
      <c r="AQ100" s="36">
        <f t="shared" si="49"/>
        <v>-29890.62229999993</v>
      </c>
      <c r="AR100" s="70">
        <f t="shared" si="50"/>
        <v>-2.2460342372199297E-2</v>
      </c>
      <c r="AS100" s="36"/>
      <c r="AT100" s="22"/>
      <c r="AV100" s="22"/>
      <c r="AW100" s="22"/>
      <c r="BA100" s="22"/>
      <c r="BB100" s="22"/>
      <c r="BC100" s="22"/>
      <c r="BD100" s="22"/>
      <c r="BE100" s="22"/>
    </row>
    <row r="101" spans="1:57" ht="15" x14ac:dyDescent="0.25">
      <c r="A101" s="8" t="s">
        <v>125</v>
      </c>
      <c r="B101" s="8"/>
      <c r="C101" s="26"/>
      <c r="D101" s="26"/>
      <c r="E101" s="26"/>
      <c r="F101" s="1">
        <v>1</v>
      </c>
      <c r="G101" s="66">
        <v>142.95029545183326</v>
      </c>
      <c r="H101" s="8">
        <v>75</v>
      </c>
      <c r="I101" s="3" t="s">
        <v>208</v>
      </c>
      <c r="J101" s="13">
        <f t="shared" si="31"/>
        <v>0</v>
      </c>
      <c r="K101" s="78">
        <v>248.67</v>
      </c>
      <c r="L101" s="36"/>
      <c r="M101" s="35"/>
      <c r="N101" s="81">
        <v>44</v>
      </c>
      <c r="O101" s="67">
        <f t="shared" si="32"/>
        <v>0.17694132786423775</v>
      </c>
      <c r="P101" s="67">
        <f t="shared" si="33"/>
        <v>0</v>
      </c>
      <c r="Q101" s="36">
        <f t="shared" si="34"/>
        <v>0</v>
      </c>
      <c r="R101" s="36">
        <f t="shared" si="51"/>
        <v>0</v>
      </c>
      <c r="S101" s="79">
        <v>4</v>
      </c>
      <c r="T101" s="37">
        <f t="shared" si="35"/>
        <v>13.2</v>
      </c>
      <c r="U101" s="9">
        <f t="shared" si="36"/>
        <v>262.47000000000003</v>
      </c>
      <c r="V101" s="73">
        <v>705011537.33000004</v>
      </c>
      <c r="W101" s="73">
        <v>2355</v>
      </c>
      <c r="X101" s="18">
        <f t="shared" si="37"/>
        <v>299367.96000000002</v>
      </c>
      <c r="Y101" s="38">
        <f t="shared" si="38"/>
        <v>1.6234090000000001</v>
      </c>
      <c r="Z101" s="73">
        <v>89643</v>
      </c>
      <c r="AA101" s="38">
        <f t="shared" si="39"/>
        <v>0.80279299999999998</v>
      </c>
      <c r="AB101" s="38">
        <f t="shared" si="40"/>
        <v>-0.377224</v>
      </c>
      <c r="AC101" s="39">
        <f t="shared" si="41"/>
        <v>0.01</v>
      </c>
      <c r="AD101" s="39">
        <f t="shared" si="42"/>
        <v>0.01</v>
      </c>
      <c r="AE101" s="80">
        <v>246</v>
      </c>
      <c r="AF101" s="40">
        <v>13</v>
      </c>
      <c r="AG101" s="9">
        <f t="shared" si="43"/>
        <v>100</v>
      </c>
      <c r="AH101" s="11">
        <f t="shared" si="44"/>
        <v>24600</v>
      </c>
      <c r="AI101" s="11">
        <f t="shared" si="45"/>
        <v>30250</v>
      </c>
      <c r="AJ101" s="11">
        <f t="shared" si="46"/>
        <v>54850</v>
      </c>
      <c r="AK101" s="36">
        <v>63069</v>
      </c>
      <c r="AL101" s="36">
        <v>61597</v>
      </c>
      <c r="AM101" s="36">
        <f t="shared" si="52"/>
        <v>-8219</v>
      </c>
      <c r="AN101" s="68">
        <f t="shared" si="47"/>
        <v>54850</v>
      </c>
      <c r="AO101" s="68">
        <f t="shared" si="53"/>
        <v>-8219</v>
      </c>
      <c r="AP101" s="69">
        <f t="shared" si="48"/>
        <v>60912.357300000003</v>
      </c>
      <c r="AQ101" s="36">
        <f t="shared" si="49"/>
        <v>-684.64269999999669</v>
      </c>
      <c r="AR101" s="70">
        <f t="shared" si="50"/>
        <v>-1.1114870854099984E-2</v>
      </c>
      <c r="AS101" s="36"/>
      <c r="AT101" s="22"/>
      <c r="AV101" s="22"/>
      <c r="AW101" s="22"/>
      <c r="BA101" s="22"/>
      <c r="BB101" s="22"/>
      <c r="BC101" s="22"/>
      <c r="BD101" s="22"/>
      <c r="BE101" s="22"/>
    </row>
    <row r="102" spans="1:57" ht="15" x14ac:dyDescent="0.25">
      <c r="A102" s="8" t="s">
        <v>131</v>
      </c>
      <c r="B102" s="8"/>
      <c r="C102" s="26"/>
      <c r="D102" s="26"/>
      <c r="E102" s="26"/>
      <c r="F102" s="1">
        <v>2</v>
      </c>
      <c r="G102" s="66">
        <v>174.30632494208467</v>
      </c>
      <c r="H102" s="8">
        <v>76</v>
      </c>
      <c r="I102" s="3" t="s">
        <v>209</v>
      </c>
      <c r="J102" s="13">
        <f t="shared" si="31"/>
        <v>0</v>
      </c>
      <c r="K102" s="78">
        <v>2735.97</v>
      </c>
      <c r="L102" s="36"/>
      <c r="M102" s="35"/>
      <c r="N102" s="81">
        <v>111</v>
      </c>
      <c r="O102" s="67">
        <f t="shared" si="32"/>
        <v>4.0570620291889167E-2</v>
      </c>
      <c r="P102" s="67">
        <f t="shared" si="33"/>
        <v>0</v>
      </c>
      <c r="Q102" s="36">
        <f t="shared" si="34"/>
        <v>0</v>
      </c>
      <c r="R102" s="36">
        <f t="shared" si="51"/>
        <v>0</v>
      </c>
      <c r="S102" s="79">
        <v>37</v>
      </c>
      <c r="T102" s="37">
        <f t="shared" si="35"/>
        <v>33.299999999999997</v>
      </c>
      <c r="U102" s="9">
        <f t="shared" si="36"/>
        <v>2774.82</v>
      </c>
      <c r="V102" s="73">
        <v>4207762747</v>
      </c>
      <c r="W102" s="73">
        <v>18151</v>
      </c>
      <c r="X102" s="18">
        <f t="shared" si="37"/>
        <v>231819.89</v>
      </c>
      <c r="Y102" s="38">
        <f t="shared" si="38"/>
        <v>1.2571099999999999</v>
      </c>
      <c r="Z102" s="73">
        <v>105673</v>
      </c>
      <c r="AA102" s="38">
        <f t="shared" si="39"/>
        <v>0.946349</v>
      </c>
      <c r="AB102" s="38">
        <f t="shared" si="40"/>
        <v>-0.163882</v>
      </c>
      <c r="AC102" s="39">
        <f t="shared" si="41"/>
        <v>0.01</v>
      </c>
      <c r="AD102" s="39">
        <f t="shared" si="42"/>
        <v>0.01</v>
      </c>
      <c r="AE102" s="80"/>
      <c r="AF102" s="40">
        <v>0</v>
      </c>
      <c r="AG102" s="9">
        <f t="shared" si="43"/>
        <v>0</v>
      </c>
      <c r="AH102" s="11">
        <f t="shared" si="44"/>
        <v>0</v>
      </c>
      <c r="AI102" s="11">
        <f t="shared" si="45"/>
        <v>319798</v>
      </c>
      <c r="AJ102" s="11">
        <f t="shared" si="46"/>
        <v>319798</v>
      </c>
      <c r="AK102" s="36">
        <v>446496</v>
      </c>
      <c r="AL102" s="36">
        <v>417669</v>
      </c>
      <c r="AM102" s="36">
        <f t="shared" si="52"/>
        <v>-126698</v>
      </c>
      <c r="AN102" s="68">
        <f t="shared" si="47"/>
        <v>319798</v>
      </c>
      <c r="AO102" s="68">
        <f t="shared" si="53"/>
        <v>-126698</v>
      </c>
      <c r="AP102" s="69">
        <f t="shared" si="48"/>
        <v>407115.05660000001</v>
      </c>
      <c r="AQ102" s="36">
        <f t="shared" si="49"/>
        <v>-10553.943399999989</v>
      </c>
      <c r="AR102" s="70">
        <f t="shared" si="50"/>
        <v>-2.5268677828615457E-2</v>
      </c>
      <c r="AS102" s="36"/>
      <c r="AT102" s="22"/>
      <c r="AV102" s="22"/>
      <c r="AW102" s="22"/>
      <c r="BA102" s="22"/>
      <c r="BB102" s="22"/>
      <c r="BC102" s="22"/>
      <c r="BD102" s="22"/>
      <c r="BE102" s="22"/>
    </row>
    <row r="103" spans="1:57" ht="15" x14ac:dyDescent="0.25">
      <c r="A103" s="8" t="s">
        <v>140</v>
      </c>
      <c r="B103" s="8"/>
      <c r="C103" s="26">
        <v>1</v>
      </c>
      <c r="D103" s="26">
        <v>1</v>
      </c>
      <c r="E103" s="26"/>
      <c r="F103" s="1">
        <v>9</v>
      </c>
      <c r="G103" s="71">
        <v>288.83689744091612</v>
      </c>
      <c r="H103" s="8">
        <v>77</v>
      </c>
      <c r="I103" s="3" t="s">
        <v>210</v>
      </c>
      <c r="J103" s="13">
        <f t="shared" si="31"/>
        <v>0</v>
      </c>
      <c r="K103" s="78">
        <v>7490.77</v>
      </c>
      <c r="L103" s="36"/>
      <c r="M103" s="35"/>
      <c r="N103" s="81">
        <v>4412</v>
      </c>
      <c r="O103" s="67">
        <f t="shared" si="32"/>
        <v>0.58899151889592116</v>
      </c>
      <c r="P103" s="67">
        <f t="shared" si="33"/>
        <v>0</v>
      </c>
      <c r="Q103" s="36">
        <f t="shared" si="34"/>
        <v>0</v>
      </c>
      <c r="R103" s="36">
        <f t="shared" si="51"/>
        <v>0</v>
      </c>
      <c r="S103" s="79">
        <v>460</v>
      </c>
      <c r="T103" s="37">
        <f t="shared" si="35"/>
        <v>1323.6</v>
      </c>
      <c r="U103" s="9">
        <f t="shared" si="36"/>
        <v>8883.3700000000008</v>
      </c>
      <c r="V103" s="73">
        <v>5626408049.6700001</v>
      </c>
      <c r="W103" s="73">
        <v>57873</v>
      </c>
      <c r="X103" s="18">
        <f t="shared" si="37"/>
        <v>97219.91</v>
      </c>
      <c r="Y103" s="38">
        <f t="shared" si="38"/>
        <v>0.52720299999999998</v>
      </c>
      <c r="Z103" s="73">
        <v>65592</v>
      </c>
      <c r="AA103" s="38">
        <f t="shared" si="39"/>
        <v>0.58740599999999998</v>
      </c>
      <c r="AB103" s="38">
        <f t="shared" si="40"/>
        <v>0.45473599999999997</v>
      </c>
      <c r="AC103" s="39">
        <f t="shared" si="41"/>
        <v>0.45473599999999997</v>
      </c>
      <c r="AD103" s="39">
        <f t="shared" si="42"/>
        <v>0.45473599999999997</v>
      </c>
      <c r="AE103" s="80"/>
      <c r="AF103" s="40">
        <v>0</v>
      </c>
      <c r="AG103" s="9">
        <f t="shared" si="43"/>
        <v>0</v>
      </c>
      <c r="AH103" s="11">
        <f t="shared" si="44"/>
        <v>0</v>
      </c>
      <c r="AI103" s="11">
        <f t="shared" si="45"/>
        <v>46556253</v>
      </c>
      <c r="AJ103" s="11">
        <f t="shared" si="46"/>
        <v>46556253</v>
      </c>
      <c r="AK103" s="36">
        <v>34440424</v>
      </c>
      <c r="AL103" s="36">
        <v>34936995.787</v>
      </c>
      <c r="AM103" s="36">
        <f t="shared" si="52"/>
        <v>12115829</v>
      </c>
      <c r="AN103" s="68">
        <f t="shared" si="47"/>
        <v>46556253</v>
      </c>
      <c r="AO103" s="68">
        <f t="shared" si="53"/>
        <v>12115829</v>
      </c>
      <c r="AP103" s="69">
        <f t="shared" si="48"/>
        <v>36228543.158399999</v>
      </c>
      <c r="AQ103" s="36">
        <f t="shared" si="49"/>
        <v>1291547.3713999987</v>
      </c>
      <c r="AR103" s="70">
        <f t="shared" si="50"/>
        <v>3.6967900138700001E-2</v>
      </c>
      <c r="AS103" s="36"/>
      <c r="AT103" s="22"/>
      <c r="AV103" s="22"/>
      <c r="AW103" s="22"/>
      <c r="BA103" s="22"/>
      <c r="BB103" s="22"/>
      <c r="BC103" s="22"/>
      <c r="BD103" s="22"/>
      <c r="BE103" s="22"/>
    </row>
    <row r="104" spans="1:57" ht="15" x14ac:dyDescent="0.25">
      <c r="A104" s="8" t="s">
        <v>125</v>
      </c>
      <c r="B104" s="8"/>
      <c r="C104" s="26"/>
      <c r="D104" s="26"/>
      <c r="E104" s="26"/>
      <c r="F104" s="1">
        <v>8</v>
      </c>
      <c r="G104" s="71">
        <v>267.10485420448759</v>
      </c>
      <c r="H104" s="8">
        <v>78</v>
      </c>
      <c r="I104" s="3" t="s">
        <v>211</v>
      </c>
      <c r="J104" s="13">
        <f t="shared" si="31"/>
        <v>0</v>
      </c>
      <c r="K104" s="78">
        <v>1686.95</v>
      </c>
      <c r="L104" s="36"/>
      <c r="M104" s="35"/>
      <c r="N104" s="81">
        <v>449</v>
      </c>
      <c r="O104" s="67">
        <f t="shared" si="32"/>
        <v>0.26616082278668601</v>
      </c>
      <c r="P104" s="67">
        <f t="shared" si="33"/>
        <v>0</v>
      </c>
      <c r="Q104" s="36">
        <f t="shared" si="34"/>
        <v>0</v>
      </c>
      <c r="R104" s="36">
        <f t="shared" si="51"/>
        <v>0</v>
      </c>
      <c r="S104" s="79">
        <v>56</v>
      </c>
      <c r="T104" s="37">
        <f t="shared" si="35"/>
        <v>134.69999999999999</v>
      </c>
      <c r="U104" s="9">
        <f t="shared" si="36"/>
        <v>1830.0500000000002</v>
      </c>
      <c r="V104" s="73">
        <v>1532177684.3299999</v>
      </c>
      <c r="W104" s="73">
        <v>13723</v>
      </c>
      <c r="X104" s="18">
        <f t="shared" si="37"/>
        <v>111650.34</v>
      </c>
      <c r="Y104" s="38">
        <f t="shared" si="38"/>
        <v>0.60545599999999999</v>
      </c>
      <c r="Z104" s="73">
        <v>63391</v>
      </c>
      <c r="AA104" s="38">
        <f t="shared" si="39"/>
        <v>0.56769499999999995</v>
      </c>
      <c r="AB104" s="38">
        <f t="shared" si="40"/>
        <v>0.40587200000000001</v>
      </c>
      <c r="AC104" s="39">
        <f t="shared" si="41"/>
        <v>0.40587200000000001</v>
      </c>
      <c r="AD104" s="39">
        <f t="shared" si="42"/>
        <v>0.40587200000000001</v>
      </c>
      <c r="AE104" s="80">
        <v>532</v>
      </c>
      <c r="AF104" s="40">
        <v>4</v>
      </c>
      <c r="AG104" s="9">
        <f t="shared" si="43"/>
        <v>30.77</v>
      </c>
      <c r="AH104" s="11">
        <f t="shared" si="44"/>
        <v>16370</v>
      </c>
      <c r="AI104" s="11">
        <f t="shared" si="45"/>
        <v>8560379</v>
      </c>
      <c r="AJ104" s="11">
        <f t="shared" si="46"/>
        <v>8576749</v>
      </c>
      <c r="AK104" s="36">
        <v>9947410</v>
      </c>
      <c r="AL104" s="36">
        <v>9675277</v>
      </c>
      <c r="AM104" s="36">
        <f t="shared" si="52"/>
        <v>-1370661</v>
      </c>
      <c r="AN104" s="68">
        <f t="shared" si="47"/>
        <v>8576749</v>
      </c>
      <c r="AO104" s="68">
        <f t="shared" si="53"/>
        <v>-1370661</v>
      </c>
      <c r="AP104" s="69">
        <f t="shared" si="48"/>
        <v>9561100.9386999998</v>
      </c>
      <c r="AQ104" s="36">
        <f t="shared" si="49"/>
        <v>-114176.06130000018</v>
      </c>
      <c r="AR104" s="70">
        <f t="shared" si="50"/>
        <v>-1.1800805423968759E-2</v>
      </c>
      <c r="AS104" s="36"/>
      <c r="AT104" s="22"/>
      <c r="AV104" s="22"/>
      <c r="AW104" s="22"/>
      <c r="BA104" s="22"/>
      <c r="BB104" s="22"/>
      <c r="BC104" s="22"/>
      <c r="BD104" s="22"/>
      <c r="BE104" s="22"/>
    </row>
    <row r="105" spans="1:57" ht="15" x14ac:dyDescent="0.25">
      <c r="A105" s="8" t="s">
        <v>125</v>
      </c>
      <c r="B105" s="8"/>
      <c r="C105" s="26"/>
      <c r="D105" s="26"/>
      <c r="E105" s="26"/>
      <c r="F105" s="1">
        <v>4</v>
      </c>
      <c r="G105" s="66">
        <v>223.36141840906024</v>
      </c>
      <c r="H105" s="8">
        <v>79</v>
      </c>
      <c r="I105" s="3" t="s">
        <v>212</v>
      </c>
      <c r="J105" s="13">
        <f t="shared" si="31"/>
        <v>0</v>
      </c>
      <c r="K105" s="78">
        <v>986.93</v>
      </c>
      <c r="L105" s="36"/>
      <c r="M105" s="35"/>
      <c r="N105" s="81">
        <v>148</v>
      </c>
      <c r="O105" s="67">
        <f t="shared" si="32"/>
        <v>0.14995997689805762</v>
      </c>
      <c r="P105" s="67">
        <f t="shared" si="33"/>
        <v>0</v>
      </c>
      <c r="Q105" s="36">
        <f t="shared" si="34"/>
        <v>0</v>
      </c>
      <c r="R105" s="36">
        <f t="shared" si="51"/>
        <v>0</v>
      </c>
      <c r="S105" s="79">
        <v>7</v>
      </c>
      <c r="T105" s="37">
        <f t="shared" si="35"/>
        <v>44.4</v>
      </c>
      <c r="U105" s="9">
        <f t="shared" si="36"/>
        <v>1032.3799999999999</v>
      </c>
      <c r="V105" s="73">
        <v>839404190.33000004</v>
      </c>
      <c r="W105" s="73">
        <v>6402</v>
      </c>
      <c r="X105" s="18">
        <f t="shared" si="37"/>
        <v>131115.93</v>
      </c>
      <c r="Y105" s="38">
        <f t="shared" si="38"/>
        <v>0.71101400000000003</v>
      </c>
      <c r="Z105" s="73">
        <v>103276</v>
      </c>
      <c r="AA105" s="38">
        <f t="shared" si="39"/>
        <v>0.92488300000000001</v>
      </c>
      <c r="AB105" s="38">
        <f t="shared" si="40"/>
        <v>0.224825</v>
      </c>
      <c r="AC105" s="39">
        <f t="shared" si="41"/>
        <v>0.224825</v>
      </c>
      <c r="AD105" s="39">
        <f t="shared" si="42"/>
        <v>0.224825</v>
      </c>
      <c r="AE105" s="80">
        <v>518</v>
      </c>
      <c r="AF105" s="40">
        <v>6</v>
      </c>
      <c r="AG105" s="9">
        <f t="shared" si="43"/>
        <v>46.15</v>
      </c>
      <c r="AH105" s="11">
        <f t="shared" si="44"/>
        <v>23906</v>
      </c>
      <c r="AI105" s="11">
        <f t="shared" si="45"/>
        <v>2675008</v>
      </c>
      <c r="AJ105" s="11">
        <f t="shared" si="46"/>
        <v>2698914</v>
      </c>
      <c r="AK105" s="36">
        <v>3154015</v>
      </c>
      <c r="AL105" s="36">
        <v>2989094.25</v>
      </c>
      <c r="AM105" s="36">
        <f t="shared" si="52"/>
        <v>-455101</v>
      </c>
      <c r="AN105" s="68">
        <f t="shared" si="47"/>
        <v>2698914</v>
      </c>
      <c r="AO105" s="68">
        <f t="shared" si="53"/>
        <v>-455101</v>
      </c>
      <c r="AP105" s="69">
        <f t="shared" si="48"/>
        <v>2951184.3366999999</v>
      </c>
      <c r="AQ105" s="36">
        <f t="shared" si="49"/>
        <v>-37909.913300000131</v>
      </c>
      <c r="AR105" s="70">
        <f t="shared" si="50"/>
        <v>-1.2682742707092669E-2</v>
      </c>
      <c r="AS105" s="36"/>
      <c r="AT105" s="22"/>
      <c r="AV105" s="22"/>
      <c r="AW105" s="22"/>
      <c r="BA105" s="22"/>
      <c r="BB105" s="22"/>
      <c r="BC105" s="22"/>
      <c r="BD105" s="22"/>
      <c r="BE105" s="22"/>
    </row>
    <row r="106" spans="1:57" ht="15" x14ac:dyDescent="0.25">
      <c r="A106" s="8" t="s">
        <v>127</v>
      </c>
      <c r="B106" s="8">
        <v>1</v>
      </c>
      <c r="C106" s="26">
        <v>1</v>
      </c>
      <c r="D106" s="26">
        <v>0</v>
      </c>
      <c r="E106" s="26">
        <v>1</v>
      </c>
      <c r="F106" s="1">
        <v>10</v>
      </c>
      <c r="G106" s="71">
        <v>346.11010064125509</v>
      </c>
      <c r="H106" s="8">
        <v>80</v>
      </c>
      <c r="I106" s="3" t="s">
        <v>213</v>
      </c>
      <c r="J106" s="13">
        <f t="shared" si="31"/>
        <v>0</v>
      </c>
      <c r="K106" s="78">
        <v>8753.32</v>
      </c>
      <c r="L106" s="36"/>
      <c r="M106" s="35"/>
      <c r="N106" s="81">
        <v>6598</v>
      </c>
      <c r="O106" s="67">
        <f t="shared" si="32"/>
        <v>0.75377114055009986</v>
      </c>
      <c r="P106" s="67">
        <f t="shared" si="33"/>
        <v>3.7711405500998607E-3</v>
      </c>
      <c r="Q106" s="36">
        <f t="shared" si="34"/>
        <v>33.010000000000112</v>
      </c>
      <c r="R106" s="36">
        <f t="shared" si="51"/>
        <v>1.6505000000000056</v>
      </c>
      <c r="S106" s="79">
        <v>1337</v>
      </c>
      <c r="T106" s="37">
        <f t="shared" si="35"/>
        <v>1979.4</v>
      </c>
      <c r="U106" s="9">
        <f t="shared" si="36"/>
        <v>10934.920499999998</v>
      </c>
      <c r="V106" s="73">
        <v>4498092028.6700001</v>
      </c>
      <c r="W106" s="73">
        <v>59622</v>
      </c>
      <c r="X106" s="18">
        <f t="shared" si="37"/>
        <v>75443.490000000005</v>
      </c>
      <c r="Y106" s="38">
        <f t="shared" si="38"/>
        <v>0.40911399999999998</v>
      </c>
      <c r="Z106" s="73">
        <v>55547</v>
      </c>
      <c r="AA106" s="38">
        <f t="shared" si="39"/>
        <v>0.497448</v>
      </c>
      <c r="AB106" s="38">
        <f t="shared" si="40"/>
        <v>0.56438600000000005</v>
      </c>
      <c r="AC106" s="39">
        <f t="shared" si="41"/>
        <v>0.56438600000000005</v>
      </c>
      <c r="AD106" s="39">
        <f t="shared" si="42"/>
        <v>0.6143860000000001</v>
      </c>
      <c r="AE106" s="80"/>
      <c r="AF106" s="40">
        <v>0</v>
      </c>
      <c r="AG106" s="9">
        <f t="shared" si="43"/>
        <v>0</v>
      </c>
      <c r="AH106" s="11">
        <f t="shared" si="44"/>
        <v>0</v>
      </c>
      <c r="AI106" s="11">
        <f t="shared" si="45"/>
        <v>77427970</v>
      </c>
      <c r="AJ106" s="11">
        <f t="shared" si="46"/>
        <v>77427970</v>
      </c>
      <c r="AK106" s="36">
        <v>60258395</v>
      </c>
      <c r="AL106" s="36">
        <v>60909850.232000001</v>
      </c>
      <c r="AM106" s="36">
        <f t="shared" si="52"/>
        <v>17169575</v>
      </c>
      <c r="AN106" s="68">
        <f t="shared" si="47"/>
        <v>77427970</v>
      </c>
      <c r="AO106" s="68">
        <f t="shared" si="53"/>
        <v>17169575</v>
      </c>
      <c r="AP106" s="69">
        <f t="shared" si="48"/>
        <v>62740126.927000001</v>
      </c>
      <c r="AQ106" s="36">
        <f t="shared" si="49"/>
        <v>1830276.6950000003</v>
      </c>
      <c r="AR106" s="70">
        <f t="shared" si="50"/>
        <v>3.0048944268105161E-2</v>
      </c>
      <c r="AS106" s="36"/>
      <c r="AT106" s="22"/>
      <c r="AV106" s="22"/>
      <c r="AW106" s="22"/>
      <c r="BA106" s="22"/>
      <c r="BB106" s="22"/>
      <c r="BC106" s="22"/>
      <c r="BD106" s="22"/>
      <c r="BE106" s="22"/>
    </row>
    <row r="107" spans="1:57" ht="15" x14ac:dyDescent="0.25">
      <c r="A107" s="8" t="s">
        <v>131</v>
      </c>
      <c r="B107" s="8"/>
      <c r="C107" s="26"/>
      <c r="D107" s="26"/>
      <c r="E107" s="26"/>
      <c r="F107" s="1">
        <v>3</v>
      </c>
      <c r="G107" s="66">
        <v>213.18053403058749</v>
      </c>
      <c r="H107" s="8">
        <v>81</v>
      </c>
      <c r="I107" s="3" t="s">
        <v>214</v>
      </c>
      <c r="J107" s="13">
        <f t="shared" si="31"/>
        <v>0</v>
      </c>
      <c r="K107" s="78">
        <v>1215.03</v>
      </c>
      <c r="L107" s="36"/>
      <c r="M107" s="35"/>
      <c r="N107" s="81">
        <v>171</v>
      </c>
      <c r="O107" s="67">
        <f t="shared" si="32"/>
        <v>0.14073726574652479</v>
      </c>
      <c r="P107" s="67">
        <f t="shared" si="33"/>
        <v>0</v>
      </c>
      <c r="Q107" s="36">
        <f t="shared" si="34"/>
        <v>0</v>
      </c>
      <c r="R107" s="36">
        <f t="shared" si="51"/>
        <v>0</v>
      </c>
      <c r="S107" s="79">
        <v>19</v>
      </c>
      <c r="T107" s="37">
        <f t="shared" si="35"/>
        <v>51.3</v>
      </c>
      <c r="U107" s="9">
        <f t="shared" si="36"/>
        <v>1269.1799999999998</v>
      </c>
      <c r="V107" s="73">
        <v>1355297289.6700001</v>
      </c>
      <c r="W107" s="73">
        <v>7641</v>
      </c>
      <c r="X107" s="18">
        <f t="shared" si="37"/>
        <v>177371.72</v>
      </c>
      <c r="Y107" s="38">
        <f t="shared" si="38"/>
        <v>0.96184899999999995</v>
      </c>
      <c r="Z107" s="73">
        <v>103235</v>
      </c>
      <c r="AA107" s="38">
        <f t="shared" si="39"/>
        <v>0.92451499999999998</v>
      </c>
      <c r="AB107" s="38">
        <f t="shared" si="40"/>
        <v>4.9350999999999999E-2</v>
      </c>
      <c r="AC107" s="39">
        <f t="shared" si="41"/>
        <v>4.9350999999999999E-2</v>
      </c>
      <c r="AD107" s="39">
        <f t="shared" si="42"/>
        <v>4.9350999999999999E-2</v>
      </c>
      <c r="AE107" s="80">
        <v>1217</v>
      </c>
      <c r="AF107" s="40">
        <v>13</v>
      </c>
      <c r="AG107" s="9">
        <f t="shared" si="43"/>
        <v>100</v>
      </c>
      <c r="AH107" s="11">
        <f t="shared" si="44"/>
        <v>121700</v>
      </c>
      <c r="AI107" s="11">
        <f t="shared" si="45"/>
        <v>721872</v>
      </c>
      <c r="AJ107" s="11">
        <f t="shared" si="46"/>
        <v>843572</v>
      </c>
      <c r="AK107" s="36">
        <v>855086</v>
      </c>
      <c r="AL107" s="36">
        <v>822085.75</v>
      </c>
      <c r="AM107" s="36">
        <f t="shared" si="52"/>
        <v>-11514</v>
      </c>
      <c r="AN107" s="68">
        <f t="shared" si="47"/>
        <v>843572</v>
      </c>
      <c r="AO107" s="68">
        <f t="shared" si="53"/>
        <v>-11514</v>
      </c>
      <c r="AP107" s="69">
        <f t="shared" si="48"/>
        <v>821126.63379999995</v>
      </c>
      <c r="AQ107" s="36">
        <f t="shared" si="49"/>
        <v>-959.11620000004768</v>
      </c>
      <c r="AR107" s="70">
        <f t="shared" si="50"/>
        <v>-1.1666863219561314E-3</v>
      </c>
      <c r="AS107" s="36"/>
      <c r="AT107" s="22"/>
      <c r="AV107" s="22"/>
      <c r="AW107" s="22"/>
      <c r="BA107" s="22"/>
      <c r="BB107" s="22"/>
      <c r="BC107" s="22"/>
      <c r="BD107" s="22"/>
      <c r="BE107" s="22"/>
    </row>
    <row r="108" spans="1:57" ht="15" x14ac:dyDescent="0.25">
      <c r="A108" s="8" t="s">
        <v>125</v>
      </c>
      <c r="B108" s="8"/>
      <c r="C108" s="26"/>
      <c r="D108" s="26"/>
      <c r="E108" s="26"/>
      <c r="F108" s="1">
        <v>6</v>
      </c>
      <c r="G108" s="66">
        <v>236.70040039319878</v>
      </c>
      <c r="H108" s="8">
        <v>82</v>
      </c>
      <c r="I108" s="3" t="s">
        <v>215</v>
      </c>
      <c r="J108" s="13">
        <f t="shared" si="31"/>
        <v>0</v>
      </c>
      <c r="K108" s="78">
        <v>544.26</v>
      </c>
      <c r="L108" s="36"/>
      <c r="M108" s="35"/>
      <c r="N108" s="81">
        <v>103</v>
      </c>
      <c r="O108" s="67">
        <f t="shared" si="32"/>
        <v>0.1892477859846397</v>
      </c>
      <c r="P108" s="67">
        <f t="shared" si="33"/>
        <v>0</v>
      </c>
      <c r="Q108" s="36">
        <f t="shared" si="34"/>
        <v>0</v>
      </c>
      <c r="R108" s="36">
        <f t="shared" si="51"/>
        <v>0</v>
      </c>
      <c r="S108" s="79">
        <v>4</v>
      </c>
      <c r="T108" s="37">
        <f t="shared" si="35"/>
        <v>30.9</v>
      </c>
      <c r="U108" s="9">
        <f t="shared" si="36"/>
        <v>575.76</v>
      </c>
      <c r="V108" s="73">
        <v>584137845</v>
      </c>
      <c r="W108" s="73">
        <v>4387</v>
      </c>
      <c r="X108" s="18">
        <f t="shared" si="37"/>
        <v>133152</v>
      </c>
      <c r="Y108" s="38">
        <f t="shared" si="38"/>
        <v>0.722055</v>
      </c>
      <c r="Z108" s="73">
        <v>103262</v>
      </c>
      <c r="AA108" s="38">
        <f t="shared" si="39"/>
        <v>0.92475700000000005</v>
      </c>
      <c r="AB108" s="38">
        <f t="shared" si="40"/>
        <v>0.21713399999999999</v>
      </c>
      <c r="AC108" s="39">
        <f t="shared" si="41"/>
        <v>0.21713399999999999</v>
      </c>
      <c r="AD108" s="39">
        <f t="shared" si="42"/>
        <v>0.21713399999999999</v>
      </c>
      <c r="AE108" s="80">
        <v>546</v>
      </c>
      <c r="AF108" s="40">
        <v>13</v>
      </c>
      <c r="AG108" s="9">
        <f t="shared" si="43"/>
        <v>100</v>
      </c>
      <c r="AH108" s="11">
        <f t="shared" si="44"/>
        <v>54600</v>
      </c>
      <c r="AI108" s="11">
        <f t="shared" si="45"/>
        <v>1440822</v>
      </c>
      <c r="AJ108" s="11">
        <f t="shared" si="46"/>
        <v>1495422</v>
      </c>
      <c r="AK108" s="36">
        <v>2099315</v>
      </c>
      <c r="AL108" s="36">
        <v>1945055.25</v>
      </c>
      <c r="AM108" s="36">
        <f t="shared" si="52"/>
        <v>-603893</v>
      </c>
      <c r="AN108" s="68">
        <f t="shared" si="47"/>
        <v>1495422</v>
      </c>
      <c r="AO108" s="68">
        <f t="shared" si="53"/>
        <v>-603893</v>
      </c>
      <c r="AP108" s="69">
        <f t="shared" si="48"/>
        <v>1894750.9631000001</v>
      </c>
      <c r="AQ108" s="36">
        <f t="shared" si="49"/>
        <v>-50304.286899999948</v>
      </c>
      <c r="AR108" s="70">
        <f t="shared" si="50"/>
        <v>-2.5862651922098329E-2</v>
      </c>
      <c r="AS108" s="36"/>
      <c r="AT108" s="22"/>
      <c r="AV108" s="22"/>
      <c r="AW108" s="22"/>
      <c r="BA108" s="22"/>
      <c r="BB108" s="22"/>
      <c r="BC108" s="22"/>
      <c r="BD108" s="22"/>
      <c r="BE108" s="22"/>
    </row>
    <row r="109" spans="1:57" ht="15" x14ac:dyDescent="0.25">
      <c r="A109" s="8" t="s">
        <v>140</v>
      </c>
      <c r="B109" s="8"/>
      <c r="C109" s="26">
        <v>1</v>
      </c>
      <c r="D109" s="26">
        <v>1</v>
      </c>
      <c r="E109" s="26"/>
      <c r="F109" s="1">
        <v>9</v>
      </c>
      <c r="G109" s="71">
        <v>280.9857891454522</v>
      </c>
      <c r="H109" s="8">
        <v>83</v>
      </c>
      <c r="I109" s="3" t="s">
        <v>216</v>
      </c>
      <c r="J109" s="13">
        <f t="shared" si="31"/>
        <v>0</v>
      </c>
      <c r="K109" s="78">
        <v>4850.84</v>
      </c>
      <c r="L109" s="36"/>
      <c r="M109" s="35"/>
      <c r="N109" s="81">
        <v>2148</v>
      </c>
      <c r="O109" s="67">
        <f t="shared" si="32"/>
        <v>0.44280990508860318</v>
      </c>
      <c r="P109" s="67">
        <f t="shared" si="33"/>
        <v>0</v>
      </c>
      <c r="Q109" s="36">
        <f t="shared" si="34"/>
        <v>0</v>
      </c>
      <c r="R109" s="36">
        <f t="shared" si="51"/>
        <v>0</v>
      </c>
      <c r="S109" s="79">
        <v>188</v>
      </c>
      <c r="T109" s="37">
        <f t="shared" si="35"/>
        <v>644.4</v>
      </c>
      <c r="U109" s="9">
        <f t="shared" si="36"/>
        <v>5523.44</v>
      </c>
      <c r="V109" s="73">
        <v>4902825461.6700001</v>
      </c>
      <c r="W109" s="73">
        <v>46544</v>
      </c>
      <c r="X109" s="18">
        <f t="shared" si="37"/>
        <v>105337.43</v>
      </c>
      <c r="Y109" s="38">
        <f t="shared" si="38"/>
        <v>0.57122200000000001</v>
      </c>
      <c r="Z109" s="73">
        <v>63828</v>
      </c>
      <c r="AA109" s="38">
        <f t="shared" si="39"/>
        <v>0.571608</v>
      </c>
      <c r="AB109" s="38">
        <f t="shared" si="40"/>
        <v>0.42866199999999999</v>
      </c>
      <c r="AC109" s="39">
        <f t="shared" si="41"/>
        <v>0.42866199999999999</v>
      </c>
      <c r="AD109" s="39">
        <f t="shared" si="42"/>
        <v>0.42866199999999999</v>
      </c>
      <c r="AE109" s="80"/>
      <c r="AF109" s="40">
        <v>0</v>
      </c>
      <c r="AG109" s="9">
        <f t="shared" si="43"/>
        <v>0</v>
      </c>
      <c r="AH109" s="11">
        <f t="shared" si="44"/>
        <v>0</v>
      </c>
      <c r="AI109" s="11">
        <f t="shared" si="45"/>
        <v>27287614</v>
      </c>
      <c r="AJ109" s="11">
        <f t="shared" si="46"/>
        <v>27287614</v>
      </c>
      <c r="AK109" s="36">
        <v>19515825</v>
      </c>
      <c r="AL109" s="36">
        <v>19843505.978999998</v>
      </c>
      <c r="AM109" s="36">
        <f t="shared" si="52"/>
        <v>7771789</v>
      </c>
      <c r="AN109" s="68">
        <f t="shared" si="47"/>
        <v>27287614</v>
      </c>
      <c r="AO109" s="68">
        <f t="shared" si="53"/>
        <v>7771789</v>
      </c>
      <c r="AP109" s="69">
        <f t="shared" si="48"/>
        <v>20671978.6864</v>
      </c>
      <c r="AQ109" s="36">
        <f t="shared" si="49"/>
        <v>828472.70740000159</v>
      </c>
      <c r="AR109" s="70">
        <f t="shared" si="50"/>
        <v>4.1750319135981227E-2</v>
      </c>
      <c r="AS109" s="36"/>
      <c r="AT109" s="22"/>
      <c r="AV109" s="22"/>
      <c r="AW109" s="22"/>
      <c r="BA109" s="22"/>
      <c r="BB109" s="22"/>
      <c r="BC109" s="22"/>
      <c r="BD109" s="22"/>
      <c r="BE109" s="22"/>
    </row>
    <row r="110" spans="1:57" ht="15" x14ac:dyDescent="0.25">
      <c r="A110" s="8" t="s">
        <v>135</v>
      </c>
      <c r="B110" s="8"/>
      <c r="C110" s="26"/>
      <c r="D110" s="26"/>
      <c r="E110" s="26"/>
      <c r="F110" s="1">
        <v>6</v>
      </c>
      <c r="G110" s="71">
        <v>221.42824215825448</v>
      </c>
      <c r="H110" s="8">
        <v>84</v>
      </c>
      <c r="I110" s="3" t="s">
        <v>217</v>
      </c>
      <c r="J110" s="13">
        <f t="shared" si="31"/>
        <v>0</v>
      </c>
      <c r="K110" s="78">
        <v>5662.46</v>
      </c>
      <c r="L110" s="36"/>
      <c r="M110" s="35"/>
      <c r="N110" s="81">
        <v>1334</v>
      </c>
      <c r="O110" s="67">
        <f t="shared" si="32"/>
        <v>0.23558665315075072</v>
      </c>
      <c r="P110" s="67">
        <f t="shared" si="33"/>
        <v>0</v>
      </c>
      <c r="Q110" s="36">
        <f t="shared" si="34"/>
        <v>0</v>
      </c>
      <c r="R110" s="36">
        <f t="shared" si="51"/>
        <v>0</v>
      </c>
      <c r="S110" s="79">
        <v>164</v>
      </c>
      <c r="T110" s="37">
        <f t="shared" si="35"/>
        <v>400.2</v>
      </c>
      <c r="U110" s="9">
        <f t="shared" si="36"/>
        <v>6087.26</v>
      </c>
      <c r="V110" s="73">
        <v>9355131656.6700001</v>
      </c>
      <c r="W110" s="73">
        <v>54054</v>
      </c>
      <c r="X110" s="18">
        <f t="shared" si="37"/>
        <v>173070.11</v>
      </c>
      <c r="Y110" s="38">
        <f t="shared" si="38"/>
        <v>0.93852199999999997</v>
      </c>
      <c r="Z110" s="73">
        <v>81844</v>
      </c>
      <c r="AA110" s="38">
        <f t="shared" si="39"/>
        <v>0.73294999999999999</v>
      </c>
      <c r="AB110" s="38">
        <f t="shared" si="40"/>
        <v>0.12315</v>
      </c>
      <c r="AC110" s="39">
        <f t="shared" si="41"/>
        <v>0.12315</v>
      </c>
      <c r="AD110" s="39">
        <f t="shared" si="42"/>
        <v>0.12315</v>
      </c>
      <c r="AE110" s="80"/>
      <c r="AF110" s="40">
        <v>0</v>
      </c>
      <c r="AG110" s="9">
        <f t="shared" si="43"/>
        <v>0</v>
      </c>
      <c r="AH110" s="11">
        <f t="shared" si="44"/>
        <v>0</v>
      </c>
      <c r="AI110" s="11">
        <f t="shared" si="45"/>
        <v>8639671</v>
      </c>
      <c r="AJ110" s="11">
        <f t="shared" si="46"/>
        <v>8639671</v>
      </c>
      <c r="AK110" s="36">
        <v>10849101</v>
      </c>
      <c r="AL110" s="36">
        <v>10069108.75</v>
      </c>
      <c r="AM110" s="36">
        <f t="shared" si="52"/>
        <v>-2209430</v>
      </c>
      <c r="AN110" s="68">
        <f t="shared" si="47"/>
        <v>8639671</v>
      </c>
      <c r="AO110" s="68">
        <f t="shared" si="53"/>
        <v>-2209430</v>
      </c>
      <c r="AP110" s="69">
        <f t="shared" si="48"/>
        <v>9885063.2310000006</v>
      </c>
      <c r="AQ110" s="36">
        <f t="shared" si="49"/>
        <v>-184045.51899999939</v>
      </c>
      <c r="AR110" s="70">
        <f t="shared" si="50"/>
        <v>-1.8278233314343674E-2</v>
      </c>
      <c r="AS110" s="36"/>
      <c r="AT110" s="22"/>
      <c r="AV110" s="22"/>
      <c r="AW110" s="22"/>
      <c r="BA110" s="22"/>
      <c r="BB110" s="22"/>
      <c r="BC110" s="22"/>
      <c r="BD110" s="22"/>
      <c r="BE110" s="22"/>
    </row>
    <row r="111" spans="1:57" ht="15" x14ac:dyDescent="0.25">
      <c r="A111" s="8" t="s">
        <v>131</v>
      </c>
      <c r="B111" s="8"/>
      <c r="C111" s="26"/>
      <c r="D111" s="26"/>
      <c r="E111" s="26"/>
      <c r="F111" s="1">
        <v>3</v>
      </c>
      <c r="G111" s="66">
        <v>220.02101510663744</v>
      </c>
      <c r="H111" s="8">
        <v>85</v>
      </c>
      <c r="I111" s="3" t="s">
        <v>218</v>
      </c>
      <c r="J111" s="13">
        <f t="shared" si="31"/>
        <v>0</v>
      </c>
      <c r="K111" s="78">
        <v>3147</v>
      </c>
      <c r="L111" s="36"/>
      <c r="M111" s="35"/>
      <c r="N111" s="81">
        <v>319</v>
      </c>
      <c r="O111" s="67">
        <f t="shared" si="32"/>
        <v>0.1013663806800127</v>
      </c>
      <c r="P111" s="67">
        <f t="shared" si="33"/>
        <v>0</v>
      </c>
      <c r="Q111" s="36">
        <f t="shared" si="34"/>
        <v>0</v>
      </c>
      <c r="R111" s="36">
        <f t="shared" si="51"/>
        <v>0</v>
      </c>
      <c r="S111" s="79">
        <v>30</v>
      </c>
      <c r="T111" s="37">
        <f t="shared" si="35"/>
        <v>95.7</v>
      </c>
      <c r="U111" s="9">
        <f t="shared" si="36"/>
        <v>3247.2</v>
      </c>
      <c r="V111" s="73">
        <v>3118855237</v>
      </c>
      <c r="W111" s="73">
        <v>19658</v>
      </c>
      <c r="X111" s="18">
        <f t="shared" si="37"/>
        <v>158655.78</v>
      </c>
      <c r="Y111" s="38">
        <f t="shared" si="38"/>
        <v>0.86035700000000004</v>
      </c>
      <c r="Z111" s="73">
        <v>113333</v>
      </c>
      <c r="AA111" s="38">
        <f t="shared" si="39"/>
        <v>1.014948</v>
      </c>
      <c r="AB111" s="38">
        <f t="shared" si="40"/>
        <v>9.3266000000000002E-2</v>
      </c>
      <c r="AC111" s="39">
        <f t="shared" si="41"/>
        <v>9.3266000000000002E-2</v>
      </c>
      <c r="AD111" s="39">
        <f t="shared" si="42"/>
        <v>9.3266000000000002E-2</v>
      </c>
      <c r="AE111" s="80"/>
      <c r="AF111" s="40">
        <v>0</v>
      </c>
      <c r="AG111" s="9">
        <f t="shared" si="43"/>
        <v>0</v>
      </c>
      <c r="AH111" s="11">
        <f t="shared" si="44"/>
        <v>0</v>
      </c>
      <c r="AI111" s="11">
        <f t="shared" si="45"/>
        <v>3490385</v>
      </c>
      <c r="AJ111" s="11">
        <f t="shared" si="46"/>
        <v>3490385</v>
      </c>
      <c r="AK111" s="36">
        <v>6394518</v>
      </c>
      <c r="AL111" s="36">
        <v>5690756.5</v>
      </c>
      <c r="AM111" s="36">
        <f t="shared" si="52"/>
        <v>-2904133</v>
      </c>
      <c r="AN111" s="68">
        <f t="shared" si="47"/>
        <v>3490385</v>
      </c>
      <c r="AO111" s="68">
        <f t="shared" si="53"/>
        <v>-2904133</v>
      </c>
      <c r="AP111" s="69">
        <f t="shared" si="48"/>
        <v>5448842.2210999997</v>
      </c>
      <c r="AQ111" s="36">
        <f t="shared" si="49"/>
        <v>-241914.27890000027</v>
      </c>
      <c r="AR111" s="70">
        <f t="shared" si="50"/>
        <v>-4.2510038674120086E-2</v>
      </c>
      <c r="AS111" s="36"/>
      <c r="AT111" s="22"/>
      <c r="AV111" s="22"/>
      <c r="AW111" s="22"/>
      <c r="BA111" s="22"/>
      <c r="BB111" s="22"/>
      <c r="BC111" s="22"/>
      <c r="BD111" s="22"/>
      <c r="BE111" s="22"/>
    </row>
    <row r="112" spans="1:57" ht="15" x14ac:dyDescent="0.25">
      <c r="A112" s="8" t="s">
        <v>153</v>
      </c>
      <c r="B112" s="8"/>
      <c r="C112" s="26"/>
      <c r="D112" s="26"/>
      <c r="E112" s="26"/>
      <c r="F112" s="1">
        <v>8</v>
      </c>
      <c r="G112" s="71">
        <v>266.10336984741417</v>
      </c>
      <c r="H112" s="8">
        <v>86</v>
      </c>
      <c r="I112" s="3" t="s">
        <v>219</v>
      </c>
      <c r="J112" s="13">
        <f t="shared" si="31"/>
        <v>0</v>
      </c>
      <c r="K112" s="78">
        <v>2273.48</v>
      </c>
      <c r="L112" s="36"/>
      <c r="M112" s="35"/>
      <c r="N112" s="81">
        <v>969</v>
      </c>
      <c r="O112" s="67">
        <f t="shared" si="32"/>
        <v>0.42621883632141033</v>
      </c>
      <c r="P112" s="67">
        <f t="shared" si="33"/>
        <v>0</v>
      </c>
      <c r="Q112" s="36">
        <f t="shared" si="34"/>
        <v>0</v>
      </c>
      <c r="R112" s="36">
        <f t="shared" si="51"/>
        <v>0</v>
      </c>
      <c r="S112" s="79">
        <v>91</v>
      </c>
      <c r="T112" s="37">
        <f t="shared" si="35"/>
        <v>290.7</v>
      </c>
      <c r="U112" s="9">
        <f t="shared" si="36"/>
        <v>2577.83</v>
      </c>
      <c r="V112" s="73">
        <v>1824053691.3299999</v>
      </c>
      <c r="W112" s="73">
        <v>19231</v>
      </c>
      <c r="X112" s="18">
        <f t="shared" si="37"/>
        <v>94849.65</v>
      </c>
      <c r="Y112" s="38">
        <f t="shared" si="38"/>
        <v>0.51434899999999995</v>
      </c>
      <c r="Z112" s="73">
        <v>73160</v>
      </c>
      <c r="AA112" s="38">
        <f t="shared" si="39"/>
        <v>0.65517999999999998</v>
      </c>
      <c r="AB112" s="38">
        <f t="shared" si="40"/>
        <v>0.44340200000000002</v>
      </c>
      <c r="AC112" s="39">
        <f t="shared" si="41"/>
        <v>0.44340200000000002</v>
      </c>
      <c r="AD112" s="39">
        <f t="shared" si="42"/>
        <v>0.44340200000000002</v>
      </c>
      <c r="AE112" s="80"/>
      <c r="AF112" s="40">
        <v>0</v>
      </c>
      <c r="AG112" s="9">
        <f t="shared" si="43"/>
        <v>0</v>
      </c>
      <c r="AH112" s="11">
        <f t="shared" si="44"/>
        <v>0</v>
      </c>
      <c r="AI112" s="11">
        <f t="shared" si="45"/>
        <v>13173248</v>
      </c>
      <c r="AJ112" s="11">
        <f t="shared" si="46"/>
        <v>13173248</v>
      </c>
      <c r="AK112" s="36">
        <v>12589621</v>
      </c>
      <c r="AL112" s="36">
        <v>12628738.977</v>
      </c>
      <c r="AM112" s="36">
        <f t="shared" si="52"/>
        <v>583627</v>
      </c>
      <c r="AN112" s="68">
        <f t="shared" si="47"/>
        <v>13173248</v>
      </c>
      <c r="AO112" s="68">
        <f t="shared" si="53"/>
        <v>583627</v>
      </c>
      <c r="AP112" s="69">
        <f t="shared" si="48"/>
        <v>12690953.6152</v>
      </c>
      <c r="AQ112" s="36">
        <f t="shared" si="49"/>
        <v>62214.638199999928</v>
      </c>
      <c r="AR112" s="70">
        <f t="shared" si="50"/>
        <v>4.9264331389941539E-3</v>
      </c>
      <c r="AS112" s="36"/>
      <c r="AT112" s="22"/>
      <c r="AV112" s="22"/>
      <c r="AW112" s="22"/>
      <c r="BA112" s="22"/>
      <c r="BB112" s="22"/>
      <c r="BC112" s="22"/>
      <c r="BD112" s="22"/>
      <c r="BE112" s="22"/>
    </row>
    <row r="113" spans="1:57" ht="15" x14ac:dyDescent="0.25">
      <c r="A113" s="8" t="s">
        <v>129</v>
      </c>
      <c r="B113" s="8"/>
      <c r="C113" s="26"/>
      <c r="D113" s="26"/>
      <c r="E113" s="26"/>
      <c r="F113" s="1">
        <v>3</v>
      </c>
      <c r="G113" s="66">
        <v>214.90548223699065</v>
      </c>
      <c r="H113" s="8">
        <v>87</v>
      </c>
      <c r="I113" s="3" t="s">
        <v>220</v>
      </c>
      <c r="J113" s="13">
        <f t="shared" si="31"/>
        <v>0</v>
      </c>
      <c r="K113" s="78">
        <v>245.07</v>
      </c>
      <c r="L113" s="36"/>
      <c r="M113" s="35"/>
      <c r="N113" s="81">
        <v>39</v>
      </c>
      <c r="O113" s="67">
        <f t="shared" si="32"/>
        <v>0.15913820541069898</v>
      </c>
      <c r="P113" s="67">
        <f t="shared" si="33"/>
        <v>0</v>
      </c>
      <c r="Q113" s="36">
        <f t="shared" si="34"/>
        <v>0</v>
      </c>
      <c r="R113" s="36">
        <f t="shared" si="51"/>
        <v>0</v>
      </c>
      <c r="S113" s="79">
        <v>4</v>
      </c>
      <c r="T113" s="37">
        <f t="shared" si="35"/>
        <v>11.7</v>
      </c>
      <c r="U113" s="9">
        <f t="shared" si="36"/>
        <v>257.37</v>
      </c>
      <c r="V113" s="73">
        <v>435910575.32999998</v>
      </c>
      <c r="W113" s="73">
        <v>2279</v>
      </c>
      <c r="X113" s="18">
        <f t="shared" si="37"/>
        <v>191272.74</v>
      </c>
      <c r="Y113" s="38">
        <f t="shared" si="38"/>
        <v>1.037231</v>
      </c>
      <c r="Z113" s="73">
        <v>82031</v>
      </c>
      <c r="AA113" s="38">
        <f t="shared" si="39"/>
        <v>0.73462400000000005</v>
      </c>
      <c r="AB113" s="38">
        <f t="shared" si="40"/>
        <v>5.3551000000000001E-2</v>
      </c>
      <c r="AC113" s="39">
        <f t="shared" si="41"/>
        <v>5.3551000000000001E-2</v>
      </c>
      <c r="AD113" s="39">
        <f t="shared" si="42"/>
        <v>5.3551000000000001E-2</v>
      </c>
      <c r="AE113" s="80">
        <v>249</v>
      </c>
      <c r="AF113" s="40">
        <v>13</v>
      </c>
      <c r="AG113" s="9">
        <f t="shared" si="43"/>
        <v>100</v>
      </c>
      <c r="AH113" s="11">
        <f t="shared" si="44"/>
        <v>24900</v>
      </c>
      <c r="AI113" s="11">
        <f t="shared" si="45"/>
        <v>158842</v>
      </c>
      <c r="AJ113" s="11">
        <f t="shared" si="46"/>
        <v>183742</v>
      </c>
      <c r="AK113" s="36">
        <v>102178</v>
      </c>
      <c r="AL113" s="36">
        <v>103296.02899999999</v>
      </c>
      <c r="AM113" s="36">
        <f t="shared" si="52"/>
        <v>81564</v>
      </c>
      <c r="AN113" s="68">
        <f t="shared" si="47"/>
        <v>183742</v>
      </c>
      <c r="AO113" s="68">
        <f t="shared" si="53"/>
        <v>81564</v>
      </c>
      <c r="AP113" s="69">
        <f t="shared" si="48"/>
        <v>111990.75139999999</v>
      </c>
      <c r="AQ113" s="36">
        <f t="shared" si="49"/>
        <v>8694.7223999999987</v>
      </c>
      <c r="AR113" s="70">
        <f t="shared" si="50"/>
        <v>8.4172862056488149E-2</v>
      </c>
      <c r="AS113" s="36"/>
      <c r="AT113" s="22"/>
      <c r="AV113" s="22"/>
      <c r="AW113" s="22"/>
      <c r="BA113" s="22"/>
      <c r="BB113" s="22"/>
      <c r="BC113" s="22"/>
      <c r="BD113" s="22"/>
      <c r="BE113" s="22"/>
    </row>
    <row r="114" spans="1:57" ht="15" x14ac:dyDescent="0.25">
      <c r="A114" s="8" t="s">
        <v>140</v>
      </c>
      <c r="B114" s="8"/>
      <c r="C114" s="26">
        <v>1</v>
      </c>
      <c r="D114" s="26">
        <v>1</v>
      </c>
      <c r="E114" s="26"/>
      <c r="F114" s="1">
        <v>10</v>
      </c>
      <c r="G114" s="71">
        <v>319.99446529149969</v>
      </c>
      <c r="H114" s="8">
        <v>88</v>
      </c>
      <c r="I114" s="3" t="s">
        <v>221</v>
      </c>
      <c r="J114" s="13">
        <f t="shared" si="31"/>
        <v>0</v>
      </c>
      <c r="K114" s="78">
        <v>4552.88</v>
      </c>
      <c r="L114" s="36"/>
      <c r="M114" s="35"/>
      <c r="N114" s="81">
        <v>2409</v>
      </c>
      <c r="O114" s="67">
        <f t="shared" si="32"/>
        <v>0.52911563669589357</v>
      </c>
      <c r="P114" s="67">
        <f t="shared" si="33"/>
        <v>0</v>
      </c>
      <c r="Q114" s="36">
        <f t="shared" si="34"/>
        <v>0</v>
      </c>
      <c r="R114" s="36">
        <f t="shared" si="51"/>
        <v>0</v>
      </c>
      <c r="S114" s="79">
        <v>273</v>
      </c>
      <c r="T114" s="37">
        <f t="shared" si="35"/>
        <v>722.7</v>
      </c>
      <c r="U114" s="9">
        <f t="shared" si="36"/>
        <v>5316.53</v>
      </c>
      <c r="V114" s="73">
        <v>2290575904.3299999</v>
      </c>
      <c r="W114" s="73">
        <v>31392</v>
      </c>
      <c r="X114" s="18">
        <f t="shared" si="37"/>
        <v>72966.87</v>
      </c>
      <c r="Y114" s="38">
        <f t="shared" si="38"/>
        <v>0.39568399999999998</v>
      </c>
      <c r="Z114" s="73">
        <v>59522</v>
      </c>
      <c r="AA114" s="38">
        <f t="shared" si="39"/>
        <v>0.53304600000000002</v>
      </c>
      <c r="AB114" s="38">
        <f t="shared" si="40"/>
        <v>0.56310700000000002</v>
      </c>
      <c r="AC114" s="39">
        <f t="shared" si="41"/>
        <v>0.56310700000000002</v>
      </c>
      <c r="AD114" s="39">
        <f>IF(G114&gt;300,+AC114+$AD$18,AC114)</f>
        <v>0.60310700000000006</v>
      </c>
      <c r="AE114" s="80"/>
      <c r="AF114" s="40">
        <v>0</v>
      </c>
      <c r="AG114" s="9">
        <f t="shared" si="43"/>
        <v>0</v>
      </c>
      <c r="AH114" s="11">
        <f t="shared" si="44"/>
        <v>0</v>
      </c>
      <c r="AI114" s="11">
        <f t="shared" si="45"/>
        <v>36954180</v>
      </c>
      <c r="AJ114" s="11">
        <f t="shared" si="46"/>
        <v>36954180</v>
      </c>
      <c r="AK114" s="36">
        <v>30280380</v>
      </c>
      <c r="AL114" s="36">
        <v>30516109.377</v>
      </c>
      <c r="AM114" s="36">
        <f t="shared" si="52"/>
        <v>6673800</v>
      </c>
      <c r="AN114" s="68">
        <f t="shared" si="47"/>
        <v>36954180</v>
      </c>
      <c r="AO114" s="68">
        <f t="shared" si="53"/>
        <v>6673800</v>
      </c>
      <c r="AP114" s="69">
        <f t="shared" si="48"/>
        <v>31227536.456999999</v>
      </c>
      <c r="AQ114" s="36">
        <f t="shared" si="49"/>
        <v>711427.07999999821</v>
      </c>
      <c r="AR114" s="70">
        <f t="shared" si="50"/>
        <v>2.3313164571896607E-2</v>
      </c>
      <c r="AS114" s="36"/>
      <c r="AT114" s="22"/>
      <c r="AV114" s="22"/>
      <c r="AW114" s="22"/>
      <c r="BA114" s="22"/>
      <c r="BB114" s="22"/>
      <c r="BC114" s="22"/>
      <c r="BD114" s="22"/>
      <c r="BE114" s="22"/>
    </row>
    <row r="115" spans="1:57" ht="15" x14ac:dyDescent="0.25">
      <c r="A115" s="8" t="s">
        <v>145</v>
      </c>
      <c r="B115" s="8">
        <v>1</v>
      </c>
      <c r="C115" s="26">
        <v>1</v>
      </c>
      <c r="D115" s="26">
        <v>0</v>
      </c>
      <c r="E115" s="26">
        <v>1</v>
      </c>
      <c r="F115" s="1">
        <v>10</v>
      </c>
      <c r="G115" s="71">
        <v>416.16969353887447</v>
      </c>
      <c r="H115" s="8">
        <v>89</v>
      </c>
      <c r="I115" s="3" t="s">
        <v>222</v>
      </c>
      <c r="J115" s="13">
        <f t="shared" si="31"/>
        <v>0</v>
      </c>
      <c r="K115" s="78">
        <v>11484.47</v>
      </c>
      <c r="L115" s="36"/>
      <c r="M115" s="35"/>
      <c r="N115" s="81">
        <v>8599</v>
      </c>
      <c r="O115" s="67">
        <f t="shared" si="32"/>
        <v>0.74875026884131357</v>
      </c>
      <c r="P115" s="67">
        <f t="shared" si="33"/>
        <v>0</v>
      </c>
      <c r="Q115" s="36">
        <f t="shared" si="34"/>
        <v>0</v>
      </c>
      <c r="R115" s="36">
        <f t="shared" si="51"/>
        <v>0</v>
      </c>
      <c r="S115" s="79">
        <v>1716</v>
      </c>
      <c r="T115" s="37">
        <f t="shared" si="35"/>
        <v>2579.6999999999998</v>
      </c>
      <c r="U115" s="9">
        <f t="shared" si="36"/>
        <v>14321.569999999998</v>
      </c>
      <c r="V115" s="73">
        <v>3705692648.6700001</v>
      </c>
      <c r="W115" s="73">
        <v>72558</v>
      </c>
      <c r="X115" s="18">
        <f t="shared" si="37"/>
        <v>51072.14</v>
      </c>
      <c r="Y115" s="38">
        <f t="shared" si="38"/>
        <v>0.276953</v>
      </c>
      <c r="Z115" s="73">
        <v>41844</v>
      </c>
      <c r="AA115" s="38">
        <f t="shared" si="39"/>
        <v>0.37473200000000001</v>
      </c>
      <c r="AB115" s="38">
        <f t="shared" si="40"/>
        <v>0.69371300000000002</v>
      </c>
      <c r="AC115" s="39">
        <f t="shared" si="41"/>
        <v>0.69371300000000002</v>
      </c>
      <c r="AD115" s="39">
        <f>IF(G115&gt;300,+AC115+$AD$16,AC115)</f>
        <v>0.75371300000000008</v>
      </c>
      <c r="AE115" s="80"/>
      <c r="AF115" s="40">
        <v>0</v>
      </c>
      <c r="AG115" s="9">
        <f t="shared" si="43"/>
        <v>0</v>
      </c>
      <c r="AH115" s="11">
        <f t="shared" si="44"/>
        <v>0</v>
      </c>
      <c r="AI115" s="11">
        <f t="shared" si="45"/>
        <v>124404924</v>
      </c>
      <c r="AJ115" s="11">
        <f t="shared" si="46"/>
        <v>124404924</v>
      </c>
      <c r="AK115" s="36">
        <v>86195269</v>
      </c>
      <c r="AL115" s="36">
        <v>87784759.788000003</v>
      </c>
      <c r="AM115" s="36">
        <f t="shared" si="52"/>
        <v>38209655</v>
      </c>
      <c r="AN115" s="68">
        <f t="shared" si="47"/>
        <v>124404924</v>
      </c>
      <c r="AO115" s="68">
        <f t="shared" si="53"/>
        <v>38209655</v>
      </c>
      <c r="AP115" s="69">
        <f t="shared" si="48"/>
        <v>91857909.011000007</v>
      </c>
      <c r="AQ115" s="36">
        <f t="shared" si="49"/>
        <v>4073149.2230000049</v>
      </c>
      <c r="AR115" s="70">
        <f t="shared" si="50"/>
        <v>4.6399275145670514E-2</v>
      </c>
      <c r="AS115" s="36"/>
      <c r="AT115" s="22"/>
      <c r="AV115" s="22"/>
      <c r="AW115" s="22"/>
      <c r="BA115" s="22"/>
      <c r="BB115" s="22"/>
      <c r="BC115" s="22"/>
      <c r="BD115" s="22"/>
      <c r="BE115" s="22"/>
    </row>
    <row r="116" spans="1:57" ht="15" x14ac:dyDescent="0.25">
      <c r="A116" s="8" t="s">
        <v>167</v>
      </c>
      <c r="B116" s="8"/>
      <c r="C116" s="26"/>
      <c r="D116" s="26"/>
      <c r="E116" s="26"/>
      <c r="F116" s="1">
        <v>1</v>
      </c>
      <c r="G116" s="66">
        <v>41.628211540342221</v>
      </c>
      <c r="H116" s="8">
        <v>90</v>
      </c>
      <c r="I116" s="3" t="s">
        <v>223</v>
      </c>
      <c r="J116" s="13">
        <f t="shared" si="31"/>
        <v>0</v>
      </c>
      <c r="K116" s="78">
        <v>4192</v>
      </c>
      <c r="L116" s="36"/>
      <c r="M116" s="35"/>
      <c r="N116" s="81">
        <v>10</v>
      </c>
      <c r="O116" s="67">
        <f t="shared" si="32"/>
        <v>2.3854961832061069E-3</v>
      </c>
      <c r="P116" s="67">
        <f t="shared" si="33"/>
        <v>0</v>
      </c>
      <c r="Q116" s="36">
        <f t="shared" si="34"/>
        <v>0</v>
      </c>
      <c r="R116" s="36">
        <f t="shared" si="51"/>
        <v>0</v>
      </c>
      <c r="S116" s="79">
        <v>46</v>
      </c>
      <c r="T116" s="37">
        <f t="shared" si="35"/>
        <v>3</v>
      </c>
      <c r="U116" s="9">
        <f t="shared" si="36"/>
        <v>4201.8999999999996</v>
      </c>
      <c r="V116" s="73">
        <v>12135846072.33</v>
      </c>
      <c r="W116" s="73">
        <v>20280</v>
      </c>
      <c r="X116" s="18">
        <f t="shared" si="37"/>
        <v>598414.5</v>
      </c>
      <c r="Y116" s="38">
        <f t="shared" si="38"/>
        <v>3.2450739999999998</v>
      </c>
      <c r="Z116" s="73">
        <v>176601</v>
      </c>
      <c r="AA116" s="38">
        <f t="shared" si="39"/>
        <v>1.5815410000000001</v>
      </c>
      <c r="AB116" s="38">
        <f t="shared" si="40"/>
        <v>-1.746014</v>
      </c>
      <c r="AC116" s="39">
        <f t="shared" si="41"/>
        <v>0.01</v>
      </c>
      <c r="AD116" s="39">
        <f>IF(G116&gt;300,+AC116+$AD$17,AC116)</f>
        <v>0.01</v>
      </c>
      <c r="AE116" s="80"/>
      <c r="AF116" s="40">
        <v>0</v>
      </c>
      <c r="AG116" s="9">
        <f t="shared" si="43"/>
        <v>0</v>
      </c>
      <c r="AH116" s="11">
        <f t="shared" si="44"/>
        <v>0</v>
      </c>
      <c r="AI116" s="11">
        <f t="shared" si="45"/>
        <v>484269</v>
      </c>
      <c r="AJ116" s="11">
        <f t="shared" si="46"/>
        <v>484269</v>
      </c>
      <c r="AK116" s="36">
        <v>339590</v>
      </c>
      <c r="AL116" s="36">
        <v>345922.163</v>
      </c>
      <c r="AM116" s="36">
        <f t="shared" si="52"/>
        <v>144679</v>
      </c>
      <c r="AN116" s="68">
        <f t="shared" si="47"/>
        <v>484269</v>
      </c>
      <c r="AO116" s="68">
        <f t="shared" si="53"/>
        <v>144679</v>
      </c>
      <c r="AP116" s="69">
        <f t="shared" si="48"/>
        <v>361344.94439999998</v>
      </c>
      <c r="AQ116" s="36">
        <f t="shared" si="49"/>
        <v>15422.781399999978</v>
      </c>
      <c r="AR116" s="70">
        <f t="shared" si="50"/>
        <v>4.4584542563698003E-2</v>
      </c>
      <c r="AS116" s="36"/>
      <c r="AT116" s="22"/>
      <c r="AV116" s="22"/>
      <c r="AW116" s="22"/>
      <c r="BA116" s="22"/>
      <c r="BB116" s="22"/>
      <c r="BC116" s="22"/>
      <c r="BD116" s="22"/>
      <c r="BE116" s="22"/>
    </row>
    <row r="117" spans="1:57" ht="15" x14ac:dyDescent="0.25">
      <c r="A117" s="8" t="s">
        <v>131</v>
      </c>
      <c r="B117" s="8"/>
      <c r="C117" s="26"/>
      <c r="D117" s="26"/>
      <c r="E117" s="26"/>
      <c r="F117" s="1">
        <v>3</v>
      </c>
      <c r="G117" s="66">
        <v>216.45265051084482</v>
      </c>
      <c r="H117" s="8">
        <v>91</v>
      </c>
      <c r="I117" s="3" t="s">
        <v>224</v>
      </c>
      <c r="J117" s="13">
        <f t="shared" si="31"/>
        <v>0</v>
      </c>
      <c r="K117" s="78">
        <v>2182.33</v>
      </c>
      <c r="L117" s="36"/>
      <c r="M117" s="35"/>
      <c r="N117" s="81">
        <v>331</v>
      </c>
      <c r="O117" s="67">
        <f t="shared" si="32"/>
        <v>0.15167275343325712</v>
      </c>
      <c r="P117" s="67">
        <f t="shared" si="33"/>
        <v>0</v>
      </c>
      <c r="Q117" s="36">
        <f t="shared" si="34"/>
        <v>0</v>
      </c>
      <c r="R117" s="36">
        <f t="shared" si="51"/>
        <v>0</v>
      </c>
      <c r="S117" s="79">
        <v>64</v>
      </c>
      <c r="T117" s="37">
        <f t="shared" si="35"/>
        <v>99.3</v>
      </c>
      <c r="U117" s="9">
        <f t="shared" si="36"/>
        <v>2291.23</v>
      </c>
      <c r="V117" s="73">
        <v>2344905612.6700001</v>
      </c>
      <c r="W117" s="73">
        <v>14005</v>
      </c>
      <c r="X117" s="18">
        <f t="shared" si="37"/>
        <v>167433.46</v>
      </c>
      <c r="Y117" s="38">
        <f t="shared" si="38"/>
        <v>0.90795599999999999</v>
      </c>
      <c r="Z117" s="73">
        <v>101392</v>
      </c>
      <c r="AA117" s="38">
        <f t="shared" si="39"/>
        <v>0.90801100000000001</v>
      </c>
      <c r="AB117" s="38">
        <f t="shared" si="40"/>
        <v>9.2027999999999999E-2</v>
      </c>
      <c r="AC117" s="39">
        <f t="shared" si="41"/>
        <v>9.2027999999999999E-2</v>
      </c>
      <c r="AD117" s="39">
        <f>IF(G117&gt;300,+AC117+$AD$17,AC117)</f>
        <v>9.2027999999999999E-2</v>
      </c>
      <c r="AE117" s="80"/>
      <c r="AF117" s="40">
        <v>0</v>
      </c>
      <c r="AG117" s="9">
        <f t="shared" si="43"/>
        <v>0</v>
      </c>
      <c r="AH117" s="11">
        <f t="shared" si="44"/>
        <v>0</v>
      </c>
      <c r="AI117" s="11">
        <f t="shared" si="45"/>
        <v>2430131</v>
      </c>
      <c r="AJ117" s="11">
        <f t="shared" si="46"/>
        <v>2430131</v>
      </c>
      <c r="AK117" s="36">
        <v>4338569</v>
      </c>
      <c r="AL117" s="36">
        <v>3841431.25</v>
      </c>
      <c r="AM117" s="36">
        <f t="shared" si="52"/>
        <v>-1908438</v>
      </c>
      <c r="AN117" s="68">
        <f t="shared" si="47"/>
        <v>2430131</v>
      </c>
      <c r="AO117" s="68">
        <f t="shared" si="53"/>
        <v>-1908438</v>
      </c>
      <c r="AP117" s="69">
        <f t="shared" si="48"/>
        <v>3682458.3646</v>
      </c>
      <c r="AQ117" s="36">
        <f t="shared" si="49"/>
        <v>-158972.88540000003</v>
      </c>
      <c r="AR117" s="70">
        <f t="shared" si="50"/>
        <v>-4.1383764293581989E-2</v>
      </c>
      <c r="AS117" s="36"/>
      <c r="AT117" s="22"/>
      <c r="AV117" s="22"/>
      <c r="AW117" s="22"/>
      <c r="BA117" s="22"/>
      <c r="BB117" s="22"/>
      <c r="BC117" s="22"/>
      <c r="BD117" s="22"/>
      <c r="BE117" s="22"/>
    </row>
    <row r="118" spans="1:57" ht="15" x14ac:dyDescent="0.25">
      <c r="A118" s="8" t="s">
        <v>125</v>
      </c>
      <c r="B118" s="8"/>
      <c r="C118" s="26"/>
      <c r="D118" s="26"/>
      <c r="E118" s="26"/>
      <c r="F118" s="1">
        <v>5</v>
      </c>
      <c r="G118" s="66">
        <v>227.20606452492771</v>
      </c>
      <c r="H118" s="8">
        <v>92</v>
      </c>
      <c r="I118" s="3" t="s">
        <v>225</v>
      </c>
      <c r="J118" s="13">
        <f t="shared" si="31"/>
        <v>0</v>
      </c>
      <c r="K118" s="78">
        <v>939.76</v>
      </c>
      <c r="L118" s="36"/>
      <c r="M118" s="35"/>
      <c r="N118" s="81">
        <v>149</v>
      </c>
      <c r="O118" s="67">
        <f t="shared" si="32"/>
        <v>0.15855111943474931</v>
      </c>
      <c r="P118" s="67">
        <f t="shared" si="33"/>
        <v>0</v>
      </c>
      <c r="Q118" s="36">
        <f t="shared" si="34"/>
        <v>0</v>
      </c>
      <c r="R118" s="36">
        <f t="shared" si="51"/>
        <v>0</v>
      </c>
      <c r="S118" s="79">
        <v>1</v>
      </c>
      <c r="T118" s="37">
        <f t="shared" si="35"/>
        <v>44.7</v>
      </c>
      <c r="U118" s="9">
        <f t="shared" si="36"/>
        <v>984.61</v>
      </c>
      <c r="V118" s="73">
        <v>937897553.66999996</v>
      </c>
      <c r="W118" s="73">
        <v>6733</v>
      </c>
      <c r="X118" s="18">
        <f t="shared" si="37"/>
        <v>139298.60999999999</v>
      </c>
      <c r="Y118" s="38">
        <f t="shared" si="38"/>
        <v>0.75538700000000003</v>
      </c>
      <c r="Z118" s="73">
        <v>92970</v>
      </c>
      <c r="AA118" s="38">
        <f t="shared" si="39"/>
        <v>0.83258799999999999</v>
      </c>
      <c r="AB118" s="38">
        <f t="shared" si="40"/>
        <v>0.22145300000000001</v>
      </c>
      <c r="AC118" s="39">
        <f t="shared" si="41"/>
        <v>0.22145300000000001</v>
      </c>
      <c r="AD118" s="39">
        <f>IF(G118&gt;300,+AC118+$AD$17,AC118)</f>
        <v>0.22145300000000001</v>
      </c>
      <c r="AE118" s="80">
        <v>481</v>
      </c>
      <c r="AF118" s="40">
        <v>6</v>
      </c>
      <c r="AG118" s="9">
        <f t="shared" si="43"/>
        <v>46.15</v>
      </c>
      <c r="AH118" s="11">
        <f t="shared" si="44"/>
        <v>22198</v>
      </c>
      <c r="AI118" s="11">
        <f t="shared" si="45"/>
        <v>2512967</v>
      </c>
      <c r="AJ118" s="11">
        <f t="shared" si="46"/>
        <v>2535165</v>
      </c>
      <c r="AK118" s="36">
        <v>3113169</v>
      </c>
      <c r="AL118" s="36">
        <v>3014801.25</v>
      </c>
      <c r="AM118" s="36">
        <f t="shared" si="52"/>
        <v>-578004</v>
      </c>
      <c r="AN118" s="68">
        <f t="shared" si="47"/>
        <v>2535165</v>
      </c>
      <c r="AO118" s="68">
        <f t="shared" si="53"/>
        <v>-578004</v>
      </c>
      <c r="AP118" s="69">
        <f t="shared" si="48"/>
        <v>2966653.5167999999</v>
      </c>
      <c r="AQ118" s="36">
        <f t="shared" si="49"/>
        <v>-48147.733200000133</v>
      </c>
      <c r="AR118" s="70">
        <f t="shared" si="50"/>
        <v>-1.597045019136838E-2</v>
      </c>
      <c r="AS118" s="36"/>
      <c r="AT118" s="22"/>
      <c r="AV118" s="22"/>
      <c r="AW118" s="22"/>
      <c r="BA118" s="22"/>
      <c r="BB118" s="22"/>
      <c r="BC118" s="22"/>
      <c r="BD118" s="22"/>
      <c r="BE118" s="22"/>
    </row>
    <row r="119" spans="1:57" ht="15" x14ac:dyDescent="0.25">
      <c r="A119" s="8" t="s">
        <v>145</v>
      </c>
      <c r="B119" s="8">
        <v>1</v>
      </c>
      <c r="C119" s="26">
        <v>1</v>
      </c>
      <c r="D119" s="26">
        <v>0</v>
      </c>
      <c r="E119" s="26">
        <v>1</v>
      </c>
      <c r="F119" s="1">
        <v>10</v>
      </c>
      <c r="G119" s="71">
        <v>389.18601706925409</v>
      </c>
      <c r="H119" s="8">
        <v>93</v>
      </c>
      <c r="I119" s="3" t="s">
        <v>226</v>
      </c>
      <c r="J119" s="13">
        <f t="shared" si="31"/>
        <v>0</v>
      </c>
      <c r="K119" s="78">
        <v>18826.419999999998</v>
      </c>
      <c r="L119" s="36"/>
      <c r="M119" s="35"/>
      <c r="N119" s="81">
        <v>13915</v>
      </c>
      <c r="O119" s="67">
        <f t="shared" si="32"/>
        <v>0.73912087375082469</v>
      </c>
      <c r="P119" s="67">
        <f t="shared" si="33"/>
        <v>0</v>
      </c>
      <c r="Q119" s="36">
        <f t="shared" si="34"/>
        <v>0</v>
      </c>
      <c r="R119" s="36">
        <f t="shared" si="51"/>
        <v>0</v>
      </c>
      <c r="S119" s="79">
        <v>3461</v>
      </c>
      <c r="T119" s="37">
        <f t="shared" si="35"/>
        <v>4174.5</v>
      </c>
      <c r="U119" s="9">
        <f t="shared" si="36"/>
        <v>23520.07</v>
      </c>
      <c r="V119" s="73">
        <v>9793496570.6700001</v>
      </c>
      <c r="W119" s="73">
        <v>129934</v>
      </c>
      <c r="X119" s="18">
        <f t="shared" si="37"/>
        <v>75372.86</v>
      </c>
      <c r="Y119" s="38">
        <f t="shared" si="38"/>
        <v>0.40873100000000001</v>
      </c>
      <c r="Z119" s="73">
        <v>38126</v>
      </c>
      <c r="AA119" s="38">
        <f t="shared" si="39"/>
        <v>0.34143499999999999</v>
      </c>
      <c r="AB119" s="38">
        <f t="shared" si="40"/>
        <v>0.61145799999999995</v>
      </c>
      <c r="AC119" s="39">
        <f t="shared" si="41"/>
        <v>0.61145799999999995</v>
      </c>
      <c r="AD119" s="39">
        <f>IF(G119&gt;300,+AC119+$AD$16,AC119)</f>
        <v>0.67145799999999989</v>
      </c>
      <c r="AE119" s="80"/>
      <c r="AF119" s="40">
        <v>0</v>
      </c>
      <c r="AG119" s="9">
        <f t="shared" si="43"/>
        <v>0</v>
      </c>
      <c r="AH119" s="11">
        <f t="shared" si="44"/>
        <v>0</v>
      </c>
      <c r="AI119" s="11">
        <f t="shared" si="45"/>
        <v>182011319</v>
      </c>
      <c r="AJ119" s="11">
        <f t="shared" si="46"/>
        <v>182011319</v>
      </c>
      <c r="AK119" s="36">
        <v>154301977</v>
      </c>
      <c r="AL119" s="36">
        <v>155146662.69</v>
      </c>
      <c r="AM119" s="36">
        <f t="shared" si="52"/>
        <v>27709342</v>
      </c>
      <c r="AN119" s="68">
        <f t="shared" si="47"/>
        <v>182011319</v>
      </c>
      <c r="AO119" s="68">
        <f t="shared" si="53"/>
        <v>27709342</v>
      </c>
      <c r="AP119" s="69">
        <f t="shared" si="48"/>
        <v>158100478.54719999</v>
      </c>
      <c r="AQ119" s="36">
        <f t="shared" si="49"/>
        <v>2953815.8571999967</v>
      </c>
      <c r="AR119" s="70">
        <f t="shared" si="50"/>
        <v>1.9038861719520475E-2</v>
      </c>
      <c r="AS119" s="36"/>
      <c r="AT119" s="22"/>
      <c r="AV119" s="22"/>
      <c r="AW119" s="22"/>
      <c r="BA119" s="22"/>
      <c r="BB119" s="22"/>
      <c r="BC119" s="22"/>
      <c r="BD119" s="22"/>
      <c r="BE119" s="22"/>
    </row>
    <row r="120" spans="1:57" ht="15" x14ac:dyDescent="0.25">
      <c r="A120" s="8" t="s">
        <v>135</v>
      </c>
      <c r="B120" s="8"/>
      <c r="C120" s="26"/>
      <c r="D120" s="26"/>
      <c r="E120" s="26"/>
      <c r="F120" s="1">
        <v>7</v>
      </c>
      <c r="G120" s="66">
        <v>249.09415480069222</v>
      </c>
      <c r="H120" s="8">
        <v>94</v>
      </c>
      <c r="I120" s="3" t="s">
        <v>227</v>
      </c>
      <c r="J120" s="13">
        <f t="shared" si="31"/>
        <v>0</v>
      </c>
      <c r="K120" s="78">
        <v>4195.57</v>
      </c>
      <c r="L120" s="36"/>
      <c r="M120" s="35"/>
      <c r="N120" s="81">
        <v>1220</v>
      </c>
      <c r="O120" s="67">
        <f t="shared" si="32"/>
        <v>0.29078289719871198</v>
      </c>
      <c r="P120" s="67">
        <f t="shared" si="33"/>
        <v>0</v>
      </c>
      <c r="Q120" s="36">
        <f t="shared" si="34"/>
        <v>0</v>
      </c>
      <c r="R120" s="36">
        <f t="shared" si="51"/>
        <v>0</v>
      </c>
      <c r="S120" s="79">
        <v>233</v>
      </c>
      <c r="T120" s="37">
        <f t="shared" si="35"/>
        <v>366</v>
      </c>
      <c r="U120" s="9">
        <f t="shared" si="36"/>
        <v>4596.5199999999995</v>
      </c>
      <c r="V120" s="73">
        <v>3836147197.6700001</v>
      </c>
      <c r="W120" s="73">
        <v>30423</v>
      </c>
      <c r="X120" s="18">
        <f t="shared" si="37"/>
        <v>126093.65</v>
      </c>
      <c r="Y120" s="38">
        <f t="shared" si="38"/>
        <v>0.68377900000000003</v>
      </c>
      <c r="Z120" s="73">
        <v>80315</v>
      </c>
      <c r="AA120" s="38">
        <f t="shared" si="39"/>
        <v>0.71925700000000004</v>
      </c>
      <c r="AB120" s="38">
        <f t="shared" si="40"/>
        <v>0.30557800000000002</v>
      </c>
      <c r="AC120" s="39">
        <f t="shared" si="41"/>
        <v>0.30557800000000002</v>
      </c>
      <c r="AD120" s="39">
        <f t="shared" ref="AD120:AD129" si="54">IF(G120&gt;300,+AC120+$AD$17,AC120)</f>
        <v>0.30557800000000002</v>
      </c>
      <c r="AE120" s="80"/>
      <c r="AF120" s="40">
        <v>0</v>
      </c>
      <c r="AG120" s="9">
        <f t="shared" si="43"/>
        <v>0</v>
      </c>
      <c r="AH120" s="11">
        <f t="shared" si="44"/>
        <v>0</v>
      </c>
      <c r="AI120" s="11">
        <f t="shared" si="45"/>
        <v>16187962</v>
      </c>
      <c r="AJ120" s="11">
        <f t="shared" si="46"/>
        <v>16187962</v>
      </c>
      <c r="AK120" s="36">
        <v>12983806</v>
      </c>
      <c r="AL120" s="36">
        <v>13092669.569</v>
      </c>
      <c r="AM120" s="36">
        <f t="shared" si="52"/>
        <v>3204156</v>
      </c>
      <c r="AN120" s="68">
        <f t="shared" si="47"/>
        <v>16187962</v>
      </c>
      <c r="AO120" s="68">
        <f t="shared" si="53"/>
        <v>3204156</v>
      </c>
      <c r="AP120" s="69">
        <f t="shared" si="48"/>
        <v>13434232.5986</v>
      </c>
      <c r="AQ120" s="36">
        <f t="shared" si="49"/>
        <v>341563.02960000001</v>
      </c>
      <c r="AR120" s="70">
        <f t="shared" si="50"/>
        <v>2.6088111962187719E-2</v>
      </c>
      <c r="AS120" s="36"/>
      <c r="AT120" s="22"/>
      <c r="AV120" s="22"/>
      <c r="AW120" s="22"/>
      <c r="BA120" s="22"/>
      <c r="BB120" s="22"/>
      <c r="BC120" s="22"/>
      <c r="BD120" s="22"/>
      <c r="BE120" s="22"/>
    </row>
    <row r="121" spans="1:57" ht="15" x14ac:dyDescent="0.25">
      <c r="A121" s="8" t="s">
        <v>145</v>
      </c>
      <c r="B121" s="8">
        <v>1</v>
      </c>
      <c r="C121" s="26">
        <v>1</v>
      </c>
      <c r="D121" s="26">
        <v>0</v>
      </c>
      <c r="E121" s="26">
        <v>1</v>
      </c>
      <c r="F121" s="1">
        <v>10</v>
      </c>
      <c r="G121" s="71">
        <v>360.60655129961924</v>
      </c>
      <c r="H121" s="8">
        <v>95</v>
      </c>
      <c r="I121" s="3" t="s">
        <v>228</v>
      </c>
      <c r="J121" s="13">
        <f t="shared" si="31"/>
        <v>0</v>
      </c>
      <c r="K121" s="78">
        <v>3597.66</v>
      </c>
      <c r="L121" s="36"/>
      <c r="M121" s="35"/>
      <c r="N121" s="81">
        <v>3070</v>
      </c>
      <c r="O121" s="67">
        <f t="shared" si="32"/>
        <v>0.85333244386629092</v>
      </c>
      <c r="P121" s="67">
        <f t="shared" si="33"/>
        <v>0.10333244386629092</v>
      </c>
      <c r="Q121" s="36">
        <f t="shared" si="34"/>
        <v>371.75500000000017</v>
      </c>
      <c r="R121" s="36">
        <f t="shared" si="51"/>
        <v>18.58775000000001</v>
      </c>
      <c r="S121" s="79">
        <v>834</v>
      </c>
      <c r="T121" s="37">
        <f t="shared" si="35"/>
        <v>921</v>
      </c>
      <c r="U121" s="9">
        <f t="shared" si="36"/>
        <v>4662.3477499999999</v>
      </c>
      <c r="V121" s="73">
        <v>1841807487</v>
      </c>
      <c r="W121" s="73">
        <v>26984</v>
      </c>
      <c r="X121" s="18">
        <f t="shared" si="37"/>
        <v>68255.539999999994</v>
      </c>
      <c r="Y121" s="38">
        <f t="shared" si="38"/>
        <v>0.37013499999999999</v>
      </c>
      <c r="Z121" s="73">
        <v>35357</v>
      </c>
      <c r="AA121" s="38">
        <f t="shared" si="39"/>
        <v>0.31663799999999998</v>
      </c>
      <c r="AB121" s="38">
        <f t="shared" si="40"/>
        <v>0.64591399999999999</v>
      </c>
      <c r="AC121" s="39">
        <f t="shared" si="41"/>
        <v>0.64591399999999999</v>
      </c>
      <c r="AD121" s="39">
        <f t="shared" si="54"/>
        <v>0.69591400000000003</v>
      </c>
      <c r="AE121" s="80"/>
      <c r="AF121" s="40">
        <v>0</v>
      </c>
      <c r="AG121" s="9">
        <f t="shared" si="43"/>
        <v>0</v>
      </c>
      <c r="AH121" s="11">
        <f t="shared" si="44"/>
        <v>0</v>
      </c>
      <c r="AI121" s="11">
        <f t="shared" si="45"/>
        <v>37393935</v>
      </c>
      <c r="AJ121" s="11">
        <f t="shared" si="46"/>
        <v>37393935</v>
      </c>
      <c r="AK121" s="36">
        <v>25806077</v>
      </c>
      <c r="AL121" s="36">
        <v>26298574.289000001</v>
      </c>
      <c r="AM121" s="36">
        <f t="shared" si="52"/>
        <v>11587858</v>
      </c>
      <c r="AN121" s="68">
        <f t="shared" si="47"/>
        <v>37393935</v>
      </c>
      <c r="AO121" s="68">
        <f t="shared" si="53"/>
        <v>11587858</v>
      </c>
      <c r="AP121" s="69">
        <f t="shared" si="48"/>
        <v>27533839.9518</v>
      </c>
      <c r="AQ121" s="36">
        <f t="shared" si="49"/>
        <v>1235265.6627999991</v>
      </c>
      <c r="AR121" s="70">
        <f t="shared" si="50"/>
        <v>4.6970822418942994E-2</v>
      </c>
      <c r="AS121" s="36"/>
      <c r="AT121" s="22"/>
      <c r="AV121" s="22"/>
      <c r="AW121" s="22"/>
      <c r="BA121" s="22"/>
      <c r="BB121" s="22"/>
      <c r="BC121" s="22"/>
      <c r="BD121" s="22"/>
      <c r="BE121" s="22"/>
    </row>
    <row r="122" spans="1:57" ht="15" x14ac:dyDescent="0.25">
      <c r="A122" s="8" t="s">
        <v>135</v>
      </c>
      <c r="B122" s="8"/>
      <c r="C122" s="26"/>
      <c r="D122" s="26"/>
      <c r="E122" s="26"/>
      <c r="F122" s="1">
        <v>5</v>
      </c>
      <c r="G122" s="66">
        <v>222.63946199414619</v>
      </c>
      <c r="H122" s="8">
        <v>96</v>
      </c>
      <c r="I122" s="3" t="s">
        <v>229</v>
      </c>
      <c r="J122" s="13">
        <f t="shared" si="31"/>
        <v>0</v>
      </c>
      <c r="K122" s="78">
        <v>3916.95</v>
      </c>
      <c r="L122" s="36"/>
      <c r="M122" s="35"/>
      <c r="N122" s="81">
        <v>1292</v>
      </c>
      <c r="O122" s="67">
        <f t="shared" si="32"/>
        <v>0.32984847904619669</v>
      </c>
      <c r="P122" s="67">
        <f t="shared" si="33"/>
        <v>0</v>
      </c>
      <c r="Q122" s="36">
        <f t="shared" si="34"/>
        <v>0</v>
      </c>
      <c r="R122" s="36">
        <f t="shared" si="51"/>
        <v>0</v>
      </c>
      <c r="S122" s="79">
        <v>155</v>
      </c>
      <c r="T122" s="37">
        <f t="shared" si="35"/>
        <v>387.6</v>
      </c>
      <c r="U122" s="9">
        <f t="shared" si="36"/>
        <v>4327.8</v>
      </c>
      <c r="V122" s="73">
        <v>4145380881.6700001</v>
      </c>
      <c r="W122" s="73">
        <v>27151</v>
      </c>
      <c r="X122" s="18">
        <f t="shared" si="37"/>
        <v>152678.76</v>
      </c>
      <c r="Y122" s="38">
        <f t="shared" si="38"/>
        <v>0.82794400000000001</v>
      </c>
      <c r="Z122" s="73">
        <v>81350</v>
      </c>
      <c r="AA122" s="38">
        <f t="shared" si="39"/>
        <v>0.72852600000000001</v>
      </c>
      <c r="AB122" s="38">
        <f t="shared" si="40"/>
        <v>0.201881</v>
      </c>
      <c r="AC122" s="39">
        <f t="shared" si="41"/>
        <v>0.201881</v>
      </c>
      <c r="AD122" s="39">
        <f t="shared" si="54"/>
        <v>0.201881</v>
      </c>
      <c r="AE122" s="80"/>
      <c r="AF122" s="40">
        <v>0</v>
      </c>
      <c r="AG122" s="9">
        <f t="shared" si="43"/>
        <v>0</v>
      </c>
      <c r="AH122" s="11">
        <f t="shared" si="44"/>
        <v>0</v>
      </c>
      <c r="AI122" s="11">
        <f t="shared" si="45"/>
        <v>10069399</v>
      </c>
      <c r="AJ122" s="11">
        <f t="shared" si="46"/>
        <v>10069399</v>
      </c>
      <c r="AK122" s="36">
        <v>11832806</v>
      </c>
      <c r="AL122" s="36">
        <v>11425015</v>
      </c>
      <c r="AM122" s="36">
        <f t="shared" si="52"/>
        <v>-1763407</v>
      </c>
      <c r="AN122" s="68">
        <f t="shared" si="47"/>
        <v>10069399</v>
      </c>
      <c r="AO122" s="68">
        <f t="shared" si="53"/>
        <v>-1763407</v>
      </c>
      <c r="AP122" s="69">
        <f t="shared" si="48"/>
        <v>11278123.196900001</v>
      </c>
      <c r="AQ122" s="36">
        <f t="shared" si="49"/>
        <v>-146891.8030999992</v>
      </c>
      <c r="AR122" s="70">
        <f t="shared" si="50"/>
        <v>-1.2857033719430496E-2</v>
      </c>
      <c r="AS122" s="36"/>
      <c r="AT122" s="22"/>
      <c r="AV122" s="22"/>
      <c r="AW122" s="22"/>
      <c r="BA122" s="22"/>
      <c r="BB122" s="22"/>
      <c r="BC122" s="22"/>
      <c r="BD122" s="22"/>
      <c r="BE122" s="22"/>
    </row>
    <row r="123" spans="1:57" ht="15" x14ac:dyDescent="0.25">
      <c r="A123" s="8" t="s">
        <v>131</v>
      </c>
      <c r="B123" s="8"/>
      <c r="C123" s="26"/>
      <c r="D123" s="26"/>
      <c r="E123" s="26"/>
      <c r="F123" s="1">
        <v>3</v>
      </c>
      <c r="G123" s="66">
        <v>218.40424684914387</v>
      </c>
      <c r="H123" s="8">
        <v>97</v>
      </c>
      <c r="I123" s="3" t="s">
        <v>230</v>
      </c>
      <c r="J123" s="13">
        <f t="shared" si="31"/>
        <v>0</v>
      </c>
      <c r="K123" s="78">
        <v>4281.76</v>
      </c>
      <c r="L123" s="36"/>
      <c r="M123" s="35"/>
      <c r="N123" s="81">
        <v>535</v>
      </c>
      <c r="O123" s="67">
        <f t="shared" si="32"/>
        <v>0.12494861925936997</v>
      </c>
      <c r="P123" s="67">
        <f t="shared" si="33"/>
        <v>0</v>
      </c>
      <c r="Q123" s="36">
        <f t="shared" si="34"/>
        <v>0</v>
      </c>
      <c r="R123" s="36">
        <f t="shared" si="51"/>
        <v>0</v>
      </c>
      <c r="S123" s="79">
        <v>24</v>
      </c>
      <c r="T123" s="37">
        <f t="shared" ref="T123:T154" si="55">ROUND(N123*$T$2,2)</f>
        <v>160.5</v>
      </c>
      <c r="U123" s="9">
        <f t="shared" ref="U123:U154" si="56">K123+T123+0.15*S123+0.05*Q123</f>
        <v>4445.8600000000006</v>
      </c>
      <c r="V123" s="73">
        <v>4553783661</v>
      </c>
      <c r="W123" s="73">
        <v>27865</v>
      </c>
      <c r="X123" s="18">
        <f t="shared" si="37"/>
        <v>163423.06</v>
      </c>
      <c r="Y123" s="38">
        <f t="shared" si="38"/>
        <v>0.886208</v>
      </c>
      <c r="Z123" s="73">
        <v>110036</v>
      </c>
      <c r="AA123" s="38">
        <f t="shared" si="39"/>
        <v>0.98542099999999999</v>
      </c>
      <c r="AB123" s="38">
        <f t="shared" si="40"/>
        <v>8.4028000000000005E-2</v>
      </c>
      <c r="AC123" s="39">
        <f t="shared" ref="AC123:AC154" si="57">IF(C123=1,MAX($T$7,AB123),MAX($T$6,AB123))</f>
        <v>8.4028000000000005E-2</v>
      </c>
      <c r="AD123" s="39">
        <f t="shared" si="54"/>
        <v>8.4028000000000005E-2</v>
      </c>
      <c r="AE123" s="80"/>
      <c r="AF123" s="40">
        <v>0</v>
      </c>
      <c r="AG123" s="9">
        <f t="shared" si="43"/>
        <v>0</v>
      </c>
      <c r="AH123" s="11">
        <f t="shared" si="44"/>
        <v>0</v>
      </c>
      <c r="AI123" s="11">
        <f t="shared" si="45"/>
        <v>4305472</v>
      </c>
      <c r="AJ123" s="11">
        <f t="shared" si="46"/>
        <v>4305472</v>
      </c>
      <c r="AK123" s="36">
        <v>4893944</v>
      </c>
      <c r="AL123" s="36">
        <v>4565640.5</v>
      </c>
      <c r="AM123" s="36">
        <f t="shared" si="52"/>
        <v>-588472</v>
      </c>
      <c r="AN123" s="68">
        <f t="shared" ref="AN123:AN154" si="58">IF(AND(C123=1,AL123&gt;AJ123),AL123,AJ123)</f>
        <v>4305472</v>
      </c>
      <c r="AO123" s="68">
        <f t="shared" si="53"/>
        <v>-588472</v>
      </c>
      <c r="AP123" s="69">
        <f t="shared" si="48"/>
        <v>4516620.7823999999</v>
      </c>
      <c r="AQ123" s="36">
        <f t="shared" si="49"/>
        <v>-49019.717600000091</v>
      </c>
      <c r="AR123" s="70">
        <f t="shared" si="50"/>
        <v>-1.0736657343038745E-2</v>
      </c>
      <c r="AS123" s="36"/>
      <c r="AT123" s="22"/>
      <c r="AV123" s="22"/>
      <c r="AW123" s="22"/>
      <c r="BA123" s="22"/>
      <c r="BB123" s="22"/>
      <c r="BC123" s="22"/>
      <c r="BD123" s="22"/>
      <c r="BE123" s="22"/>
    </row>
    <row r="124" spans="1:57" ht="15" x14ac:dyDescent="0.25">
      <c r="A124" s="8" t="s">
        <v>129</v>
      </c>
      <c r="B124" s="8"/>
      <c r="C124" s="26"/>
      <c r="D124" s="26"/>
      <c r="E124" s="26"/>
      <c r="F124" s="1">
        <v>2</v>
      </c>
      <c r="G124" s="66">
        <v>210.30373638173828</v>
      </c>
      <c r="H124" s="8">
        <v>98</v>
      </c>
      <c r="I124" s="3" t="s">
        <v>231</v>
      </c>
      <c r="J124" s="13">
        <f t="shared" si="31"/>
        <v>0</v>
      </c>
      <c r="K124" s="78">
        <v>191.45</v>
      </c>
      <c r="L124" s="36"/>
      <c r="M124" s="35"/>
      <c r="N124" s="81">
        <v>58</v>
      </c>
      <c r="O124" s="67">
        <f t="shared" si="32"/>
        <v>0.30295116218333773</v>
      </c>
      <c r="P124" s="67">
        <f t="shared" si="33"/>
        <v>0</v>
      </c>
      <c r="Q124" s="36">
        <f t="shared" si="34"/>
        <v>0</v>
      </c>
      <c r="R124" s="36">
        <f t="shared" si="51"/>
        <v>0</v>
      </c>
      <c r="S124" s="79">
        <v>2</v>
      </c>
      <c r="T124" s="37">
        <f t="shared" si="55"/>
        <v>17.399999999999999</v>
      </c>
      <c r="U124" s="9">
        <f t="shared" si="56"/>
        <v>209.15</v>
      </c>
      <c r="V124" s="73">
        <v>377553865.32999998</v>
      </c>
      <c r="W124" s="73">
        <v>1632</v>
      </c>
      <c r="X124" s="18">
        <f t="shared" si="37"/>
        <v>231344.28</v>
      </c>
      <c r="Y124" s="38">
        <f t="shared" si="38"/>
        <v>1.2545310000000001</v>
      </c>
      <c r="Z124" s="73">
        <v>73804</v>
      </c>
      <c r="AA124" s="38">
        <f t="shared" si="39"/>
        <v>0.66094799999999998</v>
      </c>
      <c r="AB124" s="38">
        <f t="shared" si="40"/>
        <v>-7.6455999999999996E-2</v>
      </c>
      <c r="AC124" s="39">
        <f t="shared" si="57"/>
        <v>0.01</v>
      </c>
      <c r="AD124" s="39">
        <f t="shared" si="54"/>
        <v>0.01</v>
      </c>
      <c r="AE124" s="80">
        <v>95</v>
      </c>
      <c r="AF124" s="40">
        <v>6</v>
      </c>
      <c r="AG124" s="9">
        <f t="shared" si="43"/>
        <v>46.15</v>
      </c>
      <c r="AH124" s="11">
        <f t="shared" si="44"/>
        <v>4384</v>
      </c>
      <c r="AI124" s="11">
        <f t="shared" si="45"/>
        <v>24105</v>
      </c>
      <c r="AJ124" s="11">
        <f t="shared" si="46"/>
        <v>28489</v>
      </c>
      <c r="AK124" s="36">
        <v>25815</v>
      </c>
      <c r="AL124" s="36">
        <v>25862.600999999999</v>
      </c>
      <c r="AM124" s="36">
        <f t="shared" si="52"/>
        <v>2674</v>
      </c>
      <c r="AN124" s="68">
        <f t="shared" si="58"/>
        <v>28489</v>
      </c>
      <c r="AO124" s="68">
        <f t="shared" si="53"/>
        <v>2674</v>
      </c>
      <c r="AP124" s="69">
        <f t="shared" si="48"/>
        <v>26147.649399999998</v>
      </c>
      <c r="AQ124" s="36">
        <f t="shared" si="49"/>
        <v>285.04839999999967</v>
      </c>
      <c r="AR124" s="70">
        <f t="shared" si="50"/>
        <v>1.1021644729391282E-2</v>
      </c>
      <c r="AS124" s="36"/>
      <c r="AT124" s="22"/>
      <c r="AV124" s="22"/>
      <c r="AW124" s="22"/>
      <c r="BA124" s="22"/>
      <c r="BB124" s="22"/>
      <c r="BC124" s="22"/>
      <c r="BD124" s="22"/>
      <c r="BE124" s="22"/>
    </row>
    <row r="125" spans="1:57" ht="15" x14ac:dyDescent="0.25">
      <c r="A125" s="8" t="s">
        <v>129</v>
      </c>
      <c r="B125" s="8"/>
      <c r="C125" s="26"/>
      <c r="D125" s="26"/>
      <c r="E125" s="26"/>
      <c r="F125" s="1">
        <v>6</v>
      </c>
      <c r="G125" s="66">
        <v>232.49086186134491</v>
      </c>
      <c r="H125" s="8">
        <v>99</v>
      </c>
      <c r="I125" s="3" t="s">
        <v>232</v>
      </c>
      <c r="J125" s="13">
        <f t="shared" si="31"/>
        <v>0</v>
      </c>
      <c r="K125" s="78">
        <v>1790.73</v>
      </c>
      <c r="L125" s="36"/>
      <c r="M125" s="35"/>
      <c r="N125" s="81">
        <v>374</v>
      </c>
      <c r="O125" s="67">
        <f t="shared" si="32"/>
        <v>0.20885337264690937</v>
      </c>
      <c r="P125" s="67">
        <f t="shared" si="33"/>
        <v>0</v>
      </c>
      <c r="Q125" s="36">
        <f t="shared" si="34"/>
        <v>0</v>
      </c>
      <c r="R125" s="36">
        <f t="shared" si="51"/>
        <v>0</v>
      </c>
      <c r="S125" s="79">
        <v>15</v>
      </c>
      <c r="T125" s="37">
        <f t="shared" si="55"/>
        <v>112.2</v>
      </c>
      <c r="U125" s="9">
        <f t="shared" si="56"/>
        <v>1905.18</v>
      </c>
      <c r="V125" s="73">
        <v>1816090840.3299999</v>
      </c>
      <c r="W125" s="73">
        <v>14198</v>
      </c>
      <c r="X125" s="18">
        <f t="shared" si="37"/>
        <v>127911.74</v>
      </c>
      <c r="Y125" s="38">
        <f t="shared" si="38"/>
        <v>0.69363799999999998</v>
      </c>
      <c r="Z125" s="73">
        <v>85357</v>
      </c>
      <c r="AA125" s="38">
        <f t="shared" si="39"/>
        <v>0.76441000000000003</v>
      </c>
      <c r="AB125" s="38">
        <f t="shared" si="40"/>
        <v>0.28512999999999999</v>
      </c>
      <c r="AC125" s="39">
        <f t="shared" si="57"/>
        <v>0.28512999999999999</v>
      </c>
      <c r="AD125" s="39">
        <f t="shared" si="54"/>
        <v>0.28512999999999999</v>
      </c>
      <c r="AE125" s="80"/>
      <c r="AF125" s="40">
        <v>0</v>
      </c>
      <c r="AG125" s="9">
        <f t="shared" si="43"/>
        <v>0</v>
      </c>
      <c r="AH125" s="11">
        <f t="shared" si="44"/>
        <v>0</v>
      </c>
      <c r="AI125" s="11">
        <f t="shared" si="45"/>
        <v>6260656</v>
      </c>
      <c r="AJ125" s="11">
        <f t="shared" si="46"/>
        <v>6260656</v>
      </c>
      <c r="AK125" s="36">
        <v>8076776</v>
      </c>
      <c r="AL125" s="36">
        <v>7605127</v>
      </c>
      <c r="AM125" s="36">
        <f t="shared" si="52"/>
        <v>-1816120</v>
      </c>
      <c r="AN125" s="68">
        <f t="shared" si="58"/>
        <v>6260656</v>
      </c>
      <c r="AO125" s="68">
        <f t="shared" si="53"/>
        <v>-1816120</v>
      </c>
      <c r="AP125" s="69">
        <f t="shared" si="48"/>
        <v>7453844.2039999999</v>
      </c>
      <c r="AQ125" s="36">
        <f t="shared" si="49"/>
        <v>-151282.79600000009</v>
      </c>
      <c r="AR125" s="70">
        <f t="shared" si="50"/>
        <v>-1.989221166194859E-2</v>
      </c>
      <c r="AS125" s="36"/>
      <c r="AT125" s="22"/>
      <c r="AV125" s="22"/>
      <c r="AW125" s="22"/>
      <c r="BA125" s="22"/>
      <c r="BB125" s="22"/>
      <c r="BC125" s="22"/>
      <c r="BD125" s="22"/>
      <c r="BE125" s="22"/>
    </row>
    <row r="126" spans="1:57" ht="15" x14ac:dyDescent="0.25">
      <c r="A126" s="8" t="s">
        <v>153</v>
      </c>
      <c r="B126" s="8"/>
      <c r="C126" s="26"/>
      <c r="D126" s="26"/>
      <c r="E126" s="26"/>
      <c r="F126" s="1">
        <v>8</v>
      </c>
      <c r="G126" s="66">
        <v>239.53318066556434</v>
      </c>
      <c r="H126" s="8">
        <v>100</v>
      </c>
      <c r="I126" s="3" t="s">
        <v>233</v>
      </c>
      <c r="J126" s="13">
        <f t="shared" si="31"/>
        <v>0</v>
      </c>
      <c r="K126" s="78">
        <v>361.4</v>
      </c>
      <c r="L126" s="36"/>
      <c r="M126" s="35"/>
      <c r="N126" s="81">
        <v>168</v>
      </c>
      <c r="O126" s="67">
        <f t="shared" si="32"/>
        <v>0.46485888212506921</v>
      </c>
      <c r="P126" s="67">
        <f t="shared" si="33"/>
        <v>0</v>
      </c>
      <c r="Q126" s="36">
        <f t="shared" si="34"/>
        <v>0</v>
      </c>
      <c r="R126" s="36">
        <f t="shared" si="51"/>
        <v>0</v>
      </c>
      <c r="S126" s="79">
        <v>11</v>
      </c>
      <c r="T126" s="37">
        <f t="shared" si="55"/>
        <v>50.4</v>
      </c>
      <c r="U126" s="9">
        <f t="shared" si="56"/>
        <v>413.44999999999993</v>
      </c>
      <c r="V126" s="73">
        <v>429940518.32999998</v>
      </c>
      <c r="W126" s="73">
        <v>3186</v>
      </c>
      <c r="X126" s="18">
        <f t="shared" si="37"/>
        <v>134946.79999999999</v>
      </c>
      <c r="Y126" s="38">
        <f t="shared" si="38"/>
        <v>0.73178799999999999</v>
      </c>
      <c r="Z126" s="73">
        <v>75690</v>
      </c>
      <c r="AA126" s="38">
        <f t="shared" si="39"/>
        <v>0.67783800000000005</v>
      </c>
      <c r="AB126" s="38">
        <f t="shared" si="40"/>
        <v>0.28439700000000001</v>
      </c>
      <c r="AC126" s="39">
        <f t="shared" si="57"/>
        <v>0.28439700000000001</v>
      </c>
      <c r="AD126" s="39">
        <f t="shared" si="54"/>
        <v>0.28439700000000001</v>
      </c>
      <c r="AE126" s="80">
        <v>111</v>
      </c>
      <c r="AF126" s="40">
        <v>4</v>
      </c>
      <c r="AG126" s="9">
        <f t="shared" si="43"/>
        <v>30.77</v>
      </c>
      <c r="AH126" s="11">
        <f t="shared" si="44"/>
        <v>3415</v>
      </c>
      <c r="AI126" s="11">
        <f t="shared" si="45"/>
        <v>1355155</v>
      </c>
      <c r="AJ126" s="11">
        <f t="shared" si="46"/>
        <v>1358570</v>
      </c>
      <c r="AK126" s="36">
        <v>2044243</v>
      </c>
      <c r="AL126" s="36">
        <v>1892849.25</v>
      </c>
      <c r="AM126" s="36">
        <f t="shared" si="52"/>
        <v>-685673</v>
      </c>
      <c r="AN126" s="68">
        <f t="shared" si="58"/>
        <v>1358570</v>
      </c>
      <c r="AO126" s="68">
        <f t="shared" si="53"/>
        <v>-685673</v>
      </c>
      <c r="AP126" s="69">
        <f t="shared" si="48"/>
        <v>1835732.6891000001</v>
      </c>
      <c r="AQ126" s="36">
        <f t="shared" si="49"/>
        <v>-57116.560899999924</v>
      </c>
      <c r="AR126" s="70">
        <f t="shared" si="50"/>
        <v>-3.0174912714258637E-2</v>
      </c>
      <c r="AS126" s="36"/>
      <c r="AT126" s="22"/>
      <c r="AV126" s="22"/>
      <c r="AW126" s="22"/>
      <c r="BA126" s="22"/>
      <c r="BB126" s="22"/>
      <c r="BC126" s="22"/>
      <c r="BD126" s="22"/>
      <c r="BE126" s="22"/>
    </row>
    <row r="127" spans="1:57" ht="15" x14ac:dyDescent="0.25">
      <c r="A127" s="8" t="s">
        <v>135</v>
      </c>
      <c r="B127" s="8"/>
      <c r="C127" s="26"/>
      <c r="D127" s="26"/>
      <c r="E127" s="26"/>
      <c r="F127" s="1">
        <v>4</v>
      </c>
      <c r="G127" s="66">
        <v>231.76041677914839</v>
      </c>
      <c r="H127" s="8">
        <v>101</v>
      </c>
      <c r="I127" s="3" t="s">
        <v>234</v>
      </c>
      <c r="J127" s="13">
        <f t="shared" si="31"/>
        <v>0</v>
      </c>
      <c r="K127" s="78">
        <v>3195.03</v>
      </c>
      <c r="L127" s="36"/>
      <c r="M127" s="35"/>
      <c r="N127" s="81">
        <v>611</v>
      </c>
      <c r="O127" s="67">
        <f t="shared" si="32"/>
        <v>0.19123451110005227</v>
      </c>
      <c r="P127" s="67">
        <f t="shared" si="33"/>
        <v>0</v>
      </c>
      <c r="Q127" s="36">
        <f t="shared" si="34"/>
        <v>0</v>
      </c>
      <c r="R127" s="36">
        <f t="shared" si="51"/>
        <v>0</v>
      </c>
      <c r="S127" s="79">
        <v>77</v>
      </c>
      <c r="T127" s="37">
        <f t="shared" si="55"/>
        <v>183.3</v>
      </c>
      <c r="U127" s="9">
        <f t="shared" si="56"/>
        <v>3389.8800000000006</v>
      </c>
      <c r="V127" s="73">
        <v>4073801547</v>
      </c>
      <c r="W127" s="73">
        <v>23709</v>
      </c>
      <c r="X127" s="18">
        <f t="shared" si="37"/>
        <v>171825.11</v>
      </c>
      <c r="Y127" s="38">
        <f t="shared" si="38"/>
        <v>0.93177100000000002</v>
      </c>
      <c r="Z127" s="73">
        <v>93696</v>
      </c>
      <c r="AA127" s="38">
        <f t="shared" si="39"/>
        <v>0.83908899999999997</v>
      </c>
      <c r="AB127" s="38">
        <f t="shared" si="40"/>
        <v>9.6033999999999994E-2</v>
      </c>
      <c r="AC127" s="39">
        <f t="shared" si="57"/>
        <v>9.6033999999999994E-2</v>
      </c>
      <c r="AD127" s="39">
        <f t="shared" si="54"/>
        <v>9.6033999999999994E-2</v>
      </c>
      <c r="AE127" s="80"/>
      <c r="AF127" s="40">
        <v>0</v>
      </c>
      <c r="AG127" s="9">
        <f t="shared" si="43"/>
        <v>0</v>
      </c>
      <c r="AH127" s="11">
        <f t="shared" si="44"/>
        <v>0</v>
      </c>
      <c r="AI127" s="11">
        <f t="shared" si="45"/>
        <v>3751892</v>
      </c>
      <c r="AJ127" s="11">
        <f t="shared" si="46"/>
        <v>3751892</v>
      </c>
      <c r="AK127" s="36">
        <v>3842088</v>
      </c>
      <c r="AL127" s="36">
        <v>3868905.1159999999</v>
      </c>
      <c r="AM127" s="36">
        <f t="shared" si="52"/>
        <v>-90196</v>
      </c>
      <c r="AN127" s="68">
        <f t="shared" si="58"/>
        <v>3751892</v>
      </c>
      <c r="AO127" s="68">
        <f t="shared" si="53"/>
        <v>-90196</v>
      </c>
      <c r="AP127" s="69">
        <f t="shared" si="48"/>
        <v>3861391.7892</v>
      </c>
      <c r="AQ127" s="36">
        <f t="shared" si="49"/>
        <v>-7513.3267999999225</v>
      </c>
      <c r="AR127" s="70">
        <f t="shared" si="50"/>
        <v>-1.9419775297482181E-3</v>
      </c>
      <c r="AS127" s="36"/>
      <c r="AT127" s="22"/>
      <c r="AV127" s="22"/>
      <c r="AW127" s="22"/>
      <c r="BA127" s="22"/>
      <c r="BB127" s="22"/>
      <c r="BC127" s="22"/>
      <c r="BD127" s="22"/>
      <c r="BE127" s="22"/>
    </row>
    <row r="128" spans="1:57" ht="15" x14ac:dyDescent="0.25">
      <c r="A128" s="8" t="s">
        <v>129</v>
      </c>
      <c r="B128" s="8"/>
      <c r="C128" s="26"/>
      <c r="D128" s="26"/>
      <c r="E128" s="26"/>
      <c r="F128" s="1">
        <v>4</v>
      </c>
      <c r="G128" s="66">
        <v>220.32526207757792</v>
      </c>
      <c r="H128" s="8">
        <v>102</v>
      </c>
      <c r="I128" s="3" t="s">
        <v>235</v>
      </c>
      <c r="J128" s="13">
        <f t="shared" si="31"/>
        <v>0</v>
      </c>
      <c r="K128" s="78">
        <v>752.04</v>
      </c>
      <c r="L128" s="36"/>
      <c r="M128" s="35"/>
      <c r="N128" s="81">
        <v>95</v>
      </c>
      <c r="O128" s="67">
        <f t="shared" si="32"/>
        <v>0.12632306792191905</v>
      </c>
      <c r="P128" s="67">
        <f t="shared" si="33"/>
        <v>0</v>
      </c>
      <c r="Q128" s="36">
        <f t="shared" si="34"/>
        <v>0</v>
      </c>
      <c r="R128" s="36">
        <f t="shared" si="51"/>
        <v>0</v>
      </c>
      <c r="S128" s="79"/>
      <c r="T128" s="37">
        <f t="shared" si="55"/>
        <v>28.5</v>
      </c>
      <c r="U128" s="9">
        <f t="shared" si="56"/>
        <v>780.54</v>
      </c>
      <c r="V128" s="73">
        <v>765097970.66999996</v>
      </c>
      <c r="W128" s="73">
        <v>5271</v>
      </c>
      <c r="X128" s="18">
        <f t="shared" si="37"/>
        <v>145152.34</v>
      </c>
      <c r="Y128" s="38">
        <f t="shared" si="38"/>
        <v>0.78713</v>
      </c>
      <c r="Z128" s="73">
        <v>75091</v>
      </c>
      <c r="AA128" s="38">
        <f t="shared" si="39"/>
        <v>0.67247299999999999</v>
      </c>
      <c r="AB128" s="38">
        <f t="shared" si="40"/>
        <v>0.24726699999999999</v>
      </c>
      <c r="AC128" s="39">
        <f t="shared" si="57"/>
        <v>0.24726699999999999</v>
      </c>
      <c r="AD128" s="39">
        <f t="shared" si="54"/>
        <v>0.24726699999999999</v>
      </c>
      <c r="AE128" s="80"/>
      <c r="AF128" s="40">
        <v>0</v>
      </c>
      <c r="AG128" s="9">
        <f t="shared" si="43"/>
        <v>0</v>
      </c>
      <c r="AH128" s="11">
        <f t="shared" si="44"/>
        <v>0</v>
      </c>
      <c r="AI128" s="11">
        <f t="shared" si="45"/>
        <v>2224346</v>
      </c>
      <c r="AJ128" s="11">
        <f t="shared" si="46"/>
        <v>2224346</v>
      </c>
      <c r="AK128" s="36">
        <v>2834470</v>
      </c>
      <c r="AL128" s="36">
        <v>2708663.5</v>
      </c>
      <c r="AM128" s="36">
        <f t="shared" si="52"/>
        <v>-610124</v>
      </c>
      <c r="AN128" s="68">
        <f t="shared" si="58"/>
        <v>2224346</v>
      </c>
      <c r="AO128" s="68">
        <f t="shared" si="53"/>
        <v>-610124</v>
      </c>
      <c r="AP128" s="69">
        <f t="shared" si="48"/>
        <v>2657840.1708</v>
      </c>
      <c r="AQ128" s="36">
        <f t="shared" si="49"/>
        <v>-50823.329200000037</v>
      </c>
      <c r="AR128" s="70">
        <f t="shared" si="50"/>
        <v>-1.8763249550931681E-2</v>
      </c>
      <c r="AS128" s="36"/>
      <c r="AT128" s="22"/>
      <c r="AV128" s="22"/>
      <c r="AW128" s="22"/>
      <c r="BA128" s="22"/>
      <c r="BB128" s="22"/>
      <c r="BC128" s="22"/>
      <c r="BD128" s="22"/>
      <c r="BE128" s="22"/>
    </row>
    <row r="129" spans="1:57" ht="15" x14ac:dyDescent="0.25">
      <c r="A129" s="8" t="s">
        <v>127</v>
      </c>
      <c r="B129" s="8">
        <v>1</v>
      </c>
      <c r="C129" s="26">
        <v>1</v>
      </c>
      <c r="D129" s="26">
        <v>1</v>
      </c>
      <c r="E129" s="26"/>
      <c r="F129" s="1">
        <v>3</v>
      </c>
      <c r="G129" s="66">
        <v>216.86953070095581</v>
      </c>
      <c r="H129" s="8">
        <v>103</v>
      </c>
      <c r="I129" s="3" t="s">
        <v>236</v>
      </c>
      <c r="J129" s="13">
        <f t="shared" si="31"/>
        <v>0</v>
      </c>
      <c r="K129" s="78">
        <v>11865.99</v>
      </c>
      <c r="L129" s="36"/>
      <c r="M129" s="35"/>
      <c r="N129" s="81">
        <v>6802</v>
      </c>
      <c r="O129" s="67">
        <f t="shared" si="32"/>
        <v>0.57323493446395957</v>
      </c>
      <c r="P129" s="67">
        <f t="shared" si="33"/>
        <v>0</v>
      </c>
      <c r="Q129" s="36">
        <f t="shared" si="34"/>
        <v>0</v>
      </c>
      <c r="R129" s="36">
        <f t="shared" si="51"/>
        <v>0</v>
      </c>
      <c r="S129" s="79">
        <v>1801</v>
      </c>
      <c r="T129" s="37">
        <f t="shared" si="55"/>
        <v>2040.6</v>
      </c>
      <c r="U129" s="9">
        <f t="shared" si="56"/>
        <v>14176.74</v>
      </c>
      <c r="V129" s="73">
        <v>18827807617.669998</v>
      </c>
      <c r="W129" s="73">
        <v>88438</v>
      </c>
      <c r="X129" s="18">
        <f t="shared" si="37"/>
        <v>212892.73</v>
      </c>
      <c r="Y129" s="38">
        <f t="shared" si="38"/>
        <v>1.1544719999999999</v>
      </c>
      <c r="Z129" s="73">
        <v>80896</v>
      </c>
      <c r="AA129" s="38">
        <f t="shared" si="39"/>
        <v>0.72445999999999999</v>
      </c>
      <c r="AB129" s="38">
        <f t="shared" si="40"/>
        <v>-2.5468000000000001E-2</v>
      </c>
      <c r="AC129" s="39">
        <f t="shared" si="57"/>
        <v>0.1</v>
      </c>
      <c r="AD129" s="39">
        <f t="shared" si="54"/>
        <v>0.1</v>
      </c>
      <c r="AE129" s="80"/>
      <c r="AF129" s="40">
        <v>0</v>
      </c>
      <c r="AG129" s="9">
        <f t="shared" si="43"/>
        <v>0</v>
      </c>
      <c r="AH129" s="11">
        <f t="shared" si="44"/>
        <v>0</v>
      </c>
      <c r="AI129" s="11">
        <f t="shared" si="45"/>
        <v>16338693</v>
      </c>
      <c r="AJ129" s="11">
        <f t="shared" si="46"/>
        <v>16338693</v>
      </c>
      <c r="AK129" s="36">
        <v>11243340</v>
      </c>
      <c r="AL129" s="36">
        <v>11439364.649</v>
      </c>
      <c r="AM129" s="36">
        <f t="shared" si="52"/>
        <v>5095353</v>
      </c>
      <c r="AN129" s="68">
        <f t="shared" si="58"/>
        <v>16338693</v>
      </c>
      <c r="AO129" s="68">
        <f t="shared" si="53"/>
        <v>5095353</v>
      </c>
      <c r="AP129" s="69">
        <f t="shared" si="48"/>
        <v>11982529.2788</v>
      </c>
      <c r="AQ129" s="36">
        <f t="shared" si="49"/>
        <v>543164.6297999993</v>
      </c>
      <c r="AR129" s="70">
        <f t="shared" si="50"/>
        <v>4.7482062725177777E-2</v>
      </c>
      <c r="AS129" s="36"/>
      <c r="AT129" s="22"/>
      <c r="AV129" s="22"/>
      <c r="AW129" s="22"/>
      <c r="BA129" s="22"/>
      <c r="BB129" s="22"/>
      <c r="BC129" s="22"/>
      <c r="BD129" s="22"/>
      <c r="BE129" s="22"/>
    </row>
    <row r="130" spans="1:57" ht="15" x14ac:dyDescent="0.25">
      <c r="A130" s="8" t="s">
        <v>127</v>
      </c>
      <c r="B130" s="8">
        <v>1</v>
      </c>
      <c r="C130" s="26">
        <v>1</v>
      </c>
      <c r="D130" s="26">
        <v>0</v>
      </c>
      <c r="E130" s="26">
        <v>1</v>
      </c>
      <c r="F130" s="1">
        <v>10</v>
      </c>
      <c r="G130" s="71">
        <v>326.89782761852621</v>
      </c>
      <c r="H130" s="8">
        <v>104</v>
      </c>
      <c r="I130" s="3" t="s">
        <v>237</v>
      </c>
      <c r="J130" s="13">
        <f t="shared" si="31"/>
        <v>0</v>
      </c>
      <c r="K130" s="78">
        <v>5289.9</v>
      </c>
      <c r="L130" s="36"/>
      <c r="M130" s="35"/>
      <c r="N130" s="81">
        <v>3610</v>
      </c>
      <c r="O130" s="67">
        <f t="shared" si="32"/>
        <v>0.68243256016181786</v>
      </c>
      <c r="P130" s="67">
        <f t="shared" si="33"/>
        <v>0</v>
      </c>
      <c r="Q130" s="36">
        <f t="shared" si="34"/>
        <v>0</v>
      </c>
      <c r="R130" s="36">
        <f t="shared" si="51"/>
        <v>0</v>
      </c>
      <c r="S130" s="79">
        <v>812</v>
      </c>
      <c r="T130" s="37">
        <f t="shared" si="55"/>
        <v>1083</v>
      </c>
      <c r="U130" s="9">
        <f t="shared" si="56"/>
        <v>6494.7</v>
      </c>
      <c r="V130" s="73">
        <v>2696226190.6700001</v>
      </c>
      <c r="W130" s="73">
        <v>39556</v>
      </c>
      <c r="X130" s="18">
        <f t="shared" si="37"/>
        <v>68162.259999999995</v>
      </c>
      <c r="Y130" s="38">
        <f t="shared" si="38"/>
        <v>0.36962899999999999</v>
      </c>
      <c r="Z130" s="73">
        <v>51758</v>
      </c>
      <c r="AA130" s="38">
        <f t="shared" si="39"/>
        <v>0.46351599999999998</v>
      </c>
      <c r="AB130" s="38">
        <f t="shared" si="40"/>
        <v>0.60220499999999999</v>
      </c>
      <c r="AC130" s="39">
        <f t="shared" si="57"/>
        <v>0.60220499999999999</v>
      </c>
      <c r="AD130" s="39">
        <f>IF(G130&gt;300,+AC130+$AD$18,AC130)</f>
        <v>0.64220500000000003</v>
      </c>
      <c r="AE130" s="80"/>
      <c r="AF130" s="40">
        <v>0</v>
      </c>
      <c r="AG130" s="9">
        <f t="shared" si="43"/>
        <v>0</v>
      </c>
      <c r="AH130" s="11">
        <f t="shared" si="44"/>
        <v>0</v>
      </c>
      <c r="AI130" s="11">
        <f t="shared" si="45"/>
        <v>48069955</v>
      </c>
      <c r="AJ130" s="11">
        <f t="shared" si="46"/>
        <v>48069955</v>
      </c>
      <c r="AK130" s="36">
        <v>36209664</v>
      </c>
      <c r="AL130" s="36">
        <v>36719420.608000003</v>
      </c>
      <c r="AM130" s="36">
        <f t="shared" si="52"/>
        <v>11860291</v>
      </c>
      <c r="AN130" s="68">
        <f t="shared" si="58"/>
        <v>48069955</v>
      </c>
      <c r="AO130" s="68">
        <f t="shared" si="53"/>
        <v>11860291</v>
      </c>
      <c r="AP130" s="69">
        <f t="shared" si="48"/>
        <v>37983727.628600001</v>
      </c>
      <c r="AQ130" s="36">
        <f t="shared" si="49"/>
        <v>1264307.0205999985</v>
      </c>
      <c r="AR130" s="70">
        <f t="shared" si="50"/>
        <v>3.4431562363065882E-2</v>
      </c>
      <c r="AS130" s="36"/>
      <c r="AT130" s="22"/>
      <c r="AV130" s="22"/>
      <c r="AW130" s="22"/>
      <c r="BA130" s="22"/>
      <c r="BB130" s="22"/>
      <c r="BC130" s="22"/>
      <c r="BD130" s="22"/>
      <c r="BE130" s="22"/>
    </row>
    <row r="131" spans="1:57" ht="15" x14ac:dyDescent="0.25">
      <c r="A131" s="8" t="s">
        <v>125</v>
      </c>
      <c r="B131" s="8"/>
      <c r="C131" s="26"/>
      <c r="D131" s="26"/>
      <c r="E131" s="26"/>
      <c r="F131" s="1">
        <v>2</v>
      </c>
      <c r="G131" s="66">
        <v>175.62480793298397</v>
      </c>
      <c r="H131" s="8">
        <v>105</v>
      </c>
      <c r="I131" s="3" t="s">
        <v>238</v>
      </c>
      <c r="J131" s="13">
        <f t="shared" si="31"/>
        <v>0</v>
      </c>
      <c r="K131" s="78">
        <v>1030.7</v>
      </c>
      <c r="L131" s="36"/>
      <c r="M131" s="35"/>
      <c r="N131" s="81">
        <v>185</v>
      </c>
      <c r="O131" s="67">
        <f t="shared" si="32"/>
        <v>0.17948966721645482</v>
      </c>
      <c r="P131" s="67">
        <f t="shared" si="33"/>
        <v>0</v>
      </c>
      <c r="Q131" s="36">
        <f t="shared" si="34"/>
        <v>0</v>
      </c>
      <c r="R131" s="36">
        <f t="shared" si="51"/>
        <v>0</v>
      </c>
      <c r="S131" s="79">
        <v>19</v>
      </c>
      <c r="T131" s="37">
        <f t="shared" si="55"/>
        <v>55.5</v>
      </c>
      <c r="U131" s="9">
        <f t="shared" si="56"/>
        <v>1089.05</v>
      </c>
      <c r="V131" s="73">
        <v>2258369856.3299999</v>
      </c>
      <c r="W131" s="73">
        <v>7469</v>
      </c>
      <c r="X131" s="18">
        <f t="shared" si="37"/>
        <v>302365.76</v>
      </c>
      <c r="Y131" s="38">
        <f t="shared" si="38"/>
        <v>1.6396649999999999</v>
      </c>
      <c r="Z131" s="73">
        <v>87971</v>
      </c>
      <c r="AA131" s="38">
        <f t="shared" si="39"/>
        <v>0.78781999999999996</v>
      </c>
      <c r="AB131" s="38">
        <f t="shared" si="40"/>
        <v>-0.38411200000000001</v>
      </c>
      <c r="AC131" s="39">
        <f t="shared" si="57"/>
        <v>0.01</v>
      </c>
      <c r="AD131" s="39">
        <f t="shared" ref="AD131:AD136" si="59">IF(G131&gt;300,+AC131+$AD$17,AC131)</f>
        <v>0.01</v>
      </c>
      <c r="AE131" s="80">
        <v>1024</v>
      </c>
      <c r="AF131" s="40">
        <v>13</v>
      </c>
      <c r="AG131" s="9">
        <f t="shared" si="43"/>
        <v>100</v>
      </c>
      <c r="AH131" s="11">
        <f t="shared" si="44"/>
        <v>102400</v>
      </c>
      <c r="AI131" s="11">
        <f t="shared" si="45"/>
        <v>125513</v>
      </c>
      <c r="AJ131" s="11">
        <f t="shared" si="46"/>
        <v>227913</v>
      </c>
      <c r="AK131" s="36">
        <v>247462</v>
      </c>
      <c r="AL131" s="36">
        <v>241512</v>
      </c>
      <c r="AM131" s="36">
        <f t="shared" si="52"/>
        <v>-19549</v>
      </c>
      <c r="AN131" s="68">
        <f t="shared" si="58"/>
        <v>227913</v>
      </c>
      <c r="AO131" s="68">
        <f t="shared" si="53"/>
        <v>-19549</v>
      </c>
      <c r="AP131" s="69">
        <f t="shared" si="48"/>
        <v>239883.56830000001</v>
      </c>
      <c r="AQ131" s="36">
        <f t="shared" si="49"/>
        <v>-1628.4316999999864</v>
      </c>
      <c r="AR131" s="70">
        <f t="shared" si="50"/>
        <v>-6.7426533671204186E-3</v>
      </c>
      <c r="AS131" s="36"/>
      <c r="AT131" s="22"/>
      <c r="AV131" s="22"/>
      <c r="AW131" s="22"/>
      <c r="BA131" s="22"/>
      <c r="BB131" s="22"/>
      <c r="BC131" s="22"/>
      <c r="BD131" s="22"/>
      <c r="BE131" s="22"/>
    </row>
    <row r="132" spans="1:57" ht="15" x14ac:dyDescent="0.25">
      <c r="A132" s="8" t="s">
        <v>135</v>
      </c>
      <c r="B132" s="8"/>
      <c r="C132" s="26"/>
      <c r="D132" s="26"/>
      <c r="E132" s="26"/>
      <c r="F132" s="1">
        <v>2</v>
      </c>
      <c r="G132" s="66">
        <v>187.09752729331314</v>
      </c>
      <c r="H132" s="8">
        <v>106</v>
      </c>
      <c r="I132" s="3" t="s">
        <v>239</v>
      </c>
      <c r="J132" s="13">
        <f t="shared" si="31"/>
        <v>0</v>
      </c>
      <c r="K132" s="78">
        <v>1201</v>
      </c>
      <c r="L132" s="36"/>
      <c r="M132" s="35"/>
      <c r="N132" s="81">
        <v>340</v>
      </c>
      <c r="O132" s="67">
        <f t="shared" si="32"/>
        <v>0.28309741881765194</v>
      </c>
      <c r="P132" s="67">
        <f t="shared" si="33"/>
        <v>0</v>
      </c>
      <c r="Q132" s="36">
        <f t="shared" si="34"/>
        <v>0</v>
      </c>
      <c r="R132" s="36">
        <f t="shared" si="51"/>
        <v>0</v>
      </c>
      <c r="S132" s="79">
        <v>59</v>
      </c>
      <c r="T132" s="37">
        <f t="shared" si="55"/>
        <v>102</v>
      </c>
      <c r="U132" s="9">
        <f t="shared" si="56"/>
        <v>1311.85</v>
      </c>
      <c r="V132" s="73">
        <v>3235236659.3299999</v>
      </c>
      <c r="W132" s="73">
        <v>10093</v>
      </c>
      <c r="X132" s="18">
        <f t="shared" si="37"/>
        <v>320542.62</v>
      </c>
      <c r="Y132" s="38">
        <f t="shared" si="38"/>
        <v>1.7382340000000001</v>
      </c>
      <c r="Z132" s="73">
        <v>75237</v>
      </c>
      <c r="AA132" s="38">
        <f t="shared" si="39"/>
        <v>0.67378099999999996</v>
      </c>
      <c r="AB132" s="38">
        <f t="shared" si="40"/>
        <v>-0.41889799999999999</v>
      </c>
      <c r="AC132" s="39">
        <f t="shared" si="57"/>
        <v>0.01</v>
      </c>
      <c r="AD132" s="39">
        <f t="shared" si="59"/>
        <v>0.01</v>
      </c>
      <c r="AE132" s="80"/>
      <c r="AF132" s="40">
        <v>0</v>
      </c>
      <c r="AG132" s="9">
        <f t="shared" si="43"/>
        <v>0</v>
      </c>
      <c r="AH132" s="11">
        <f t="shared" si="44"/>
        <v>0</v>
      </c>
      <c r="AI132" s="11">
        <f t="shared" si="45"/>
        <v>151191</v>
      </c>
      <c r="AJ132" s="11">
        <f t="shared" si="46"/>
        <v>151191</v>
      </c>
      <c r="AK132" s="36">
        <v>122907</v>
      </c>
      <c r="AL132" s="36">
        <v>124074.065</v>
      </c>
      <c r="AM132" s="36">
        <f t="shared" si="52"/>
        <v>28284</v>
      </c>
      <c r="AN132" s="68">
        <f t="shared" si="58"/>
        <v>151191</v>
      </c>
      <c r="AO132" s="68">
        <f t="shared" si="53"/>
        <v>28284</v>
      </c>
      <c r="AP132" s="69">
        <f t="shared" si="48"/>
        <v>127089.1394</v>
      </c>
      <c r="AQ132" s="36">
        <f t="shared" si="49"/>
        <v>3015.0743999999977</v>
      </c>
      <c r="AR132" s="70">
        <f t="shared" si="50"/>
        <v>2.4300601418999188E-2</v>
      </c>
      <c r="AS132" s="36"/>
      <c r="AT132" s="22"/>
      <c r="AV132" s="22"/>
      <c r="AW132" s="22"/>
      <c r="BA132" s="22"/>
      <c r="BB132" s="22"/>
      <c r="BC132" s="22"/>
      <c r="BD132" s="22"/>
      <c r="BE132" s="22"/>
    </row>
    <row r="133" spans="1:57" ht="15" x14ac:dyDescent="0.25">
      <c r="A133" s="8" t="s">
        <v>131</v>
      </c>
      <c r="B133" s="8"/>
      <c r="C133" s="26"/>
      <c r="D133" s="26"/>
      <c r="E133" s="26"/>
      <c r="F133" s="1">
        <v>3</v>
      </c>
      <c r="G133" s="66">
        <v>209.56575932676759</v>
      </c>
      <c r="H133" s="8">
        <v>107</v>
      </c>
      <c r="I133" s="3" t="s">
        <v>240</v>
      </c>
      <c r="J133" s="13">
        <f t="shared" si="31"/>
        <v>0</v>
      </c>
      <c r="K133" s="78">
        <v>2291.2199999999998</v>
      </c>
      <c r="L133" s="36"/>
      <c r="M133" s="35"/>
      <c r="N133" s="81">
        <v>256</v>
      </c>
      <c r="O133" s="67">
        <f t="shared" si="32"/>
        <v>0.11173086827105211</v>
      </c>
      <c r="P133" s="67">
        <f t="shared" si="33"/>
        <v>0</v>
      </c>
      <c r="Q133" s="36">
        <f t="shared" si="34"/>
        <v>0</v>
      </c>
      <c r="R133" s="36">
        <f t="shared" si="51"/>
        <v>0</v>
      </c>
      <c r="S133" s="79">
        <v>69</v>
      </c>
      <c r="T133" s="37">
        <f t="shared" si="55"/>
        <v>76.8</v>
      </c>
      <c r="U133" s="9">
        <f t="shared" si="56"/>
        <v>2378.37</v>
      </c>
      <c r="V133" s="73">
        <v>2904398181.6700001</v>
      </c>
      <c r="W133" s="73">
        <v>13912</v>
      </c>
      <c r="X133" s="18">
        <f t="shared" si="37"/>
        <v>208769.28</v>
      </c>
      <c r="Y133" s="38">
        <f t="shared" si="38"/>
        <v>1.1321110000000001</v>
      </c>
      <c r="Z133" s="73">
        <v>106475</v>
      </c>
      <c r="AA133" s="38">
        <f t="shared" si="39"/>
        <v>0.95353100000000002</v>
      </c>
      <c r="AB133" s="38">
        <f t="shared" si="40"/>
        <v>-7.8536999999999996E-2</v>
      </c>
      <c r="AC133" s="39">
        <f t="shared" si="57"/>
        <v>0.01</v>
      </c>
      <c r="AD133" s="39">
        <f t="shared" si="59"/>
        <v>0.01</v>
      </c>
      <c r="AE133" s="80">
        <v>1116</v>
      </c>
      <c r="AF133" s="40">
        <v>6</v>
      </c>
      <c r="AG133" s="9">
        <f t="shared" si="43"/>
        <v>46.15</v>
      </c>
      <c r="AH133" s="11">
        <f t="shared" si="44"/>
        <v>51503</v>
      </c>
      <c r="AI133" s="11">
        <f t="shared" si="45"/>
        <v>274107</v>
      </c>
      <c r="AJ133" s="11">
        <f t="shared" si="46"/>
        <v>325610</v>
      </c>
      <c r="AK133" s="36">
        <v>1509226</v>
      </c>
      <c r="AL133" s="36">
        <v>1212214</v>
      </c>
      <c r="AM133" s="36">
        <f t="shared" si="52"/>
        <v>-1183616</v>
      </c>
      <c r="AN133" s="68">
        <f t="shared" si="58"/>
        <v>325610</v>
      </c>
      <c r="AO133" s="68">
        <f t="shared" si="53"/>
        <v>-1183616</v>
      </c>
      <c r="AP133" s="69">
        <f t="shared" si="48"/>
        <v>1113618.7871999999</v>
      </c>
      <c r="AQ133" s="36">
        <f t="shared" si="49"/>
        <v>-98595.212800000096</v>
      </c>
      <c r="AR133" s="70">
        <f t="shared" si="50"/>
        <v>-8.1334824379193857E-2</v>
      </c>
      <c r="AS133" s="36"/>
      <c r="AT133" s="22"/>
      <c r="AV133" s="22"/>
      <c r="AW133" s="22"/>
      <c r="BA133" s="22"/>
      <c r="BB133" s="22"/>
      <c r="BC133" s="22"/>
      <c r="BD133" s="22"/>
      <c r="BE133" s="22"/>
    </row>
    <row r="134" spans="1:57" ht="15" x14ac:dyDescent="0.25">
      <c r="A134" s="8" t="s">
        <v>125</v>
      </c>
      <c r="B134" s="8"/>
      <c r="C134" s="26"/>
      <c r="D134" s="26"/>
      <c r="E134" s="26"/>
      <c r="F134" s="1">
        <v>3</v>
      </c>
      <c r="G134" s="66">
        <v>214.2460462924617</v>
      </c>
      <c r="H134" s="8">
        <v>108</v>
      </c>
      <c r="I134" s="3" t="s">
        <v>241</v>
      </c>
      <c r="J134" s="13">
        <f t="shared" si="31"/>
        <v>0</v>
      </c>
      <c r="K134" s="78">
        <v>1853.69</v>
      </c>
      <c r="L134" s="36"/>
      <c r="M134" s="35"/>
      <c r="N134" s="81">
        <v>256</v>
      </c>
      <c r="O134" s="67">
        <f t="shared" si="32"/>
        <v>0.13810291904255836</v>
      </c>
      <c r="P134" s="67">
        <f t="shared" si="33"/>
        <v>0</v>
      </c>
      <c r="Q134" s="36">
        <f t="shared" si="34"/>
        <v>0</v>
      </c>
      <c r="R134" s="36">
        <f t="shared" si="51"/>
        <v>0</v>
      </c>
      <c r="S134" s="79">
        <v>35</v>
      </c>
      <c r="T134" s="37">
        <f t="shared" si="55"/>
        <v>76.8</v>
      </c>
      <c r="U134" s="9">
        <f t="shared" si="56"/>
        <v>1935.74</v>
      </c>
      <c r="V134" s="73">
        <v>2135964130</v>
      </c>
      <c r="W134" s="73">
        <v>12984</v>
      </c>
      <c r="X134" s="18">
        <f t="shared" si="37"/>
        <v>164507.4</v>
      </c>
      <c r="Y134" s="38">
        <f t="shared" si="38"/>
        <v>0.89208900000000002</v>
      </c>
      <c r="Z134" s="73">
        <v>99311</v>
      </c>
      <c r="AA134" s="38">
        <f t="shared" si="39"/>
        <v>0.889374</v>
      </c>
      <c r="AB134" s="38">
        <f t="shared" si="40"/>
        <v>0.108726</v>
      </c>
      <c r="AC134" s="39">
        <f t="shared" si="57"/>
        <v>0.108726</v>
      </c>
      <c r="AD134" s="39">
        <f t="shared" si="59"/>
        <v>0.108726</v>
      </c>
      <c r="AE134" s="80"/>
      <c r="AF134" s="40">
        <v>0</v>
      </c>
      <c r="AG134" s="9">
        <f t="shared" si="43"/>
        <v>0</v>
      </c>
      <c r="AH134" s="11">
        <f t="shared" si="44"/>
        <v>0</v>
      </c>
      <c r="AI134" s="11">
        <f t="shared" si="45"/>
        <v>2425612</v>
      </c>
      <c r="AJ134" s="11">
        <f t="shared" si="46"/>
        <v>2425612</v>
      </c>
      <c r="AK134" s="36">
        <v>4528763</v>
      </c>
      <c r="AL134" s="36">
        <v>4049342.25</v>
      </c>
      <c r="AM134" s="36">
        <f t="shared" si="52"/>
        <v>-2103151</v>
      </c>
      <c r="AN134" s="68">
        <f t="shared" si="58"/>
        <v>2425612</v>
      </c>
      <c r="AO134" s="68">
        <f t="shared" si="53"/>
        <v>-2103151</v>
      </c>
      <c r="AP134" s="69">
        <f t="shared" si="48"/>
        <v>3874149.7716999999</v>
      </c>
      <c r="AQ134" s="36">
        <f t="shared" si="49"/>
        <v>-175192.47830000008</v>
      </c>
      <c r="AR134" s="70">
        <f t="shared" si="50"/>
        <v>-4.3264428513050505E-2</v>
      </c>
      <c r="AS134" s="36"/>
      <c r="AT134" s="22"/>
      <c r="AV134" s="22"/>
      <c r="AW134" s="22"/>
      <c r="BA134" s="22"/>
      <c r="BB134" s="22"/>
      <c r="BC134" s="22"/>
      <c r="BD134" s="22"/>
      <c r="BE134" s="22"/>
    </row>
    <row r="135" spans="1:57" ht="15" x14ac:dyDescent="0.25">
      <c r="A135" s="8" t="s">
        <v>140</v>
      </c>
      <c r="B135" s="8"/>
      <c r="C135" s="26"/>
      <c r="D135" s="26"/>
      <c r="E135" s="26"/>
      <c r="F135" s="1">
        <v>9</v>
      </c>
      <c r="G135" s="71">
        <v>297.07958910896031</v>
      </c>
      <c r="H135" s="8">
        <v>109</v>
      </c>
      <c r="I135" s="3" t="s">
        <v>242</v>
      </c>
      <c r="J135" s="13">
        <f t="shared" si="31"/>
        <v>0</v>
      </c>
      <c r="K135" s="78">
        <v>2164.94</v>
      </c>
      <c r="L135" s="36"/>
      <c r="M135" s="35"/>
      <c r="N135" s="81">
        <v>1210</v>
      </c>
      <c r="O135" s="67">
        <f t="shared" si="32"/>
        <v>0.55890694430330634</v>
      </c>
      <c r="P135" s="67">
        <f t="shared" si="33"/>
        <v>0</v>
      </c>
      <c r="Q135" s="36">
        <f t="shared" si="34"/>
        <v>0</v>
      </c>
      <c r="R135" s="36">
        <f t="shared" si="51"/>
        <v>0</v>
      </c>
      <c r="S135" s="79">
        <v>42</v>
      </c>
      <c r="T135" s="37">
        <f t="shared" si="55"/>
        <v>363</v>
      </c>
      <c r="U135" s="9">
        <f t="shared" si="56"/>
        <v>2534.2400000000002</v>
      </c>
      <c r="V135" s="73">
        <v>1371592366.3299999</v>
      </c>
      <c r="W135" s="73">
        <v>15067</v>
      </c>
      <c r="X135" s="18">
        <f t="shared" si="37"/>
        <v>91032.88</v>
      </c>
      <c r="Y135" s="38">
        <f t="shared" si="38"/>
        <v>0.49365199999999998</v>
      </c>
      <c r="Z135" s="73">
        <v>65254</v>
      </c>
      <c r="AA135" s="38">
        <f t="shared" si="39"/>
        <v>0.58437899999999998</v>
      </c>
      <c r="AB135" s="38">
        <f t="shared" si="40"/>
        <v>0.47913</v>
      </c>
      <c r="AC135" s="39">
        <f t="shared" si="57"/>
        <v>0.47913</v>
      </c>
      <c r="AD135" s="39">
        <f t="shared" si="59"/>
        <v>0.47913</v>
      </c>
      <c r="AE135" s="80"/>
      <c r="AF135" s="40">
        <v>0</v>
      </c>
      <c r="AG135" s="9">
        <f t="shared" si="43"/>
        <v>0</v>
      </c>
      <c r="AH135" s="11">
        <f t="shared" si="44"/>
        <v>0</v>
      </c>
      <c r="AI135" s="11">
        <f t="shared" si="45"/>
        <v>13994005</v>
      </c>
      <c r="AJ135" s="11">
        <f t="shared" si="46"/>
        <v>13994005</v>
      </c>
      <c r="AK135" s="36">
        <v>15364444</v>
      </c>
      <c r="AL135" s="36">
        <v>15163177</v>
      </c>
      <c r="AM135" s="36">
        <f t="shared" si="52"/>
        <v>-1370439</v>
      </c>
      <c r="AN135" s="68">
        <f t="shared" si="58"/>
        <v>13994005</v>
      </c>
      <c r="AO135" s="68">
        <f t="shared" si="53"/>
        <v>-1370439</v>
      </c>
      <c r="AP135" s="69">
        <f t="shared" si="48"/>
        <v>15049019.431299999</v>
      </c>
      <c r="AQ135" s="36">
        <f t="shared" si="49"/>
        <v>-114157.56870000064</v>
      </c>
      <c r="AR135" s="70">
        <f t="shared" si="50"/>
        <v>-7.5286049025214598E-3</v>
      </c>
      <c r="AS135" s="36"/>
      <c r="AT135" s="22"/>
      <c r="AV135" s="22"/>
      <c r="AW135" s="22"/>
      <c r="BA135" s="22"/>
      <c r="BB135" s="22"/>
      <c r="BC135" s="22"/>
      <c r="BD135" s="22"/>
      <c r="BE135" s="22"/>
    </row>
    <row r="136" spans="1:57" ht="15" x14ac:dyDescent="0.25">
      <c r="A136" s="8" t="s">
        <v>153</v>
      </c>
      <c r="B136" s="8"/>
      <c r="C136" s="26"/>
      <c r="D136" s="26"/>
      <c r="E136" s="26"/>
      <c r="F136" s="1">
        <v>8</v>
      </c>
      <c r="G136" s="71">
        <v>263.26100444554379</v>
      </c>
      <c r="H136" s="8">
        <v>110</v>
      </c>
      <c r="I136" s="3" t="s">
        <v>243</v>
      </c>
      <c r="J136" s="13">
        <f t="shared" si="31"/>
        <v>0</v>
      </c>
      <c r="K136" s="78">
        <v>2296.2800000000002</v>
      </c>
      <c r="L136" s="36"/>
      <c r="M136" s="35"/>
      <c r="N136" s="81">
        <v>793</v>
      </c>
      <c r="O136" s="67">
        <f t="shared" si="32"/>
        <v>0.34534116048565505</v>
      </c>
      <c r="P136" s="67">
        <f t="shared" si="33"/>
        <v>0</v>
      </c>
      <c r="Q136" s="36">
        <f t="shared" si="34"/>
        <v>0</v>
      </c>
      <c r="R136" s="36">
        <f t="shared" si="51"/>
        <v>0</v>
      </c>
      <c r="S136" s="79">
        <v>159</v>
      </c>
      <c r="T136" s="37">
        <f t="shared" si="55"/>
        <v>237.9</v>
      </c>
      <c r="U136" s="9">
        <f t="shared" si="56"/>
        <v>2558.0300000000002</v>
      </c>
      <c r="V136" s="73">
        <v>1936805534</v>
      </c>
      <c r="W136" s="73">
        <v>17677</v>
      </c>
      <c r="X136" s="18">
        <f t="shared" si="37"/>
        <v>109566.42</v>
      </c>
      <c r="Y136" s="38">
        <f t="shared" si="38"/>
        <v>0.59415499999999999</v>
      </c>
      <c r="Z136" s="73">
        <v>61907</v>
      </c>
      <c r="AA136" s="38">
        <f t="shared" si="39"/>
        <v>0.55440500000000004</v>
      </c>
      <c r="AB136" s="38">
        <f t="shared" si="40"/>
        <v>0.41776999999999997</v>
      </c>
      <c r="AC136" s="39">
        <f t="shared" si="57"/>
        <v>0.41776999999999997</v>
      </c>
      <c r="AD136" s="39">
        <f t="shared" si="59"/>
        <v>0.41776999999999997</v>
      </c>
      <c r="AE136" s="80"/>
      <c r="AF136" s="40">
        <v>0</v>
      </c>
      <c r="AG136" s="9">
        <f t="shared" si="43"/>
        <v>0</v>
      </c>
      <c r="AH136" s="11">
        <f t="shared" si="44"/>
        <v>0</v>
      </c>
      <c r="AI136" s="11">
        <f t="shared" si="45"/>
        <v>12316401</v>
      </c>
      <c r="AJ136" s="11">
        <f t="shared" si="46"/>
        <v>12316401</v>
      </c>
      <c r="AK136" s="36">
        <v>10272197</v>
      </c>
      <c r="AL136" s="36">
        <v>10359330.856000001</v>
      </c>
      <c r="AM136" s="36">
        <f t="shared" si="52"/>
        <v>2044204</v>
      </c>
      <c r="AN136" s="68">
        <f t="shared" si="58"/>
        <v>12316401</v>
      </c>
      <c r="AO136" s="68">
        <f t="shared" si="53"/>
        <v>2044204</v>
      </c>
      <c r="AP136" s="69">
        <f t="shared" si="48"/>
        <v>10577243.002400002</v>
      </c>
      <c r="AQ136" s="36">
        <f t="shared" si="49"/>
        <v>217912.1464000009</v>
      </c>
      <c r="AR136" s="70">
        <f t="shared" si="50"/>
        <v>2.1035349621427411E-2</v>
      </c>
      <c r="AS136" s="36"/>
      <c r="AT136" s="22"/>
      <c r="AV136" s="22"/>
      <c r="AW136" s="22"/>
      <c r="BA136" s="22"/>
      <c r="BB136" s="22"/>
      <c r="BC136" s="22"/>
      <c r="BD136" s="22"/>
      <c r="BE136" s="22"/>
    </row>
    <row r="137" spans="1:57" ht="15" x14ac:dyDescent="0.25">
      <c r="A137" s="8" t="s">
        <v>153</v>
      </c>
      <c r="B137" s="8"/>
      <c r="C137" s="26"/>
      <c r="D137" s="26"/>
      <c r="E137" s="26"/>
      <c r="F137" s="1">
        <v>8</v>
      </c>
      <c r="G137" s="71">
        <v>300.85895325392619</v>
      </c>
      <c r="H137" s="8">
        <v>111</v>
      </c>
      <c r="I137" s="3" t="s">
        <v>244</v>
      </c>
      <c r="J137" s="13">
        <f t="shared" si="31"/>
        <v>0</v>
      </c>
      <c r="K137" s="78">
        <v>1577.19</v>
      </c>
      <c r="L137" s="36"/>
      <c r="M137" s="35"/>
      <c r="N137" s="81">
        <v>654</v>
      </c>
      <c r="O137" s="67">
        <f t="shared" si="32"/>
        <v>0.41466151826983433</v>
      </c>
      <c r="P137" s="67">
        <f t="shared" si="33"/>
        <v>0</v>
      </c>
      <c r="Q137" s="36">
        <f t="shared" si="34"/>
        <v>0</v>
      </c>
      <c r="R137" s="36">
        <f t="shared" si="51"/>
        <v>0</v>
      </c>
      <c r="S137" s="79">
        <v>24</v>
      </c>
      <c r="T137" s="37">
        <f t="shared" si="55"/>
        <v>196.2</v>
      </c>
      <c r="U137" s="9">
        <f t="shared" si="56"/>
        <v>1776.99</v>
      </c>
      <c r="V137" s="73">
        <v>1053102265.33</v>
      </c>
      <c r="W137" s="73">
        <v>11749</v>
      </c>
      <c r="X137" s="18">
        <f t="shared" si="37"/>
        <v>89633.35</v>
      </c>
      <c r="Y137" s="38">
        <f t="shared" si="38"/>
        <v>0.48606300000000002</v>
      </c>
      <c r="Z137" s="73">
        <v>70635</v>
      </c>
      <c r="AA137" s="38">
        <f t="shared" si="39"/>
        <v>0.63256800000000002</v>
      </c>
      <c r="AB137" s="38">
        <f t="shared" si="40"/>
        <v>0.46998600000000001</v>
      </c>
      <c r="AC137" s="39">
        <f t="shared" si="57"/>
        <v>0.46998600000000001</v>
      </c>
      <c r="AD137" s="39">
        <f>IF(G137&gt;300,+AC137+$AD$19,AC137)</f>
        <v>0.49998600000000004</v>
      </c>
      <c r="AE137" s="80"/>
      <c r="AF137" s="40">
        <v>0</v>
      </c>
      <c r="AG137" s="9">
        <f t="shared" si="43"/>
        <v>0</v>
      </c>
      <c r="AH137" s="11">
        <f t="shared" si="44"/>
        <v>0</v>
      </c>
      <c r="AI137" s="11">
        <f t="shared" si="45"/>
        <v>10239618</v>
      </c>
      <c r="AJ137" s="11">
        <f t="shared" si="46"/>
        <v>10239618</v>
      </c>
      <c r="AK137" s="36">
        <v>9761632</v>
      </c>
      <c r="AL137" s="36">
        <v>9778620.7190000005</v>
      </c>
      <c r="AM137" s="36">
        <f t="shared" si="52"/>
        <v>477986</v>
      </c>
      <c r="AN137" s="68">
        <f t="shared" si="58"/>
        <v>10239618</v>
      </c>
      <c r="AO137" s="68">
        <f t="shared" si="53"/>
        <v>477986</v>
      </c>
      <c r="AP137" s="69">
        <f t="shared" si="48"/>
        <v>9829574.0266000014</v>
      </c>
      <c r="AQ137" s="36">
        <f t="shared" si="49"/>
        <v>50953.307600000873</v>
      </c>
      <c r="AR137" s="70">
        <f t="shared" si="50"/>
        <v>5.210684519238778E-3</v>
      </c>
      <c r="AS137" s="36"/>
      <c r="AT137" s="22"/>
      <c r="AV137" s="22"/>
      <c r="AW137" s="22"/>
      <c r="BA137" s="22"/>
      <c r="BB137" s="22"/>
      <c r="BC137" s="22"/>
      <c r="BD137" s="22"/>
      <c r="BE137" s="22"/>
    </row>
    <row r="138" spans="1:57" ht="15" x14ac:dyDescent="0.25">
      <c r="A138" s="8" t="s">
        <v>125</v>
      </c>
      <c r="B138" s="8"/>
      <c r="C138" s="26"/>
      <c r="D138" s="26"/>
      <c r="E138" s="26"/>
      <c r="F138" s="1">
        <v>8</v>
      </c>
      <c r="G138" s="66">
        <v>223.77517142104676</v>
      </c>
      <c r="H138" s="8">
        <v>112</v>
      </c>
      <c r="I138" s="3" t="s">
        <v>245</v>
      </c>
      <c r="J138" s="13">
        <f t="shared" si="31"/>
        <v>0</v>
      </c>
      <c r="K138" s="78">
        <v>567.67999999999995</v>
      </c>
      <c r="L138" s="36"/>
      <c r="M138" s="35"/>
      <c r="N138" s="81">
        <v>102</v>
      </c>
      <c r="O138" s="67">
        <f t="shared" si="32"/>
        <v>0.17967869222096958</v>
      </c>
      <c r="P138" s="67">
        <f t="shared" si="33"/>
        <v>0</v>
      </c>
      <c r="Q138" s="36">
        <f t="shared" si="34"/>
        <v>0</v>
      </c>
      <c r="R138" s="36">
        <f t="shared" si="51"/>
        <v>0</v>
      </c>
      <c r="S138" s="79">
        <v>2</v>
      </c>
      <c r="T138" s="37">
        <f t="shared" si="55"/>
        <v>30.6</v>
      </c>
      <c r="U138" s="9">
        <f t="shared" si="56"/>
        <v>598.57999999999993</v>
      </c>
      <c r="V138" s="73">
        <v>499354964.32999998</v>
      </c>
      <c r="W138" s="73">
        <v>4149</v>
      </c>
      <c r="X138" s="18">
        <f t="shared" si="37"/>
        <v>120355.5</v>
      </c>
      <c r="Y138" s="38">
        <f t="shared" si="38"/>
        <v>0.65266199999999996</v>
      </c>
      <c r="Z138" s="73">
        <v>88906</v>
      </c>
      <c r="AA138" s="38">
        <f t="shared" si="39"/>
        <v>0.79619300000000004</v>
      </c>
      <c r="AB138" s="38">
        <f t="shared" si="40"/>
        <v>0.30427900000000002</v>
      </c>
      <c r="AC138" s="39">
        <f t="shared" si="57"/>
        <v>0.30427900000000002</v>
      </c>
      <c r="AD138" s="39">
        <f t="shared" ref="AD138:AD158" si="60">IF(G138&gt;300,+AC138+$AD$17,AC138)</f>
        <v>0.30427900000000002</v>
      </c>
      <c r="AE138" s="80"/>
      <c r="AF138" s="40">
        <v>0</v>
      </c>
      <c r="AG138" s="9">
        <f t="shared" si="43"/>
        <v>0</v>
      </c>
      <c r="AH138" s="11">
        <f t="shared" si="44"/>
        <v>0</v>
      </c>
      <c r="AI138" s="11">
        <f t="shared" si="45"/>
        <v>2099110</v>
      </c>
      <c r="AJ138" s="11">
        <f t="shared" si="46"/>
        <v>2099110</v>
      </c>
      <c r="AK138" s="36">
        <v>3073015</v>
      </c>
      <c r="AL138" s="36">
        <v>2826684.5</v>
      </c>
      <c r="AM138" s="36">
        <f t="shared" si="52"/>
        <v>-973905</v>
      </c>
      <c r="AN138" s="68">
        <f t="shared" si="58"/>
        <v>2099110</v>
      </c>
      <c r="AO138" s="68">
        <f t="shared" si="53"/>
        <v>-973905</v>
      </c>
      <c r="AP138" s="69">
        <f t="shared" si="48"/>
        <v>2745558.2135000001</v>
      </c>
      <c r="AQ138" s="36">
        <f t="shared" si="49"/>
        <v>-81126.286499999929</v>
      </c>
      <c r="AR138" s="70">
        <f t="shared" si="50"/>
        <v>-2.8700156136986611E-2</v>
      </c>
      <c r="AS138" s="36"/>
      <c r="AT138" s="22"/>
      <c r="AV138" s="22"/>
      <c r="AW138" s="22"/>
      <c r="BA138" s="22"/>
      <c r="BB138" s="22"/>
      <c r="BC138" s="22"/>
      <c r="BD138" s="22"/>
      <c r="BE138" s="22"/>
    </row>
    <row r="139" spans="1:57" ht="15" x14ac:dyDescent="0.25">
      <c r="A139" s="8" t="s">
        <v>129</v>
      </c>
      <c r="B139" s="8"/>
      <c r="C139" s="26"/>
      <c r="D139" s="26"/>
      <c r="E139" s="26"/>
      <c r="F139" s="1">
        <v>6</v>
      </c>
      <c r="G139" s="66">
        <v>238.45026313562315</v>
      </c>
      <c r="H139" s="8">
        <v>113</v>
      </c>
      <c r="I139" s="3" t="s">
        <v>246</v>
      </c>
      <c r="J139" s="13">
        <f t="shared" si="31"/>
        <v>0</v>
      </c>
      <c r="K139" s="78">
        <v>1360.72</v>
      </c>
      <c r="L139" s="36"/>
      <c r="M139" s="35"/>
      <c r="N139" s="81">
        <v>309</v>
      </c>
      <c r="O139" s="67">
        <f t="shared" si="32"/>
        <v>0.22708566053265919</v>
      </c>
      <c r="P139" s="67">
        <f t="shared" si="33"/>
        <v>0</v>
      </c>
      <c r="Q139" s="36">
        <f t="shared" si="34"/>
        <v>0</v>
      </c>
      <c r="R139" s="36">
        <f t="shared" si="51"/>
        <v>0</v>
      </c>
      <c r="S139" s="79">
        <v>22</v>
      </c>
      <c r="T139" s="37">
        <f t="shared" si="55"/>
        <v>92.7</v>
      </c>
      <c r="U139" s="9">
        <f t="shared" si="56"/>
        <v>1456.72</v>
      </c>
      <c r="V139" s="73">
        <v>1168349342.6700001</v>
      </c>
      <c r="W139" s="73">
        <v>9349</v>
      </c>
      <c r="X139" s="18">
        <f t="shared" si="37"/>
        <v>124970.51</v>
      </c>
      <c r="Y139" s="38">
        <f t="shared" si="38"/>
        <v>0.67768799999999996</v>
      </c>
      <c r="Z139" s="73">
        <v>81589</v>
      </c>
      <c r="AA139" s="38">
        <f t="shared" si="39"/>
        <v>0.73066600000000004</v>
      </c>
      <c r="AB139" s="38">
        <f t="shared" si="40"/>
        <v>0.306419</v>
      </c>
      <c r="AC139" s="39">
        <f t="shared" si="57"/>
        <v>0.306419</v>
      </c>
      <c r="AD139" s="39">
        <f t="shared" si="60"/>
        <v>0.306419</v>
      </c>
      <c r="AE139" s="80"/>
      <c r="AF139" s="40">
        <v>0</v>
      </c>
      <c r="AG139" s="9">
        <f t="shared" si="43"/>
        <v>0</v>
      </c>
      <c r="AH139" s="11">
        <f t="shared" si="44"/>
        <v>0</v>
      </c>
      <c r="AI139" s="11">
        <f t="shared" si="45"/>
        <v>5144376</v>
      </c>
      <c r="AJ139" s="11">
        <f t="shared" si="46"/>
        <v>5144376</v>
      </c>
      <c r="AK139" s="36">
        <v>4363751</v>
      </c>
      <c r="AL139" s="36">
        <v>4373412.2810000004</v>
      </c>
      <c r="AM139" s="36">
        <f t="shared" si="52"/>
        <v>780625</v>
      </c>
      <c r="AN139" s="68">
        <f t="shared" si="58"/>
        <v>5144376</v>
      </c>
      <c r="AO139" s="68">
        <f t="shared" si="53"/>
        <v>780625</v>
      </c>
      <c r="AP139" s="69">
        <f t="shared" si="48"/>
        <v>4456626.9060000004</v>
      </c>
      <c r="AQ139" s="36">
        <f t="shared" si="49"/>
        <v>83214.625</v>
      </c>
      <c r="AR139" s="70">
        <f t="shared" si="50"/>
        <v>1.9027390891437429E-2</v>
      </c>
      <c r="AS139" s="36"/>
      <c r="AT139" s="22"/>
      <c r="AV139" s="22"/>
      <c r="AW139" s="22"/>
      <c r="BA139" s="22"/>
      <c r="BB139" s="22"/>
      <c r="BC139" s="22"/>
      <c r="BD139" s="22"/>
      <c r="BE139" s="22"/>
    </row>
    <row r="140" spans="1:57" ht="15" x14ac:dyDescent="0.25">
      <c r="A140" s="8" t="s">
        <v>129</v>
      </c>
      <c r="B140" s="8"/>
      <c r="C140" s="26"/>
      <c r="D140" s="26"/>
      <c r="E140" s="26"/>
      <c r="F140" s="1">
        <v>7</v>
      </c>
      <c r="G140" s="66">
        <v>240.78008560722361</v>
      </c>
      <c r="H140" s="8">
        <v>114</v>
      </c>
      <c r="I140" s="3" t="s">
        <v>247</v>
      </c>
      <c r="J140" s="13">
        <f t="shared" si="31"/>
        <v>0</v>
      </c>
      <c r="K140" s="78">
        <v>648.16</v>
      </c>
      <c r="L140" s="36"/>
      <c r="M140" s="35"/>
      <c r="N140" s="81">
        <v>196</v>
      </c>
      <c r="O140" s="67">
        <f t="shared" si="32"/>
        <v>0.30239447050111085</v>
      </c>
      <c r="P140" s="67">
        <f t="shared" si="33"/>
        <v>0</v>
      </c>
      <c r="Q140" s="36">
        <f t="shared" si="34"/>
        <v>0</v>
      </c>
      <c r="R140" s="36">
        <f t="shared" si="51"/>
        <v>0</v>
      </c>
      <c r="S140" s="79">
        <v>10</v>
      </c>
      <c r="T140" s="37">
        <f t="shared" si="55"/>
        <v>58.8</v>
      </c>
      <c r="U140" s="9">
        <f t="shared" si="56"/>
        <v>708.45999999999992</v>
      </c>
      <c r="V140" s="73">
        <v>584693152</v>
      </c>
      <c r="W140" s="73">
        <v>4685</v>
      </c>
      <c r="X140" s="18">
        <f t="shared" si="37"/>
        <v>124801.1</v>
      </c>
      <c r="Y140" s="38">
        <f t="shared" si="38"/>
        <v>0.67676999999999998</v>
      </c>
      <c r="Z140" s="73">
        <v>69439</v>
      </c>
      <c r="AA140" s="38">
        <f t="shared" si="39"/>
        <v>0.62185699999999999</v>
      </c>
      <c r="AB140" s="38">
        <f t="shared" si="40"/>
        <v>0.33970400000000001</v>
      </c>
      <c r="AC140" s="39">
        <f t="shared" si="57"/>
        <v>0.33970400000000001</v>
      </c>
      <c r="AD140" s="39">
        <f t="shared" si="60"/>
        <v>0.33970400000000001</v>
      </c>
      <c r="AE140" s="80"/>
      <c r="AF140" s="40">
        <v>0</v>
      </c>
      <c r="AG140" s="9">
        <f t="shared" si="43"/>
        <v>0</v>
      </c>
      <c r="AH140" s="11">
        <f t="shared" si="44"/>
        <v>0</v>
      </c>
      <c r="AI140" s="11">
        <f t="shared" si="45"/>
        <v>2773684</v>
      </c>
      <c r="AJ140" s="11">
        <f t="shared" si="46"/>
        <v>2773684</v>
      </c>
      <c r="AK140" s="36">
        <v>3012017</v>
      </c>
      <c r="AL140" s="36">
        <v>3008874</v>
      </c>
      <c r="AM140" s="36">
        <f t="shared" si="52"/>
        <v>-238333</v>
      </c>
      <c r="AN140" s="68">
        <f t="shared" si="58"/>
        <v>2773684</v>
      </c>
      <c r="AO140" s="68">
        <f t="shared" si="53"/>
        <v>-238333</v>
      </c>
      <c r="AP140" s="69">
        <f t="shared" si="48"/>
        <v>2989020.8610999999</v>
      </c>
      <c r="AQ140" s="36">
        <f t="shared" si="49"/>
        <v>-19853.138900000136</v>
      </c>
      <c r="AR140" s="70">
        <f t="shared" si="50"/>
        <v>-6.5981955043648011E-3</v>
      </c>
      <c r="AS140" s="36"/>
      <c r="AT140" s="22"/>
      <c r="AV140" s="22"/>
      <c r="AW140" s="22"/>
      <c r="BA140" s="22"/>
      <c r="BB140" s="22"/>
      <c r="BC140" s="22"/>
      <c r="BD140" s="22"/>
      <c r="BE140" s="22"/>
    </row>
    <row r="141" spans="1:57" ht="15" x14ac:dyDescent="0.25">
      <c r="A141" s="8" t="s">
        <v>129</v>
      </c>
      <c r="B141" s="8"/>
      <c r="C141" s="26"/>
      <c r="D141" s="26"/>
      <c r="E141" s="26"/>
      <c r="F141" s="1">
        <v>6</v>
      </c>
      <c r="G141" s="66">
        <v>231.02815271819742</v>
      </c>
      <c r="H141" s="8">
        <v>115</v>
      </c>
      <c r="I141" s="3" t="s">
        <v>248</v>
      </c>
      <c r="J141" s="13">
        <f t="shared" si="31"/>
        <v>0</v>
      </c>
      <c r="K141" s="78">
        <v>1344.61</v>
      </c>
      <c r="L141" s="36"/>
      <c r="M141" s="35"/>
      <c r="N141" s="81">
        <v>252</v>
      </c>
      <c r="O141" s="67">
        <f t="shared" si="32"/>
        <v>0.18741493816050753</v>
      </c>
      <c r="P141" s="67">
        <f t="shared" si="33"/>
        <v>0</v>
      </c>
      <c r="Q141" s="36">
        <f t="shared" si="34"/>
        <v>0</v>
      </c>
      <c r="R141" s="36">
        <f t="shared" si="51"/>
        <v>0</v>
      </c>
      <c r="S141" s="79">
        <v>20</v>
      </c>
      <c r="T141" s="37">
        <f t="shared" si="55"/>
        <v>75.599999999999994</v>
      </c>
      <c r="U141" s="9">
        <f t="shared" si="56"/>
        <v>1423.2099999999998</v>
      </c>
      <c r="V141" s="73">
        <v>1216207125</v>
      </c>
      <c r="W141" s="73">
        <v>9755</v>
      </c>
      <c r="X141" s="18">
        <f t="shared" si="37"/>
        <v>124675.26</v>
      </c>
      <c r="Y141" s="38">
        <f t="shared" si="38"/>
        <v>0.67608699999999999</v>
      </c>
      <c r="Z141" s="73">
        <v>103659</v>
      </c>
      <c r="AA141" s="38">
        <f t="shared" si="39"/>
        <v>0.92831300000000005</v>
      </c>
      <c r="AB141" s="38">
        <f t="shared" si="40"/>
        <v>0.24824499999999999</v>
      </c>
      <c r="AC141" s="39">
        <f t="shared" si="57"/>
        <v>0.24824499999999999</v>
      </c>
      <c r="AD141" s="39">
        <f t="shared" si="60"/>
        <v>0.24824499999999999</v>
      </c>
      <c r="AE141" s="80">
        <v>1345</v>
      </c>
      <c r="AF141" s="40">
        <v>13</v>
      </c>
      <c r="AG141" s="9">
        <f t="shared" si="43"/>
        <v>100</v>
      </c>
      <c r="AH141" s="11">
        <f t="shared" si="44"/>
        <v>134500</v>
      </c>
      <c r="AI141" s="11">
        <f t="shared" si="45"/>
        <v>4071837</v>
      </c>
      <c r="AJ141" s="11">
        <f t="shared" si="46"/>
        <v>4206337</v>
      </c>
      <c r="AK141" s="36">
        <v>5297609</v>
      </c>
      <c r="AL141" s="36">
        <v>5024784.25</v>
      </c>
      <c r="AM141" s="36">
        <f t="shared" si="52"/>
        <v>-1091272</v>
      </c>
      <c r="AN141" s="68">
        <f t="shared" si="58"/>
        <v>4206337</v>
      </c>
      <c r="AO141" s="68">
        <f t="shared" si="53"/>
        <v>-1091272</v>
      </c>
      <c r="AP141" s="69">
        <f t="shared" si="48"/>
        <v>4933881.2923999997</v>
      </c>
      <c r="AQ141" s="36">
        <f t="shared" si="49"/>
        <v>-90902.957600000314</v>
      </c>
      <c r="AR141" s="70">
        <f t="shared" si="50"/>
        <v>-1.8090917555315996E-2</v>
      </c>
      <c r="AS141" s="36"/>
      <c r="AT141" s="22"/>
      <c r="AV141" s="22"/>
      <c r="AW141" s="22"/>
      <c r="BA141" s="22"/>
      <c r="BB141" s="22"/>
      <c r="BC141" s="22"/>
      <c r="BD141" s="22"/>
      <c r="BE141" s="22"/>
    </row>
    <row r="142" spans="1:57" ht="15" x14ac:dyDescent="0.25">
      <c r="A142" s="8" t="s">
        <v>140</v>
      </c>
      <c r="B142" s="41"/>
      <c r="C142" s="26">
        <v>1</v>
      </c>
      <c r="D142" s="26">
        <v>1</v>
      </c>
      <c r="E142" s="26"/>
      <c r="F142" s="1">
        <v>10</v>
      </c>
      <c r="G142" s="71">
        <v>275.20354355693041</v>
      </c>
      <c r="H142" s="8">
        <v>116</v>
      </c>
      <c r="I142" s="3" t="s">
        <v>249</v>
      </c>
      <c r="J142" s="13">
        <f t="shared" si="31"/>
        <v>0</v>
      </c>
      <c r="K142" s="78">
        <v>1170.81</v>
      </c>
      <c r="L142" s="36"/>
      <c r="M142" s="35"/>
      <c r="N142" s="81">
        <v>735</v>
      </c>
      <c r="O142" s="67">
        <f t="shared" si="32"/>
        <v>0.62777051784661908</v>
      </c>
      <c r="P142" s="67">
        <f t="shared" si="33"/>
        <v>0</v>
      </c>
      <c r="Q142" s="36">
        <f t="shared" si="34"/>
        <v>0</v>
      </c>
      <c r="R142" s="36">
        <f t="shared" si="51"/>
        <v>0</v>
      </c>
      <c r="S142" s="79">
        <v>44</v>
      </c>
      <c r="T142" s="37">
        <f t="shared" si="55"/>
        <v>220.5</v>
      </c>
      <c r="U142" s="9">
        <f t="shared" si="56"/>
        <v>1397.9099999999999</v>
      </c>
      <c r="V142" s="73">
        <v>916992548.33000004</v>
      </c>
      <c r="W142" s="73">
        <v>9333</v>
      </c>
      <c r="X142" s="18">
        <f t="shared" si="37"/>
        <v>98252.71</v>
      </c>
      <c r="Y142" s="38">
        <f t="shared" si="38"/>
        <v>0.53280400000000006</v>
      </c>
      <c r="Z142" s="73">
        <v>52224</v>
      </c>
      <c r="AA142" s="38">
        <f t="shared" si="39"/>
        <v>0.46768900000000002</v>
      </c>
      <c r="AB142" s="38">
        <f t="shared" si="40"/>
        <v>0.48673100000000002</v>
      </c>
      <c r="AC142" s="39">
        <f t="shared" si="57"/>
        <v>0.48673100000000002</v>
      </c>
      <c r="AD142" s="39">
        <f t="shared" si="60"/>
        <v>0.48673100000000002</v>
      </c>
      <c r="AE142" s="80"/>
      <c r="AF142" s="40">
        <v>0</v>
      </c>
      <c r="AG142" s="9">
        <f t="shared" si="43"/>
        <v>0</v>
      </c>
      <c r="AH142" s="11">
        <f t="shared" si="44"/>
        <v>0</v>
      </c>
      <c r="AI142" s="11">
        <f t="shared" si="45"/>
        <v>7841681</v>
      </c>
      <c r="AJ142" s="11">
        <f t="shared" si="46"/>
        <v>7841681</v>
      </c>
      <c r="AK142" s="36">
        <v>8340282</v>
      </c>
      <c r="AL142" s="36">
        <v>8340282</v>
      </c>
      <c r="AM142" s="36">
        <f t="shared" si="52"/>
        <v>-498601</v>
      </c>
      <c r="AN142" s="68">
        <f t="shared" si="58"/>
        <v>8340282</v>
      </c>
      <c r="AO142" s="68">
        <f t="shared" si="53"/>
        <v>0</v>
      </c>
      <c r="AP142" s="69">
        <f t="shared" si="48"/>
        <v>8340282</v>
      </c>
      <c r="AQ142" s="36">
        <f t="shared" si="49"/>
        <v>0</v>
      </c>
      <c r="AR142" s="70">
        <f t="shared" si="50"/>
        <v>0</v>
      </c>
      <c r="AS142" s="36"/>
      <c r="AT142" s="22"/>
      <c r="AV142" s="22"/>
      <c r="AW142" s="22"/>
      <c r="BA142" s="22"/>
      <c r="BB142" s="22"/>
      <c r="BC142" s="22"/>
      <c r="BD142" s="22"/>
      <c r="BE142" s="22"/>
    </row>
    <row r="143" spans="1:57" ht="15" x14ac:dyDescent="0.25">
      <c r="A143" s="8" t="s">
        <v>167</v>
      </c>
      <c r="B143" s="8"/>
      <c r="C143" s="26"/>
      <c r="D143" s="26"/>
      <c r="E143" s="26"/>
      <c r="F143" s="1">
        <v>1</v>
      </c>
      <c r="G143" s="66">
        <v>176.5803100797288</v>
      </c>
      <c r="H143" s="8">
        <v>117</v>
      </c>
      <c r="I143" s="3" t="s">
        <v>250</v>
      </c>
      <c r="J143" s="13">
        <f t="shared" si="31"/>
        <v>0</v>
      </c>
      <c r="K143" s="78">
        <v>1345.93</v>
      </c>
      <c r="L143" s="36"/>
      <c r="M143" s="35"/>
      <c r="N143" s="81">
        <v>99</v>
      </c>
      <c r="O143" s="67">
        <f t="shared" si="32"/>
        <v>7.3555088303254995E-2</v>
      </c>
      <c r="P143" s="67">
        <f t="shared" si="33"/>
        <v>0</v>
      </c>
      <c r="Q143" s="36">
        <f t="shared" si="34"/>
        <v>0</v>
      </c>
      <c r="R143" s="36">
        <f t="shared" si="51"/>
        <v>0</v>
      </c>
      <c r="S143" s="79">
        <v>10</v>
      </c>
      <c r="T143" s="37">
        <f t="shared" si="55"/>
        <v>29.7</v>
      </c>
      <c r="U143" s="9">
        <f t="shared" si="56"/>
        <v>1377.13</v>
      </c>
      <c r="V143" s="73">
        <v>2364810279.6700001</v>
      </c>
      <c r="W143" s="73">
        <v>9216</v>
      </c>
      <c r="X143" s="18">
        <f t="shared" si="37"/>
        <v>256598.34</v>
      </c>
      <c r="Y143" s="38">
        <f t="shared" si="38"/>
        <v>1.391478</v>
      </c>
      <c r="Z143" s="73">
        <v>129643</v>
      </c>
      <c r="AA143" s="38">
        <f t="shared" si="39"/>
        <v>1.161011</v>
      </c>
      <c r="AB143" s="38">
        <f t="shared" si="40"/>
        <v>-0.32233800000000001</v>
      </c>
      <c r="AC143" s="39">
        <f t="shared" si="57"/>
        <v>0.01</v>
      </c>
      <c r="AD143" s="39">
        <f t="shared" si="60"/>
        <v>0.01</v>
      </c>
      <c r="AE143" s="80">
        <v>513</v>
      </c>
      <c r="AF143" s="40">
        <v>4</v>
      </c>
      <c r="AG143" s="9">
        <f t="shared" si="43"/>
        <v>30.77</v>
      </c>
      <c r="AH143" s="11">
        <f t="shared" si="44"/>
        <v>15785</v>
      </c>
      <c r="AI143" s="11">
        <f t="shared" si="45"/>
        <v>158714</v>
      </c>
      <c r="AJ143" s="11">
        <f t="shared" si="46"/>
        <v>174499</v>
      </c>
      <c r="AK143" s="36">
        <v>180135</v>
      </c>
      <c r="AL143" s="36">
        <v>179601.75</v>
      </c>
      <c r="AM143" s="36">
        <f t="shared" si="52"/>
        <v>-5636</v>
      </c>
      <c r="AN143" s="68">
        <f t="shared" si="58"/>
        <v>174499</v>
      </c>
      <c r="AO143" s="68">
        <f t="shared" si="53"/>
        <v>-5636</v>
      </c>
      <c r="AP143" s="69">
        <f t="shared" si="48"/>
        <v>179132.27119999999</v>
      </c>
      <c r="AQ143" s="36">
        <f t="shared" si="49"/>
        <v>-469.47880000001169</v>
      </c>
      <c r="AR143" s="70">
        <f t="shared" si="50"/>
        <v>-2.6139990284059686E-3</v>
      </c>
      <c r="AS143" s="36"/>
      <c r="AT143" s="22"/>
      <c r="AV143" s="22"/>
      <c r="AW143" s="22"/>
      <c r="BA143" s="22"/>
      <c r="BB143" s="22"/>
      <c r="BC143" s="22"/>
      <c r="BD143" s="22"/>
      <c r="BE143" s="22"/>
    </row>
    <row r="144" spans="1:57" ht="15" x14ac:dyDescent="0.25">
      <c r="A144" s="8" t="s">
        <v>167</v>
      </c>
      <c r="B144" s="8"/>
      <c r="C144" s="26"/>
      <c r="D144" s="26"/>
      <c r="E144" s="26"/>
      <c r="F144" s="1">
        <v>1</v>
      </c>
      <c r="G144" s="66">
        <v>136.35786730849145</v>
      </c>
      <c r="H144" s="8">
        <v>118</v>
      </c>
      <c r="I144" s="3" t="s">
        <v>251</v>
      </c>
      <c r="J144" s="13">
        <f t="shared" si="31"/>
        <v>0</v>
      </c>
      <c r="K144" s="78">
        <v>4827.3599999999997</v>
      </c>
      <c r="L144" s="36"/>
      <c r="M144" s="35"/>
      <c r="N144" s="81">
        <v>229</v>
      </c>
      <c r="O144" s="67">
        <f t="shared" si="32"/>
        <v>4.7437937091909452E-2</v>
      </c>
      <c r="P144" s="67">
        <f t="shared" si="33"/>
        <v>0</v>
      </c>
      <c r="Q144" s="36">
        <f t="shared" si="34"/>
        <v>0</v>
      </c>
      <c r="R144" s="36">
        <f t="shared" si="51"/>
        <v>0</v>
      </c>
      <c r="S144" s="79">
        <v>66</v>
      </c>
      <c r="T144" s="37">
        <f t="shared" si="55"/>
        <v>68.7</v>
      </c>
      <c r="U144" s="9">
        <f t="shared" si="56"/>
        <v>4905.9599999999991</v>
      </c>
      <c r="V144" s="73">
        <v>7203061373.3299999</v>
      </c>
      <c r="W144" s="73">
        <v>25063</v>
      </c>
      <c r="X144" s="18">
        <f t="shared" si="37"/>
        <v>287398.21000000002</v>
      </c>
      <c r="Y144" s="38">
        <f t="shared" si="38"/>
        <v>1.5584990000000001</v>
      </c>
      <c r="Z144" s="73">
        <v>145014</v>
      </c>
      <c r="AA144" s="38">
        <f t="shared" si="39"/>
        <v>1.298665</v>
      </c>
      <c r="AB144" s="38">
        <f t="shared" si="40"/>
        <v>-0.480549</v>
      </c>
      <c r="AC144" s="39">
        <f t="shared" si="57"/>
        <v>0.01</v>
      </c>
      <c r="AD144" s="39">
        <f t="shared" si="60"/>
        <v>0.01</v>
      </c>
      <c r="AE144" s="80"/>
      <c r="AF144" s="40">
        <v>0</v>
      </c>
      <c r="AG144" s="9">
        <f t="shared" si="43"/>
        <v>0</v>
      </c>
      <c r="AH144" s="11">
        <f t="shared" si="44"/>
        <v>0</v>
      </c>
      <c r="AI144" s="11">
        <f t="shared" si="45"/>
        <v>565412</v>
      </c>
      <c r="AJ144" s="11">
        <f t="shared" si="46"/>
        <v>565412</v>
      </c>
      <c r="AK144" s="36">
        <v>571648</v>
      </c>
      <c r="AL144" s="36">
        <v>570905</v>
      </c>
      <c r="AM144" s="36">
        <f t="shared" si="52"/>
        <v>-6236</v>
      </c>
      <c r="AN144" s="68">
        <f t="shared" si="58"/>
        <v>565412</v>
      </c>
      <c r="AO144" s="68">
        <f t="shared" si="53"/>
        <v>-6236</v>
      </c>
      <c r="AP144" s="69">
        <f t="shared" si="48"/>
        <v>570385.54119999998</v>
      </c>
      <c r="AQ144" s="36">
        <f t="shared" si="49"/>
        <v>-519.45880000002217</v>
      </c>
      <c r="AR144" s="70">
        <f t="shared" si="50"/>
        <v>-9.0988658358224605E-4</v>
      </c>
      <c r="AS144" s="36"/>
      <c r="AT144" s="22"/>
      <c r="AV144" s="22"/>
      <c r="AW144" s="22"/>
      <c r="BA144" s="22"/>
      <c r="BB144" s="22"/>
      <c r="BC144" s="22"/>
      <c r="BD144" s="22"/>
      <c r="BE144" s="22"/>
    </row>
    <row r="145" spans="1:57" ht="15" x14ac:dyDescent="0.25">
      <c r="A145" s="8" t="s">
        <v>135</v>
      </c>
      <c r="B145" s="8"/>
      <c r="C145" s="26"/>
      <c r="D145" s="26"/>
      <c r="E145" s="26"/>
      <c r="F145" s="1">
        <v>6</v>
      </c>
      <c r="G145" s="66">
        <v>221.44986690755781</v>
      </c>
      <c r="H145" s="8">
        <v>119</v>
      </c>
      <c r="I145" s="3" t="s">
        <v>252</v>
      </c>
      <c r="J145" s="13">
        <f t="shared" si="31"/>
        <v>0</v>
      </c>
      <c r="K145" s="78">
        <v>2876.87</v>
      </c>
      <c r="L145" s="36"/>
      <c r="M145" s="35"/>
      <c r="N145" s="81">
        <v>599</v>
      </c>
      <c r="O145" s="67">
        <f t="shared" si="32"/>
        <v>0.20821239750145124</v>
      </c>
      <c r="P145" s="67">
        <f t="shared" si="33"/>
        <v>0</v>
      </c>
      <c r="Q145" s="36">
        <f t="shared" si="34"/>
        <v>0</v>
      </c>
      <c r="R145" s="36">
        <f t="shared" si="51"/>
        <v>0</v>
      </c>
      <c r="S145" s="79">
        <v>250</v>
      </c>
      <c r="T145" s="37">
        <f t="shared" si="55"/>
        <v>179.7</v>
      </c>
      <c r="U145" s="9">
        <f t="shared" si="56"/>
        <v>3094.0699999999997</v>
      </c>
      <c r="V145" s="73">
        <v>3095388776.3299999</v>
      </c>
      <c r="W145" s="73">
        <v>20119</v>
      </c>
      <c r="X145" s="18">
        <f t="shared" si="37"/>
        <v>153854.01</v>
      </c>
      <c r="Y145" s="38">
        <f t="shared" si="38"/>
        <v>0.834318</v>
      </c>
      <c r="Z145" s="73">
        <v>81988</v>
      </c>
      <c r="AA145" s="38">
        <f t="shared" si="39"/>
        <v>0.73423899999999998</v>
      </c>
      <c r="AB145" s="38">
        <f t="shared" si="40"/>
        <v>0.19570599999999999</v>
      </c>
      <c r="AC145" s="39">
        <f t="shared" si="57"/>
        <v>0.19570599999999999</v>
      </c>
      <c r="AD145" s="39">
        <f t="shared" si="60"/>
        <v>0.19570599999999999</v>
      </c>
      <c r="AE145" s="80"/>
      <c r="AF145" s="40">
        <v>0</v>
      </c>
      <c r="AG145" s="9">
        <f t="shared" si="43"/>
        <v>0</v>
      </c>
      <c r="AH145" s="11">
        <f t="shared" si="44"/>
        <v>0</v>
      </c>
      <c r="AI145" s="11">
        <f t="shared" si="45"/>
        <v>6978711</v>
      </c>
      <c r="AJ145" s="11">
        <f t="shared" si="46"/>
        <v>6978711</v>
      </c>
      <c r="AK145" s="36">
        <v>4250230</v>
      </c>
      <c r="AL145" s="36">
        <v>4347629.0669999998</v>
      </c>
      <c r="AM145" s="36">
        <f t="shared" si="52"/>
        <v>2728481</v>
      </c>
      <c r="AN145" s="68">
        <f t="shared" si="58"/>
        <v>6978711</v>
      </c>
      <c r="AO145" s="68">
        <f t="shared" si="53"/>
        <v>2728481</v>
      </c>
      <c r="AP145" s="69">
        <f t="shared" si="48"/>
        <v>4638485.1415999997</v>
      </c>
      <c r="AQ145" s="36">
        <f t="shared" si="49"/>
        <v>290856.07459999993</v>
      </c>
      <c r="AR145" s="70">
        <f t="shared" si="50"/>
        <v>6.6899928700840092E-2</v>
      </c>
      <c r="AS145" s="36"/>
      <c r="AT145" s="22"/>
      <c r="AV145" s="22"/>
      <c r="AW145" s="22"/>
      <c r="BA145" s="22"/>
      <c r="BB145" s="22"/>
      <c r="BC145" s="22"/>
      <c r="BD145" s="22"/>
      <c r="BE145" s="22"/>
    </row>
    <row r="146" spans="1:57" ht="15" x14ac:dyDescent="0.25">
      <c r="A146" s="8" t="s">
        <v>125</v>
      </c>
      <c r="B146" s="8"/>
      <c r="C146" s="26"/>
      <c r="D146" s="26"/>
      <c r="E146" s="26"/>
      <c r="F146" s="1">
        <v>1</v>
      </c>
      <c r="G146" s="66">
        <v>110.72820744082085</v>
      </c>
      <c r="H146" s="8">
        <v>120</v>
      </c>
      <c r="I146" s="3" t="s">
        <v>253</v>
      </c>
      <c r="J146" s="13">
        <f t="shared" si="31"/>
        <v>0</v>
      </c>
      <c r="K146" s="78">
        <v>204.11</v>
      </c>
      <c r="L146" s="36"/>
      <c r="M146" s="35"/>
      <c r="N146" s="81">
        <v>25</v>
      </c>
      <c r="O146" s="67">
        <f t="shared" si="32"/>
        <v>0.12248297486649355</v>
      </c>
      <c r="P146" s="67">
        <f t="shared" si="33"/>
        <v>0</v>
      </c>
      <c r="Q146" s="36">
        <f t="shared" si="34"/>
        <v>0</v>
      </c>
      <c r="R146" s="36">
        <f t="shared" si="51"/>
        <v>0</v>
      </c>
      <c r="S146" s="79">
        <v>2</v>
      </c>
      <c r="T146" s="37">
        <f t="shared" si="55"/>
        <v>7.5</v>
      </c>
      <c r="U146" s="9">
        <f t="shared" si="56"/>
        <v>211.91000000000003</v>
      </c>
      <c r="V146" s="73">
        <v>964512774</v>
      </c>
      <c r="W146" s="73">
        <v>2176</v>
      </c>
      <c r="X146" s="18">
        <f t="shared" si="37"/>
        <v>443250.36</v>
      </c>
      <c r="Y146" s="38">
        <f t="shared" si="38"/>
        <v>2.4036520000000001</v>
      </c>
      <c r="Z146" s="73">
        <v>110625</v>
      </c>
      <c r="AA146" s="38">
        <f t="shared" si="39"/>
        <v>0.99069600000000002</v>
      </c>
      <c r="AB146" s="38">
        <f t="shared" si="40"/>
        <v>-0.979765</v>
      </c>
      <c r="AC146" s="39">
        <f t="shared" si="57"/>
        <v>0.01</v>
      </c>
      <c r="AD146" s="39">
        <f t="shared" si="60"/>
        <v>0.01</v>
      </c>
      <c r="AE146" s="80">
        <v>203</v>
      </c>
      <c r="AF146" s="40">
        <v>13</v>
      </c>
      <c r="AG146" s="9">
        <f t="shared" si="43"/>
        <v>100</v>
      </c>
      <c r="AH146" s="11">
        <f t="shared" si="44"/>
        <v>20300</v>
      </c>
      <c r="AI146" s="11">
        <f t="shared" si="45"/>
        <v>24423</v>
      </c>
      <c r="AJ146" s="11">
        <f t="shared" si="46"/>
        <v>44723</v>
      </c>
      <c r="AK146" s="36">
        <v>33612</v>
      </c>
      <c r="AL146" s="36">
        <v>34177.226000000002</v>
      </c>
      <c r="AM146" s="36">
        <f t="shared" si="52"/>
        <v>11111</v>
      </c>
      <c r="AN146" s="68">
        <f t="shared" si="58"/>
        <v>44723</v>
      </c>
      <c r="AO146" s="68">
        <f t="shared" si="53"/>
        <v>11111</v>
      </c>
      <c r="AP146" s="69">
        <f t="shared" si="48"/>
        <v>35361.658600000002</v>
      </c>
      <c r="AQ146" s="36">
        <f t="shared" si="49"/>
        <v>1184.4326000000001</v>
      </c>
      <c r="AR146" s="70">
        <f t="shared" si="50"/>
        <v>3.4655609557077569E-2</v>
      </c>
      <c r="AS146" s="36"/>
      <c r="AT146" s="22"/>
      <c r="AV146" s="22"/>
      <c r="AW146" s="22"/>
      <c r="BA146" s="22"/>
      <c r="BB146" s="22"/>
      <c r="BC146" s="22"/>
      <c r="BD146" s="22"/>
      <c r="BE146" s="22"/>
    </row>
    <row r="147" spans="1:57" ht="15" x14ac:dyDescent="0.25">
      <c r="A147" s="8" t="s">
        <v>125</v>
      </c>
      <c r="B147" s="8"/>
      <c r="C147" s="26"/>
      <c r="D147" s="26"/>
      <c r="E147" s="26"/>
      <c r="F147" s="1">
        <v>5</v>
      </c>
      <c r="G147" s="66">
        <v>241.67807459054256</v>
      </c>
      <c r="H147" s="8">
        <v>121</v>
      </c>
      <c r="I147" s="3" t="s">
        <v>254</v>
      </c>
      <c r="J147" s="13">
        <f t="shared" si="31"/>
        <v>0</v>
      </c>
      <c r="K147" s="78">
        <v>605.34</v>
      </c>
      <c r="L147" s="36"/>
      <c r="M147" s="35"/>
      <c r="N147" s="81">
        <v>103</v>
      </c>
      <c r="O147" s="67">
        <f t="shared" si="32"/>
        <v>0.17015231109789539</v>
      </c>
      <c r="P147" s="67">
        <f t="shared" si="33"/>
        <v>0</v>
      </c>
      <c r="Q147" s="36">
        <f t="shared" si="34"/>
        <v>0</v>
      </c>
      <c r="R147" s="36">
        <f t="shared" si="51"/>
        <v>0</v>
      </c>
      <c r="S147" s="79">
        <v>2</v>
      </c>
      <c r="T147" s="37">
        <f t="shared" si="55"/>
        <v>30.9</v>
      </c>
      <c r="U147" s="9">
        <f t="shared" si="56"/>
        <v>636.54</v>
      </c>
      <c r="V147" s="73">
        <v>516843285.32999998</v>
      </c>
      <c r="W147" s="73">
        <v>4167</v>
      </c>
      <c r="X147" s="18">
        <f t="shared" si="37"/>
        <v>124032.47</v>
      </c>
      <c r="Y147" s="38">
        <f t="shared" si="38"/>
        <v>0.67260200000000003</v>
      </c>
      <c r="Z147" s="73">
        <v>104732</v>
      </c>
      <c r="AA147" s="38">
        <f t="shared" si="39"/>
        <v>0.93792200000000003</v>
      </c>
      <c r="AB147" s="38">
        <f t="shared" si="40"/>
        <v>0.24780199999999999</v>
      </c>
      <c r="AC147" s="39">
        <f t="shared" si="57"/>
        <v>0.24780199999999999</v>
      </c>
      <c r="AD147" s="39">
        <f t="shared" si="60"/>
        <v>0.24780199999999999</v>
      </c>
      <c r="AE147" s="80"/>
      <c r="AF147" s="40">
        <v>0</v>
      </c>
      <c r="AG147" s="9">
        <f t="shared" si="43"/>
        <v>0</v>
      </c>
      <c r="AH147" s="11">
        <f t="shared" si="44"/>
        <v>0</v>
      </c>
      <c r="AI147" s="11">
        <f t="shared" si="45"/>
        <v>1817906</v>
      </c>
      <c r="AJ147" s="11">
        <f t="shared" si="46"/>
        <v>1817906</v>
      </c>
      <c r="AK147" s="36">
        <v>3049314</v>
      </c>
      <c r="AL147" s="36">
        <v>2728827</v>
      </c>
      <c r="AM147" s="36">
        <f t="shared" si="52"/>
        <v>-1231408</v>
      </c>
      <c r="AN147" s="68">
        <f t="shared" si="58"/>
        <v>1817906</v>
      </c>
      <c r="AO147" s="68">
        <f t="shared" si="53"/>
        <v>-1231408</v>
      </c>
      <c r="AP147" s="69">
        <f t="shared" si="48"/>
        <v>2626250.7135999999</v>
      </c>
      <c r="AQ147" s="36">
        <f t="shared" si="49"/>
        <v>-102576.2864000001</v>
      </c>
      <c r="AR147" s="70">
        <f t="shared" si="50"/>
        <v>-3.7589882539274234E-2</v>
      </c>
      <c r="AS147" s="36"/>
      <c r="AT147" s="22"/>
      <c r="AV147" s="22"/>
      <c r="AW147" s="22"/>
      <c r="BA147" s="22"/>
      <c r="BB147" s="22"/>
      <c r="BC147" s="22"/>
      <c r="BD147" s="22"/>
      <c r="BE147" s="22"/>
    </row>
    <row r="148" spans="1:57" ht="15" x14ac:dyDescent="0.25">
      <c r="A148" s="8" t="s">
        <v>129</v>
      </c>
      <c r="B148" s="8"/>
      <c r="C148" s="26"/>
      <c r="D148" s="26"/>
      <c r="E148" s="26"/>
      <c r="F148" s="1">
        <v>1</v>
      </c>
      <c r="G148" s="66">
        <v>129.0615270536816</v>
      </c>
      <c r="H148" s="8">
        <v>122</v>
      </c>
      <c r="I148" s="3" t="s">
        <v>255</v>
      </c>
      <c r="J148" s="13">
        <f t="shared" si="31"/>
        <v>0</v>
      </c>
      <c r="K148" s="78">
        <v>343.73</v>
      </c>
      <c r="L148" s="36"/>
      <c r="M148" s="35"/>
      <c r="N148" s="81">
        <v>98</v>
      </c>
      <c r="O148" s="67">
        <f t="shared" si="32"/>
        <v>0.28510749716347134</v>
      </c>
      <c r="P148" s="67">
        <f t="shared" si="33"/>
        <v>0</v>
      </c>
      <c r="Q148" s="36">
        <f t="shared" si="34"/>
        <v>0</v>
      </c>
      <c r="R148" s="36">
        <f t="shared" si="51"/>
        <v>0</v>
      </c>
      <c r="S148" s="79">
        <v>9</v>
      </c>
      <c r="T148" s="37">
        <f t="shared" si="55"/>
        <v>29.4</v>
      </c>
      <c r="U148" s="9">
        <f t="shared" si="56"/>
        <v>374.48</v>
      </c>
      <c r="V148" s="73">
        <v>1722196684.6700001</v>
      </c>
      <c r="W148" s="73">
        <v>3618</v>
      </c>
      <c r="X148" s="18">
        <f t="shared" si="37"/>
        <v>476007.93</v>
      </c>
      <c r="Y148" s="38">
        <f t="shared" si="38"/>
        <v>2.5812900000000001</v>
      </c>
      <c r="Z148" s="73">
        <v>74853</v>
      </c>
      <c r="AA148" s="38">
        <f t="shared" si="39"/>
        <v>0.67034199999999999</v>
      </c>
      <c r="AB148" s="38">
        <f t="shared" si="40"/>
        <v>-1.008006</v>
      </c>
      <c r="AC148" s="39">
        <f t="shared" si="57"/>
        <v>0.01</v>
      </c>
      <c r="AD148" s="39">
        <f t="shared" si="60"/>
        <v>0.01</v>
      </c>
      <c r="AE148" s="80">
        <v>74</v>
      </c>
      <c r="AF148" s="40">
        <v>4</v>
      </c>
      <c r="AG148" s="9">
        <f t="shared" si="43"/>
        <v>30.77</v>
      </c>
      <c r="AH148" s="11">
        <f t="shared" si="44"/>
        <v>2277</v>
      </c>
      <c r="AI148" s="11">
        <f t="shared" si="45"/>
        <v>43159</v>
      </c>
      <c r="AJ148" s="11">
        <f t="shared" si="46"/>
        <v>45436</v>
      </c>
      <c r="AK148" s="36">
        <v>10871</v>
      </c>
      <c r="AL148" s="36">
        <v>12272.626</v>
      </c>
      <c r="AM148" s="36">
        <f t="shared" si="52"/>
        <v>34565</v>
      </c>
      <c r="AN148" s="68">
        <f t="shared" si="58"/>
        <v>45436</v>
      </c>
      <c r="AO148" s="68">
        <f t="shared" si="53"/>
        <v>34565</v>
      </c>
      <c r="AP148" s="69">
        <f t="shared" si="48"/>
        <v>15957.255000000001</v>
      </c>
      <c r="AQ148" s="36">
        <f t="shared" si="49"/>
        <v>3684.6290000000008</v>
      </c>
      <c r="AR148" s="70">
        <f t="shared" si="50"/>
        <v>0.30023150709554752</v>
      </c>
      <c r="AS148" s="36"/>
      <c r="AT148" s="22"/>
      <c r="AV148" s="22"/>
      <c r="AW148" s="22"/>
      <c r="BA148" s="22"/>
      <c r="BB148" s="22"/>
      <c r="BC148" s="22"/>
      <c r="BD148" s="22"/>
      <c r="BE148" s="22"/>
    </row>
    <row r="149" spans="1:57" ht="15" x14ac:dyDescent="0.25">
      <c r="A149" s="8" t="s">
        <v>129</v>
      </c>
      <c r="B149" s="8"/>
      <c r="C149" s="26"/>
      <c r="D149" s="26"/>
      <c r="E149" s="26"/>
      <c r="F149" s="1">
        <v>8</v>
      </c>
      <c r="G149" s="71">
        <v>267.47072589801644</v>
      </c>
      <c r="H149" s="8">
        <v>123</v>
      </c>
      <c r="I149" s="3" t="s">
        <v>256</v>
      </c>
      <c r="J149" s="13">
        <f t="shared" si="31"/>
        <v>0</v>
      </c>
      <c r="K149" s="78">
        <v>205.61</v>
      </c>
      <c r="L149" s="36"/>
      <c r="M149" s="35"/>
      <c r="N149" s="81">
        <v>61</v>
      </c>
      <c r="O149" s="67">
        <f t="shared" si="32"/>
        <v>0.29667817713146244</v>
      </c>
      <c r="P149" s="67">
        <f t="shared" si="33"/>
        <v>0</v>
      </c>
      <c r="Q149" s="36">
        <f t="shared" si="34"/>
        <v>0</v>
      </c>
      <c r="R149" s="36">
        <f t="shared" si="51"/>
        <v>0</v>
      </c>
      <c r="S149" s="79">
        <v>1</v>
      </c>
      <c r="T149" s="37">
        <f t="shared" si="55"/>
        <v>18.3</v>
      </c>
      <c r="U149" s="9">
        <f t="shared" si="56"/>
        <v>224.06000000000003</v>
      </c>
      <c r="V149" s="73">
        <v>155596237</v>
      </c>
      <c r="W149" s="73">
        <v>1678</v>
      </c>
      <c r="X149" s="18">
        <f t="shared" si="37"/>
        <v>92727.2</v>
      </c>
      <c r="Y149" s="38">
        <f t="shared" si="38"/>
        <v>0.50283999999999995</v>
      </c>
      <c r="Z149" s="73">
        <v>86397</v>
      </c>
      <c r="AA149" s="38">
        <f t="shared" si="39"/>
        <v>0.77372399999999997</v>
      </c>
      <c r="AB149" s="38">
        <f t="shared" si="40"/>
        <v>0.41589500000000001</v>
      </c>
      <c r="AC149" s="39">
        <f t="shared" si="57"/>
        <v>0.41589500000000001</v>
      </c>
      <c r="AD149" s="39">
        <f t="shared" si="60"/>
        <v>0.41589500000000001</v>
      </c>
      <c r="AE149" s="80">
        <v>100</v>
      </c>
      <c r="AF149" s="40">
        <v>6</v>
      </c>
      <c r="AG149" s="9">
        <f t="shared" si="43"/>
        <v>46.15</v>
      </c>
      <c r="AH149" s="11">
        <f t="shared" si="44"/>
        <v>4615</v>
      </c>
      <c r="AI149" s="11">
        <f t="shared" si="45"/>
        <v>1073962</v>
      </c>
      <c r="AJ149" s="11">
        <f t="shared" si="46"/>
        <v>1078577</v>
      </c>
      <c r="AK149" s="36">
        <v>1423001</v>
      </c>
      <c r="AL149" s="36">
        <v>1340348.75</v>
      </c>
      <c r="AM149" s="36">
        <f t="shared" si="52"/>
        <v>-344424</v>
      </c>
      <c r="AN149" s="68">
        <f t="shared" si="58"/>
        <v>1078577</v>
      </c>
      <c r="AO149" s="68">
        <f t="shared" si="53"/>
        <v>-344424</v>
      </c>
      <c r="AP149" s="69">
        <f t="shared" si="48"/>
        <v>1311658.2308</v>
      </c>
      <c r="AQ149" s="36">
        <f t="shared" si="49"/>
        <v>-28690.519199999981</v>
      </c>
      <c r="AR149" s="70">
        <f t="shared" si="50"/>
        <v>-2.1405264264244647E-2</v>
      </c>
      <c r="AS149" s="36"/>
      <c r="AT149" s="22"/>
      <c r="AV149" s="22"/>
      <c r="AW149" s="22"/>
      <c r="BA149" s="22"/>
      <c r="BB149" s="22"/>
      <c r="BC149" s="22"/>
      <c r="BD149" s="22"/>
      <c r="BE149" s="22"/>
    </row>
    <row r="150" spans="1:57" ht="15" x14ac:dyDescent="0.25">
      <c r="A150" s="8" t="s">
        <v>153</v>
      </c>
      <c r="B150" s="8"/>
      <c r="C150" s="26"/>
      <c r="D150" s="26"/>
      <c r="E150" s="26"/>
      <c r="F150" s="1">
        <v>8</v>
      </c>
      <c r="G150" s="71">
        <v>272.26198821762478</v>
      </c>
      <c r="H150" s="8">
        <v>124</v>
      </c>
      <c r="I150" s="3" t="s">
        <v>257</v>
      </c>
      <c r="J150" s="13">
        <f t="shared" si="31"/>
        <v>0</v>
      </c>
      <c r="K150" s="78">
        <v>2255.7199999999998</v>
      </c>
      <c r="L150" s="36"/>
      <c r="M150" s="35"/>
      <c r="N150" s="81">
        <v>822</v>
      </c>
      <c r="O150" s="67">
        <f t="shared" si="32"/>
        <v>0.36440692993811291</v>
      </c>
      <c r="P150" s="67">
        <f t="shared" si="33"/>
        <v>0</v>
      </c>
      <c r="Q150" s="36">
        <f t="shared" si="34"/>
        <v>0</v>
      </c>
      <c r="R150" s="36">
        <f t="shared" si="51"/>
        <v>0</v>
      </c>
      <c r="S150" s="79">
        <v>67</v>
      </c>
      <c r="T150" s="37">
        <f t="shared" si="55"/>
        <v>246.6</v>
      </c>
      <c r="U150" s="9">
        <f t="shared" si="56"/>
        <v>2512.37</v>
      </c>
      <c r="V150" s="73">
        <v>1727991287.3299999</v>
      </c>
      <c r="W150" s="73">
        <v>16553</v>
      </c>
      <c r="X150" s="18">
        <f t="shared" si="37"/>
        <v>104391.43</v>
      </c>
      <c r="Y150" s="38">
        <f t="shared" si="38"/>
        <v>0.56609200000000004</v>
      </c>
      <c r="Z150" s="73">
        <v>79734</v>
      </c>
      <c r="AA150" s="38">
        <f t="shared" si="39"/>
        <v>0.71405399999999997</v>
      </c>
      <c r="AB150" s="38">
        <f t="shared" si="40"/>
        <v>0.389519</v>
      </c>
      <c r="AC150" s="39">
        <f t="shared" si="57"/>
        <v>0.389519</v>
      </c>
      <c r="AD150" s="39">
        <f t="shared" si="60"/>
        <v>0.389519</v>
      </c>
      <c r="AE150" s="80"/>
      <c r="AF150" s="40">
        <v>0</v>
      </c>
      <c r="AG150" s="9">
        <f t="shared" si="43"/>
        <v>0</v>
      </c>
      <c r="AH150" s="11">
        <f t="shared" si="44"/>
        <v>0</v>
      </c>
      <c r="AI150" s="11">
        <f t="shared" si="45"/>
        <v>11278548</v>
      </c>
      <c r="AJ150" s="11">
        <f t="shared" si="46"/>
        <v>11278548</v>
      </c>
      <c r="AK150" s="36">
        <v>10040987</v>
      </c>
      <c r="AL150" s="36">
        <v>10086934.839</v>
      </c>
      <c r="AM150" s="36">
        <f t="shared" si="52"/>
        <v>1237561</v>
      </c>
      <c r="AN150" s="68">
        <f t="shared" si="58"/>
        <v>11278548</v>
      </c>
      <c r="AO150" s="68">
        <f t="shared" si="53"/>
        <v>1237561</v>
      </c>
      <c r="AP150" s="69">
        <f t="shared" si="48"/>
        <v>10218858.841599999</v>
      </c>
      <c r="AQ150" s="36">
        <f t="shared" si="49"/>
        <v>131924.00259999931</v>
      </c>
      <c r="AR150" s="70">
        <f t="shared" si="50"/>
        <v>1.3078700785290094E-2</v>
      </c>
      <c r="AS150" s="36"/>
      <c r="AT150" s="22"/>
      <c r="AV150" s="22"/>
      <c r="AW150" s="22"/>
      <c r="BA150" s="22"/>
      <c r="BB150" s="22"/>
      <c r="BC150" s="22"/>
      <c r="BD150" s="22"/>
      <c r="BE150" s="22"/>
    </row>
    <row r="151" spans="1:57" ht="15" x14ac:dyDescent="0.25">
      <c r="A151" s="8" t="s">
        <v>129</v>
      </c>
      <c r="B151" s="8"/>
      <c r="C151" s="26"/>
      <c r="D151" s="26"/>
      <c r="E151" s="26"/>
      <c r="F151" s="1">
        <v>1</v>
      </c>
      <c r="G151" s="66">
        <v>140.98939719058859</v>
      </c>
      <c r="H151" s="8">
        <v>125</v>
      </c>
      <c r="I151" s="3" t="s">
        <v>258</v>
      </c>
      <c r="J151" s="13">
        <f t="shared" si="31"/>
        <v>0</v>
      </c>
      <c r="K151" s="78">
        <v>177.4</v>
      </c>
      <c r="L151" s="36"/>
      <c r="M151" s="35"/>
      <c r="N151" s="81">
        <v>65</v>
      </c>
      <c r="O151" s="67">
        <f t="shared" si="32"/>
        <v>0.36640360766629088</v>
      </c>
      <c r="P151" s="67">
        <f t="shared" si="33"/>
        <v>0</v>
      </c>
      <c r="Q151" s="36">
        <f t="shared" si="34"/>
        <v>0</v>
      </c>
      <c r="R151" s="36">
        <f t="shared" si="51"/>
        <v>0</v>
      </c>
      <c r="S151" s="79">
        <v>1</v>
      </c>
      <c r="T151" s="37">
        <f t="shared" si="55"/>
        <v>19.5</v>
      </c>
      <c r="U151" s="9">
        <f t="shared" si="56"/>
        <v>197.05</v>
      </c>
      <c r="V151" s="73">
        <v>978825348.66999996</v>
      </c>
      <c r="W151" s="73">
        <v>2714</v>
      </c>
      <c r="X151" s="18">
        <f t="shared" si="37"/>
        <v>360657.83</v>
      </c>
      <c r="Y151" s="38">
        <f t="shared" si="38"/>
        <v>1.9557709999999999</v>
      </c>
      <c r="Z151" s="73">
        <v>82714</v>
      </c>
      <c r="AA151" s="38">
        <f t="shared" si="39"/>
        <v>0.74074099999999998</v>
      </c>
      <c r="AB151" s="38">
        <f t="shared" si="40"/>
        <v>-0.59126199999999995</v>
      </c>
      <c r="AC151" s="39">
        <f t="shared" si="57"/>
        <v>0.01</v>
      </c>
      <c r="AD151" s="39">
        <f t="shared" si="60"/>
        <v>0.01</v>
      </c>
      <c r="AE151" s="80">
        <v>60</v>
      </c>
      <c r="AF151" s="40">
        <v>4</v>
      </c>
      <c r="AG151" s="9">
        <f t="shared" si="43"/>
        <v>30.77</v>
      </c>
      <c r="AH151" s="11">
        <f t="shared" si="44"/>
        <v>1846</v>
      </c>
      <c r="AI151" s="11">
        <f t="shared" si="45"/>
        <v>22710</v>
      </c>
      <c r="AJ151" s="11">
        <f t="shared" si="46"/>
        <v>24556</v>
      </c>
      <c r="AK151" s="36">
        <v>9960</v>
      </c>
      <c r="AL151" s="36">
        <v>10643.511</v>
      </c>
      <c r="AM151" s="36">
        <f t="shared" si="52"/>
        <v>14596</v>
      </c>
      <c r="AN151" s="68">
        <f t="shared" si="58"/>
        <v>24556</v>
      </c>
      <c r="AO151" s="68">
        <f t="shared" si="53"/>
        <v>14596</v>
      </c>
      <c r="AP151" s="69">
        <f t="shared" si="48"/>
        <v>12199.444600000001</v>
      </c>
      <c r="AQ151" s="36">
        <f t="shared" si="49"/>
        <v>1555.9336000000003</v>
      </c>
      <c r="AR151" s="70">
        <f t="shared" si="50"/>
        <v>0.14618612222977928</v>
      </c>
      <c r="AS151" s="36"/>
      <c r="AT151" s="22"/>
      <c r="AV151" s="22"/>
      <c r="AW151" s="22"/>
      <c r="BA151" s="22"/>
      <c r="BB151" s="22"/>
      <c r="BC151" s="22"/>
      <c r="BD151" s="22"/>
      <c r="BE151" s="22"/>
    </row>
    <row r="152" spans="1:57" ht="15" x14ac:dyDescent="0.25">
      <c r="A152" s="8" t="s">
        <v>135</v>
      </c>
      <c r="B152" s="8"/>
      <c r="C152" s="26"/>
      <c r="D152" s="26"/>
      <c r="E152" s="26"/>
      <c r="F152" s="1">
        <v>4</v>
      </c>
      <c r="G152" s="66">
        <v>220.58054534883843</v>
      </c>
      <c r="H152" s="8">
        <v>126</v>
      </c>
      <c r="I152" s="3" t="s">
        <v>259</v>
      </c>
      <c r="J152" s="13">
        <f t="shared" si="31"/>
        <v>0</v>
      </c>
      <c r="K152" s="78">
        <v>4906.21</v>
      </c>
      <c r="L152" s="36"/>
      <c r="M152" s="35"/>
      <c r="N152" s="81">
        <v>1426</v>
      </c>
      <c r="O152" s="67">
        <f t="shared" si="32"/>
        <v>0.2906520511759586</v>
      </c>
      <c r="P152" s="67">
        <f t="shared" si="33"/>
        <v>0</v>
      </c>
      <c r="Q152" s="36">
        <f t="shared" si="34"/>
        <v>0</v>
      </c>
      <c r="R152" s="36">
        <f t="shared" si="51"/>
        <v>0</v>
      </c>
      <c r="S152" s="79">
        <v>235</v>
      </c>
      <c r="T152" s="37">
        <f t="shared" si="55"/>
        <v>427.8</v>
      </c>
      <c r="U152" s="9">
        <f t="shared" si="56"/>
        <v>5369.26</v>
      </c>
      <c r="V152" s="73">
        <v>6714868602.6700001</v>
      </c>
      <c r="W152" s="73">
        <v>41334</v>
      </c>
      <c r="X152" s="18">
        <f t="shared" si="37"/>
        <v>162453.88</v>
      </c>
      <c r="Y152" s="38">
        <f t="shared" si="38"/>
        <v>0.88095299999999999</v>
      </c>
      <c r="Z152" s="73">
        <v>87277</v>
      </c>
      <c r="AA152" s="38">
        <f t="shared" si="39"/>
        <v>0.78160399999999997</v>
      </c>
      <c r="AB152" s="38">
        <f t="shared" si="40"/>
        <v>0.14885200000000001</v>
      </c>
      <c r="AC152" s="39">
        <f t="shared" si="57"/>
        <v>0.14885200000000001</v>
      </c>
      <c r="AD152" s="39">
        <f t="shared" si="60"/>
        <v>0.14885200000000001</v>
      </c>
      <c r="AE152" s="80"/>
      <c r="AF152" s="40">
        <v>0</v>
      </c>
      <c r="AG152" s="9">
        <f t="shared" si="43"/>
        <v>0</v>
      </c>
      <c r="AH152" s="11">
        <f t="shared" si="44"/>
        <v>0</v>
      </c>
      <c r="AI152" s="11">
        <f t="shared" si="45"/>
        <v>9211069</v>
      </c>
      <c r="AJ152" s="11">
        <f t="shared" si="46"/>
        <v>9211069</v>
      </c>
      <c r="AK152" s="36">
        <v>5893771</v>
      </c>
      <c r="AL152" s="36">
        <v>5987323.1600000001</v>
      </c>
      <c r="AM152" s="36">
        <f t="shared" si="52"/>
        <v>3317298</v>
      </c>
      <c r="AN152" s="68">
        <f t="shared" si="58"/>
        <v>9211069</v>
      </c>
      <c r="AO152" s="68">
        <f t="shared" si="53"/>
        <v>3317298</v>
      </c>
      <c r="AP152" s="69">
        <f t="shared" si="48"/>
        <v>6340947.1267999997</v>
      </c>
      <c r="AQ152" s="36">
        <f t="shared" si="49"/>
        <v>353623.96679999959</v>
      </c>
      <c r="AR152" s="70">
        <f t="shared" si="50"/>
        <v>5.9062114629536644E-2</v>
      </c>
      <c r="AS152" s="36"/>
      <c r="AT152" s="22"/>
      <c r="AV152" s="22"/>
      <c r="AW152" s="22"/>
      <c r="BA152" s="22"/>
      <c r="BB152" s="22"/>
      <c r="BC152" s="22"/>
      <c r="BD152" s="22"/>
      <c r="BE152" s="22"/>
    </row>
    <row r="153" spans="1:57" ht="15" x14ac:dyDescent="0.25">
      <c r="A153" s="8" t="s">
        <v>125</v>
      </c>
      <c r="B153" s="8"/>
      <c r="C153" s="26"/>
      <c r="D153" s="26"/>
      <c r="E153" s="26"/>
      <c r="F153" s="1">
        <v>2</v>
      </c>
      <c r="G153" s="66">
        <v>158.97830407235233</v>
      </c>
      <c r="H153" s="8">
        <v>127</v>
      </c>
      <c r="I153" s="3" t="s">
        <v>260</v>
      </c>
      <c r="J153" s="13">
        <f t="shared" si="31"/>
        <v>0</v>
      </c>
      <c r="K153" s="78">
        <v>411.78</v>
      </c>
      <c r="L153" s="36"/>
      <c r="M153" s="35"/>
      <c r="N153" s="81">
        <v>27</v>
      </c>
      <c r="O153" s="67">
        <f t="shared" si="32"/>
        <v>6.5568993151682936E-2</v>
      </c>
      <c r="P153" s="67">
        <f t="shared" si="33"/>
        <v>0</v>
      </c>
      <c r="Q153" s="36">
        <f t="shared" si="34"/>
        <v>0</v>
      </c>
      <c r="R153" s="36">
        <f t="shared" si="51"/>
        <v>0</v>
      </c>
      <c r="S153" s="79">
        <v>6</v>
      </c>
      <c r="T153" s="37">
        <f t="shared" si="55"/>
        <v>8.1</v>
      </c>
      <c r="U153" s="9">
        <f t="shared" si="56"/>
        <v>420.78</v>
      </c>
      <c r="V153" s="73">
        <v>1006019374.67</v>
      </c>
      <c r="W153" s="73">
        <v>3641</v>
      </c>
      <c r="X153" s="18">
        <f t="shared" si="37"/>
        <v>276303.03999999998</v>
      </c>
      <c r="Y153" s="38">
        <f t="shared" si="38"/>
        <v>1.4983329999999999</v>
      </c>
      <c r="Z153" s="73">
        <v>111667</v>
      </c>
      <c r="AA153" s="38">
        <f t="shared" si="39"/>
        <v>1.0000279999999999</v>
      </c>
      <c r="AB153" s="38">
        <f t="shared" si="40"/>
        <v>-0.34884199999999999</v>
      </c>
      <c r="AC153" s="39">
        <f t="shared" si="57"/>
        <v>0.01</v>
      </c>
      <c r="AD153" s="39">
        <f t="shared" si="60"/>
        <v>0.01</v>
      </c>
      <c r="AE153" s="80"/>
      <c r="AF153" s="40">
        <v>0</v>
      </c>
      <c r="AG153" s="9">
        <f t="shared" si="43"/>
        <v>0</v>
      </c>
      <c r="AH153" s="11">
        <f t="shared" si="44"/>
        <v>0</v>
      </c>
      <c r="AI153" s="11">
        <f t="shared" si="45"/>
        <v>48495</v>
      </c>
      <c r="AJ153" s="11">
        <f t="shared" si="46"/>
        <v>48495</v>
      </c>
      <c r="AK153" s="36">
        <v>46611</v>
      </c>
      <c r="AL153" s="36">
        <v>46839.985000000001</v>
      </c>
      <c r="AM153" s="36">
        <f t="shared" si="52"/>
        <v>1884</v>
      </c>
      <c r="AN153" s="68">
        <f t="shared" si="58"/>
        <v>48495</v>
      </c>
      <c r="AO153" s="68">
        <f t="shared" si="53"/>
        <v>1884</v>
      </c>
      <c r="AP153" s="69">
        <f t="shared" si="48"/>
        <v>47040.8194</v>
      </c>
      <c r="AQ153" s="36">
        <f t="shared" si="49"/>
        <v>200.83439999999973</v>
      </c>
      <c r="AR153" s="70">
        <f t="shared" si="50"/>
        <v>4.2876700323452224E-3</v>
      </c>
      <c r="AS153" s="36"/>
      <c r="AT153" s="22"/>
      <c r="AV153" s="22"/>
      <c r="AW153" s="22"/>
      <c r="BA153" s="22"/>
      <c r="BB153" s="22"/>
      <c r="BC153" s="22"/>
      <c r="BD153" s="22"/>
      <c r="BE153" s="22"/>
    </row>
    <row r="154" spans="1:57" ht="15" x14ac:dyDescent="0.25">
      <c r="A154" s="8" t="s">
        <v>131</v>
      </c>
      <c r="B154" s="8"/>
      <c r="C154" s="26"/>
      <c r="D154" s="26"/>
      <c r="E154" s="26"/>
      <c r="F154" s="1">
        <v>3</v>
      </c>
      <c r="G154" s="66">
        <v>206.78128828824597</v>
      </c>
      <c r="H154" s="8">
        <v>128</v>
      </c>
      <c r="I154" s="3" t="s">
        <v>261</v>
      </c>
      <c r="J154" s="13">
        <f t="shared" si="31"/>
        <v>0</v>
      </c>
      <c r="K154" s="78">
        <v>4110.13</v>
      </c>
      <c r="L154" s="36"/>
      <c r="M154" s="35"/>
      <c r="N154" s="81">
        <v>454</v>
      </c>
      <c r="O154" s="67">
        <f t="shared" si="32"/>
        <v>0.11045879327417868</v>
      </c>
      <c r="P154" s="67">
        <f t="shared" si="33"/>
        <v>0</v>
      </c>
      <c r="Q154" s="36">
        <f t="shared" si="34"/>
        <v>0</v>
      </c>
      <c r="R154" s="36">
        <f t="shared" si="51"/>
        <v>0</v>
      </c>
      <c r="S154" s="79">
        <v>65</v>
      </c>
      <c r="T154" s="37">
        <f t="shared" si="55"/>
        <v>136.19999999999999</v>
      </c>
      <c r="U154" s="9">
        <f t="shared" si="56"/>
        <v>4256.08</v>
      </c>
      <c r="V154" s="73">
        <v>3618749332</v>
      </c>
      <c r="W154" s="73">
        <v>24407</v>
      </c>
      <c r="X154" s="18">
        <f t="shared" si="37"/>
        <v>148266.85999999999</v>
      </c>
      <c r="Y154" s="38">
        <f t="shared" si="38"/>
        <v>0.80401999999999996</v>
      </c>
      <c r="Z154" s="73">
        <v>110099</v>
      </c>
      <c r="AA154" s="38">
        <f t="shared" si="39"/>
        <v>0.98598600000000003</v>
      </c>
      <c r="AB154" s="38">
        <f t="shared" si="40"/>
        <v>0.14138999999999999</v>
      </c>
      <c r="AC154" s="39">
        <f t="shared" si="57"/>
        <v>0.14138999999999999</v>
      </c>
      <c r="AD154" s="39">
        <f t="shared" si="60"/>
        <v>0.14138999999999999</v>
      </c>
      <c r="AE154" s="80"/>
      <c r="AF154" s="40">
        <v>0</v>
      </c>
      <c r="AG154" s="9">
        <f t="shared" si="43"/>
        <v>0</v>
      </c>
      <c r="AH154" s="11">
        <f t="shared" si="44"/>
        <v>0</v>
      </c>
      <c r="AI154" s="11">
        <f t="shared" si="45"/>
        <v>6935366</v>
      </c>
      <c r="AJ154" s="11">
        <f t="shared" si="46"/>
        <v>6935366</v>
      </c>
      <c r="AK154" s="36">
        <v>6087799</v>
      </c>
      <c r="AL154" s="36">
        <v>6039516.25</v>
      </c>
      <c r="AM154" s="36">
        <f t="shared" si="52"/>
        <v>847567</v>
      </c>
      <c r="AN154" s="68">
        <f t="shared" si="58"/>
        <v>6935366</v>
      </c>
      <c r="AO154" s="68">
        <f t="shared" si="53"/>
        <v>847567</v>
      </c>
      <c r="AP154" s="69">
        <f t="shared" si="48"/>
        <v>6129866.8921999997</v>
      </c>
      <c r="AQ154" s="36">
        <f t="shared" si="49"/>
        <v>90350.642199999653</v>
      </c>
      <c r="AR154" s="70">
        <f t="shared" si="50"/>
        <v>1.4959913751370344E-2</v>
      </c>
      <c r="AS154" s="36"/>
      <c r="AT154" s="22"/>
      <c r="AV154" s="22"/>
      <c r="AW154" s="22"/>
      <c r="BA154" s="22"/>
      <c r="BB154" s="22"/>
      <c r="BC154" s="22"/>
      <c r="BD154" s="22"/>
      <c r="BE154" s="22"/>
    </row>
    <row r="155" spans="1:57" ht="15" x14ac:dyDescent="0.25">
      <c r="A155" s="8" t="s">
        <v>125</v>
      </c>
      <c r="B155" s="8"/>
      <c r="C155" s="26"/>
      <c r="D155" s="26"/>
      <c r="E155" s="26"/>
      <c r="F155" s="1">
        <v>6</v>
      </c>
      <c r="G155" s="66">
        <v>230.24780279240755</v>
      </c>
      <c r="H155" s="8">
        <v>129</v>
      </c>
      <c r="I155" s="3" t="s">
        <v>262</v>
      </c>
      <c r="J155" s="13">
        <f t="shared" ref="J155:J195" si="61">AW155</f>
        <v>0</v>
      </c>
      <c r="K155" s="78">
        <v>1377.06</v>
      </c>
      <c r="L155" s="36"/>
      <c r="M155" s="35"/>
      <c r="N155" s="81">
        <v>122</v>
      </c>
      <c r="O155" s="67">
        <f t="shared" ref="O155:O195" si="62">N155/K155</f>
        <v>8.8594541995265286E-2</v>
      </c>
      <c r="P155" s="67">
        <f t="shared" ref="P155:P195" si="63">IF(O155&gt;0.75,+O155-0.75,0)</f>
        <v>0</v>
      </c>
      <c r="Q155" s="36">
        <f t="shared" ref="Q155:Q195" si="64">P155*K155</f>
        <v>0</v>
      </c>
      <c r="R155" s="36">
        <f t="shared" si="51"/>
        <v>0</v>
      </c>
      <c r="S155" s="79">
        <v>7</v>
      </c>
      <c r="T155" s="37">
        <f t="shared" ref="T155:T186" si="65">ROUND(N155*$T$2,2)</f>
        <v>36.6</v>
      </c>
      <c r="U155" s="9">
        <f t="shared" ref="U155:U186" si="66">K155+T155+0.15*S155+0.05*Q155</f>
        <v>1414.7099999999998</v>
      </c>
      <c r="V155" s="73">
        <v>1244750313.3299999</v>
      </c>
      <c r="W155" s="73">
        <v>11092</v>
      </c>
      <c r="X155" s="18">
        <f t="shared" ref="X155:X195" si="67">ROUND(V155/W155,2)</f>
        <v>112220.55</v>
      </c>
      <c r="Y155" s="38">
        <f t="shared" ref="Y155:Y195" si="68">(ROUND(X155/$Y$21,6))</f>
        <v>0.60854799999999998</v>
      </c>
      <c r="Z155" s="73">
        <v>94765</v>
      </c>
      <c r="AA155" s="38">
        <f t="shared" ref="AA155:AA195" si="69">(ROUND(Z155/$AA$21,6))</f>
        <v>0.84866299999999995</v>
      </c>
      <c r="AB155" s="38">
        <f t="shared" ref="AB155:AB195" si="70">ROUND(1-((Y155*$T$4)+(AA155*$T$5)),6)</f>
        <v>0.31941799999999998</v>
      </c>
      <c r="AC155" s="39">
        <f t="shared" ref="AC155:AC186" si="71">IF(C155=1,MAX($T$7,AB155),MAX($T$6,AB155))</f>
        <v>0.31941799999999998</v>
      </c>
      <c r="AD155" s="39">
        <f t="shared" si="60"/>
        <v>0.31941799999999998</v>
      </c>
      <c r="AE155" s="80"/>
      <c r="AF155" s="40">
        <v>0</v>
      </c>
      <c r="AG155" s="9">
        <f t="shared" ref="AG155:AG195" si="72">ROUND((AF155/13)*100,2)</f>
        <v>0</v>
      </c>
      <c r="AH155" s="11">
        <f t="shared" ref="AH155:AH195" si="73">ROUND(AE155*AG155,0)</f>
        <v>0</v>
      </c>
      <c r="AI155" s="11">
        <f t="shared" ref="AI155:AI195" si="74">ROUND(U155*AD155*$AI$21,0)</f>
        <v>5207961</v>
      </c>
      <c r="AJ155" s="11">
        <f t="shared" ref="AJ155:AJ195" si="75">IF(AI155=0, 0,AH155+AI155)</f>
        <v>5207961</v>
      </c>
      <c r="AK155" s="36">
        <v>5929453</v>
      </c>
      <c r="AL155" s="36">
        <v>5839613</v>
      </c>
      <c r="AM155" s="36">
        <f t="shared" si="52"/>
        <v>-721492</v>
      </c>
      <c r="AN155" s="68">
        <f t="shared" ref="AN155:AN186" si="76">IF(AND(C155=1,AL155&gt;AJ155),AL155,AJ155)</f>
        <v>5207961</v>
      </c>
      <c r="AO155" s="68">
        <f t="shared" si="53"/>
        <v>-721492</v>
      </c>
      <c r="AP155" s="69">
        <f t="shared" ref="AP155:AP195" si="77">IF(AO155&gt;0,($AP$21*AO155)+AL155,($AP$24*AO155)+AL155)</f>
        <v>5779512.7164000003</v>
      </c>
      <c r="AQ155" s="36">
        <f t="shared" ref="AQ155:AQ195" si="78">AP155-AL155</f>
        <v>-60100.283599999733</v>
      </c>
      <c r="AR155" s="70">
        <f t="shared" ref="AR155:AR195" si="79">AQ155/AL155</f>
        <v>-1.0291826461787747E-2</v>
      </c>
      <c r="AS155" s="36"/>
      <c r="AT155" s="22"/>
      <c r="AV155" s="22"/>
      <c r="AW155" s="22"/>
      <c r="BA155" s="22"/>
      <c r="BB155" s="22"/>
      <c r="BC155" s="22"/>
      <c r="BD155" s="22"/>
      <c r="BE155" s="22"/>
    </row>
    <row r="156" spans="1:57" ht="15" x14ac:dyDescent="0.25">
      <c r="A156" s="8" t="s">
        <v>131</v>
      </c>
      <c r="B156" s="8"/>
      <c r="C156" s="26"/>
      <c r="D156" s="26"/>
      <c r="E156" s="26"/>
      <c r="F156" s="1">
        <v>5</v>
      </c>
      <c r="G156" s="66">
        <v>222.18954250479533</v>
      </c>
      <c r="H156" s="8">
        <v>130</v>
      </c>
      <c r="I156" s="3" t="s">
        <v>263</v>
      </c>
      <c r="J156" s="13">
        <f t="shared" si="61"/>
        <v>0</v>
      </c>
      <c r="K156" s="78">
        <v>2445.7199999999998</v>
      </c>
      <c r="L156" s="36"/>
      <c r="M156" s="35"/>
      <c r="N156" s="81">
        <v>299</v>
      </c>
      <c r="O156" s="67">
        <f t="shared" si="62"/>
        <v>0.12225438725610455</v>
      </c>
      <c r="P156" s="67">
        <f t="shared" si="63"/>
        <v>0</v>
      </c>
      <c r="Q156" s="36">
        <f t="shared" si="64"/>
        <v>0</v>
      </c>
      <c r="R156" s="36">
        <f t="shared" ref="R156:R195" si="80">Q156*0.05</f>
        <v>0</v>
      </c>
      <c r="S156" s="79">
        <v>20</v>
      </c>
      <c r="T156" s="37">
        <f t="shared" si="65"/>
        <v>89.7</v>
      </c>
      <c r="U156" s="9">
        <f t="shared" si="66"/>
        <v>2538.4199999999996</v>
      </c>
      <c r="V156" s="73">
        <v>3201274969</v>
      </c>
      <c r="W156" s="73">
        <v>19572</v>
      </c>
      <c r="X156" s="18">
        <f t="shared" si="67"/>
        <v>163564.01999999999</v>
      </c>
      <c r="Y156" s="38">
        <f t="shared" si="68"/>
        <v>0.88697300000000001</v>
      </c>
      <c r="Z156" s="73">
        <v>85068</v>
      </c>
      <c r="AA156" s="38">
        <f t="shared" si="69"/>
        <v>0.761822</v>
      </c>
      <c r="AB156" s="38">
        <f t="shared" si="70"/>
        <v>0.15057200000000001</v>
      </c>
      <c r="AC156" s="39">
        <f t="shared" si="71"/>
        <v>0.15057200000000001</v>
      </c>
      <c r="AD156" s="39">
        <f t="shared" si="60"/>
        <v>0.15057200000000001</v>
      </c>
      <c r="AE156" s="80">
        <v>2448</v>
      </c>
      <c r="AF156" s="40">
        <v>13</v>
      </c>
      <c r="AG156" s="9">
        <f t="shared" si="72"/>
        <v>100</v>
      </c>
      <c r="AH156" s="11">
        <f t="shared" si="73"/>
        <v>244800</v>
      </c>
      <c r="AI156" s="11">
        <f t="shared" si="74"/>
        <v>4405028</v>
      </c>
      <c r="AJ156" s="11">
        <f t="shared" si="75"/>
        <v>4649828</v>
      </c>
      <c r="AK156" s="36">
        <v>3458266</v>
      </c>
      <c r="AL156" s="36">
        <v>3501461.304</v>
      </c>
      <c r="AM156" s="36">
        <f t="shared" ref="AM156:AM195" si="81">AJ156-AK156</f>
        <v>1191562</v>
      </c>
      <c r="AN156" s="68">
        <f t="shared" si="76"/>
        <v>4649828</v>
      </c>
      <c r="AO156" s="68">
        <f t="shared" ref="AO156:AO195" si="82">AN156-AK156</f>
        <v>1191562</v>
      </c>
      <c r="AP156" s="69">
        <f t="shared" si="77"/>
        <v>3628481.8132000002</v>
      </c>
      <c r="AQ156" s="36">
        <f t="shared" si="78"/>
        <v>127020.5092000002</v>
      </c>
      <c r="AR156" s="70">
        <f t="shared" si="79"/>
        <v>3.6276428088722411E-2</v>
      </c>
      <c r="AS156" s="36"/>
      <c r="AT156" s="22"/>
      <c r="AV156" s="22"/>
      <c r="AW156" s="22"/>
      <c r="BA156" s="22"/>
      <c r="BB156" s="22"/>
      <c r="BC156" s="22"/>
      <c r="BD156" s="22"/>
      <c r="BE156" s="22"/>
    </row>
    <row r="157" spans="1:57" ht="15" x14ac:dyDescent="0.25">
      <c r="A157" s="8" t="s">
        <v>135</v>
      </c>
      <c r="B157" s="8"/>
      <c r="C157" s="26"/>
      <c r="D157" s="26"/>
      <c r="E157" s="26"/>
      <c r="F157" s="1">
        <v>6</v>
      </c>
      <c r="G157" s="66">
        <v>229.86539993654605</v>
      </c>
      <c r="H157" s="8">
        <v>131</v>
      </c>
      <c r="I157" s="3" t="s">
        <v>264</v>
      </c>
      <c r="J157" s="13">
        <f t="shared" si="61"/>
        <v>0</v>
      </c>
      <c r="K157" s="78">
        <v>6396.01</v>
      </c>
      <c r="L157" s="36"/>
      <c r="M157" s="35"/>
      <c r="N157" s="81">
        <v>1364</v>
      </c>
      <c r="O157" s="67">
        <f t="shared" si="62"/>
        <v>0.21325795300507661</v>
      </c>
      <c r="P157" s="67">
        <f t="shared" si="63"/>
        <v>0</v>
      </c>
      <c r="Q157" s="36">
        <f t="shared" si="64"/>
        <v>0</v>
      </c>
      <c r="R157" s="36">
        <f t="shared" si="80"/>
        <v>0</v>
      </c>
      <c r="S157" s="79">
        <v>114</v>
      </c>
      <c r="T157" s="37">
        <f t="shared" si="65"/>
        <v>409.2</v>
      </c>
      <c r="U157" s="9">
        <f t="shared" si="66"/>
        <v>6822.31</v>
      </c>
      <c r="V157" s="73">
        <v>5701962460.6700001</v>
      </c>
      <c r="W157" s="73">
        <v>43685</v>
      </c>
      <c r="X157" s="18">
        <f t="shared" si="67"/>
        <v>130524.49</v>
      </c>
      <c r="Y157" s="38">
        <f t="shared" si="68"/>
        <v>0.70780699999999996</v>
      </c>
      <c r="Z157" s="73">
        <v>88214</v>
      </c>
      <c r="AA157" s="38">
        <f t="shared" si="69"/>
        <v>0.78999600000000003</v>
      </c>
      <c r="AB157" s="38">
        <f t="shared" si="70"/>
        <v>0.267536</v>
      </c>
      <c r="AC157" s="39">
        <f t="shared" si="71"/>
        <v>0.267536</v>
      </c>
      <c r="AD157" s="39">
        <f t="shared" si="60"/>
        <v>0.267536</v>
      </c>
      <c r="AE157" s="80"/>
      <c r="AF157" s="40">
        <v>0</v>
      </c>
      <c r="AG157" s="9">
        <f t="shared" si="72"/>
        <v>0</v>
      </c>
      <c r="AH157" s="11">
        <f t="shared" si="73"/>
        <v>0</v>
      </c>
      <c r="AI157" s="11">
        <f t="shared" si="74"/>
        <v>21035586</v>
      </c>
      <c r="AJ157" s="11">
        <f t="shared" si="75"/>
        <v>21035586</v>
      </c>
      <c r="AK157" s="36">
        <v>20268059</v>
      </c>
      <c r="AL157" s="36">
        <v>20348425.068</v>
      </c>
      <c r="AM157" s="36">
        <f t="shared" si="81"/>
        <v>767527</v>
      </c>
      <c r="AN157" s="68">
        <f t="shared" si="76"/>
        <v>21035586</v>
      </c>
      <c r="AO157" s="68">
        <f t="shared" si="82"/>
        <v>767527</v>
      </c>
      <c r="AP157" s="69">
        <f t="shared" si="77"/>
        <v>20430243.446199998</v>
      </c>
      <c r="AQ157" s="36">
        <f t="shared" si="78"/>
        <v>81818.378199998289</v>
      </c>
      <c r="AR157" s="70">
        <f t="shared" si="79"/>
        <v>4.020870309450442E-3</v>
      </c>
      <c r="AS157" s="36"/>
      <c r="AT157" s="22"/>
      <c r="AV157" s="22"/>
      <c r="AW157" s="22"/>
      <c r="BA157" s="22"/>
      <c r="BB157" s="22"/>
      <c r="BC157" s="22"/>
      <c r="BD157" s="22"/>
      <c r="BE157" s="22"/>
    </row>
    <row r="158" spans="1:57" ht="15" x14ac:dyDescent="0.25">
      <c r="A158" s="8" t="s">
        <v>131</v>
      </c>
      <c r="B158" s="8"/>
      <c r="C158" s="26"/>
      <c r="D158" s="26"/>
      <c r="E158" s="26"/>
      <c r="F158" s="1">
        <v>5</v>
      </c>
      <c r="G158" s="66">
        <v>234.46400371758025</v>
      </c>
      <c r="H158" s="8">
        <v>132</v>
      </c>
      <c r="I158" s="3" t="s">
        <v>265</v>
      </c>
      <c r="J158" s="13">
        <f t="shared" si="61"/>
        <v>0</v>
      </c>
      <c r="K158" s="78">
        <v>4480.71</v>
      </c>
      <c r="L158" s="36"/>
      <c r="M158" s="35"/>
      <c r="N158" s="81">
        <v>694</v>
      </c>
      <c r="O158" s="67">
        <f t="shared" si="62"/>
        <v>0.15488616759397505</v>
      </c>
      <c r="P158" s="67">
        <f t="shared" si="63"/>
        <v>0</v>
      </c>
      <c r="Q158" s="36">
        <f t="shared" si="64"/>
        <v>0</v>
      </c>
      <c r="R158" s="36">
        <f t="shared" si="80"/>
        <v>0</v>
      </c>
      <c r="S158" s="79">
        <v>262</v>
      </c>
      <c r="T158" s="37">
        <f t="shared" si="65"/>
        <v>208.2</v>
      </c>
      <c r="U158" s="9">
        <f t="shared" si="66"/>
        <v>4728.21</v>
      </c>
      <c r="V158" s="73">
        <v>3776568935</v>
      </c>
      <c r="W158" s="73">
        <v>25737</v>
      </c>
      <c r="X158" s="18">
        <f t="shared" si="67"/>
        <v>146736.95000000001</v>
      </c>
      <c r="Y158" s="38">
        <f t="shared" si="68"/>
        <v>0.79572299999999996</v>
      </c>
      <c r="Z158" s="73">
        <v>100122</v>
      </c>
      <c r="AA158" s="38">
        <f t="shared" si="69"/>
        <v>0.89663700000000002</v>
      </c>
      <c r="AB158" s="38">
        <f t="shared" si="70"/>
        <v>0.17400299999999999</v>
      </c>
      <c r="AC158" s="39">
        <f t="shared" si="71"/>
        <v>0.17400299999999999</v>
      </c>
      <c r="AD158" s="39">
        <f t="shared" si="60"/>
        <v>0.17400299999999999</v>
      </c>
      <c r="AE158" s="80"/>
      <c r="AF158" s="40">
        <v>0</v>
      </c>
      <c r="AG158" s="9">
        <f t="shared" si="72"/>
        <v>0</v>
      </c>
      <c r="AH158" s="11">
        <f t="shared" si="73"/>
        <v>0</v>
      </c>
      <c r="AI158" s="11">
        <f t="shared" si="74"/>
        <v>9481879</v>
      </c>
      <c r="AJ158" s="11">
        <f t="shared" si="75"/>
        <v>9481879</v>
      </c>
      <c r="AK158" s="36">
        <v>12826469</v>
      </c>
      <c r="AL158" s="36">
        <v>11976417.5</v>
      </c>
      <c r="AM158" s="36">
        <f t="shared" si="81"/>
        <v>-3344590</v>
      </c>
      <c r="AN158" s="68">
        <f t="shared" si="76"/>
        <v>9481879</v>
      </c>
      <c r="AO158" s="68">
        <f t="shared" si="82"/>
        <v>-3344590</v>
      </c>
      <c r="AP158" s="69">
        <f t="shared" si="77"/>
        <v>11697813.153000001</v>
      </c>
      <c r="AQ158" s="36">
        <f t="shared" si="78"/>
        <v>-278604.34699999914</v>
      </c>
      <c r="AR158" s="70">
        <f t="shared" si="79"/>
        <v>-2.3262745057109034E-2</v>
      </c>
      <c r="AS158" s="36"/>
      <c r="AT158" s="22"/>
      <c r="AV158" s="22"/>
      <c r="AW158" s="22"/>
      <c r="BA158" s="22"/>
      <c r="BB158" s="22"/>
      <c r="BC158" s="22"/>
      <c r="BD158" s="22"/>
      <c r="BE158" s="22"/>
    </row>
    <row r="159" spans="1:57" ht="15" x14ac:dyDescent="0.25">
      <c r="A159" s="8" t="s">
        <v>153</v>
      </c>
      <c r="B159" s="8"/>
      <c r="C159" s="26"/>
      <c r="D159" s="26"/>
      <c r="E159" s="26"/>
      <c r="F159" s="1">
        <v>9</v>
      </c>
      <c r="G159" s="71">
        <v>311.46528590230724</v>
      </c>
      <c r="H159" s="8">
        <v>133</v>
      </c>
      <c r="I159" s="3" t="s">
        <v>266</v>
      </c>
      <c r="J159" s="13">
        <f t="shared" si="61"/>
        <v>0</v>
      </c>
      <c r="K159" s="78">
        <v>434.36</v>
      </c>
      <c r="L159" s="36"/>
      <c r="M159" s="35"/>
      <c r="N159" s="81">
        <v>238</v>
      </c>
      <c r="O159" s="67">
        <f t="shared" si="62"/>
        <v>0.54793259047794451</v>
      </c>
      <c r="P159" s="67">
        <f t="shared" si="63"/>
        <v>0</v>
      </c>
      <c r="Q159" s="36">
        <f t="shared" si="64"/>
        <v>0</v>
      </c>
      <c r="R159" s="36">
        <f t="shared" si="80"/>
        <v>0</v>
      </c>
      <c r="S159" s="79">
        <v>3</v>
      </c>
      <c r="T159" s="37">
        <f t="shared" si="65"/>
        <v>71.400000000000006</v>
      </c>
      <c r="U159" s="9">
        <f t="shared" si="66"/>
        <v>506.21</v>
      </c>
      <c r="V159" s="73">
        <v>258614852</v>
      </c>
      <c r="W159" s="73">
        <v>2921</v>
      </c>
      <c r="X159" s="18">
        <f t="shared" si="67"/>
        <v>88536.41</v>
      </c>
      <c r="Y159" s="38">
        <f t="shared" si="68"/>
        <v>0.48011399999999999</v>
      </c>
      <c r="Z159" s="73">
        <v>65861</v>
      </c>
      <c r="AA159" s="38">
        <f t="shared" si="69"/>
        <v>0.58981499999999998</v>
      </c>
      <c r="AB159" s="38">
        <f t="shared" si="70"/>
        <v>0.48697600000000002</v>
      </c>
      <c r="AC159" s="39">
        <f t="shared" si="71"/>
        <v>0.48697600000000002</v>
      </c>
      <c r="AD159" s="39">
        <f>IF(G159&gt;300,+AC159+$AD$18,AC159)</f>
        <v>0.526976</v>
      </c>
      <c r="AE159" s="80"/>
      <c r="AF159" s="40">
        <v>0</v>
      </c>
      <c r="AG159" s="9">
        <f t="shared" si="72"/>
        <v>0</v>
      </c>
      <c r="AH159" s="11">
        <f t="shared" si="73"/>
        <v>0</v>
      </c>
      <c r="AI159" s="11">
        <f t="shared" si="74"/>
        <v>3074415</v>
      </c>
      <c r="AJ159" s="11">
        <f t="shared" si="75"/>
        <v>3074415</v>
      </c>
      <c r="AK159" s="36">
        <v>2612273</v>
      </c>
      <c r="AL159" s="36">
        <v>2640814.33</v>
      </c>
      <c r="AM159" s="36">
        <f t="shared" si="81"/>
        <v>462142</v>
      </c>
      <c r="AN159" s="68">
        <f t="shared" si="76"/>
        <v>3074415</v>
      </c>
      <c r="AO159" s="68">
        <f t="shared" si="82"/>
        <v>462142</v>
      </c>
      <c r="AP159" s="69">
        <f t="shared" si="77"/>
        <v>2690078.6672</v>
      </c>
      <c r="AQ159" s="36">
        <f t="shared" si="78"/>
        <v>49264.337199999951</v>
      </c>
      <c r="AR159" s="70">
        <f t="shared" si="79"/>
        <v>1.86549795039926E-2</v>
      </c>
      <c r="AS159" s="36"/>
      <c r="AT159" s="22"/>
      <c r="AV159" s="22"/>
      <c r="AW159" s="22"/>
      <c r="BA159" s="22"/>
      <c r="BB159" s="22"/>
      <c r="BC159" s="22"/>
      <c r="BD159" s="22"/>
      <c r="BE159" s="22"/>
    </row>
    <row r="160" spans="1:57" ht="15" x14ac:dyDescent="0.25">
      <c r="A160" s="8" t="s">
        <v>153</v>
      </c>
      <c r="B160" s="8"/>
      <c r="C160" s="26"/>
      <c r="D160" s="26"/>
      <c r="E160" s="26"/>
      <c r="F160" s="1">
        <v>9</v>
      </c>
      <c r="G160" s="71">
        <v>285.94277919372996</v>
      </c>
      <c r="H160" s="8">
        <v>134</v>
      </c>
      <c r="I160" s="3" t="s">
        <v>267</v>
      </c>
      <c r="J160" s="13">
        <f t="shared" si="61"/>
        <v>0</v>
      </c>
      <c r="K160" s="78">
        <v>1536.91</v>
      </c>
      <c r="L160" s="36"/>
      <c r="M160" s="35"/>
      <c r="N160" s="81">
        <v>617</v>
      </c>
      <c r="O160" s="67">
        <f t="shared" si="62"/>
        <v>0.40145486723360507</v>
      </c>
      <c r="P160" s="67">
        <f t="shared" si="63"/>
        <v>0</v>
      </c>
      <c r="Q160" s="36">
        <f t="shared" si="64"/>
        <v>0</v>
      </c>
      <c r="R160" s="36">
        <f t="shared" si="80"/>
        <v>0</v>
      </c>
      <c r="S160" s="79">
        <v>3</v>
      </c>
      <c r="T160" s="37">
        <f t="shared" si="65"/>
        <v>185.1</v>
      </c>
      <c r="U160" s="9">
        <f t="shared" si="66"/>
        <v>1722.46</v>
      </c>
      <c r="V160" s="73">
        <v>1130528635</v>
      </c>
      <c r="W160" s="73">
        <v>11758</v>
      </c>
      <c r="X160" s="18">
        <f t="shared" si="67"/>
        <v>96149.74</v>
      </c>
      <c r="Y160" s="38">
        <f t="shared" si="68"/>
        <v>0.52139999999999997</v>
      </c>
      <c r="Z160" s="73">
        <v>63681</v>
      </c>
      <c r="AA160" s="38">
        <f t="shared" si="69"/>
        <v>0.57029200000000002</v>
      </c>
      <c r="AB160" s="38">
        <f t="shared" si="70"/>
        <v>0.46393200000000001</v>
      </c>
      <c r="AC160" s="39">
        <f t="shared" si="71"/>
        <v>0.46393200000000001</v>
      </c>
      <c r="AD160" s="39">
        <f>IF(G160&gt;300,+AC160+$AD$17,AC160)</f>
        <v>0.46393200000000001</v>
      </c>
      <c r="AE160" s="80"/>
      <c r="AF160" s="40">
        <v>0</v>
      </c>
      <c r="AG160" s="9">
        <f t="shared" si="72"/>
        <v>0</v>
      </c>
      <c r="AH160" s="11">
        <f t="shared" si="73"/>
        <v>0</v>
      </c>
      <c r="AI160" s="11">
        <f t="shared" si="74"/>
        <v>9209677</v>
      </c>
      <c r="AJ160" s="11">
        <f t="shared" si="75"/>
        <v>9209677</v>
      </c>
      <c r="AK160" s="36">
        <v>9790490</v>
      </c>
      <c r="AL160" s="36">
        <v>9675670.25</v>
      </c>
      <c r="AM160" s="36">
        <f t="shared" si="81"/>
        <v>-580813</v>
      </c>
      <c r="AN160" s="68">
        <f t="shared" si="76"/>
        <v>9209677</v>
      </c>
      <c r="AO160" s="68">
        <f t="shared" si="82"/>
        <v>-580813</v>
      </c>
      <c r="AP160" s="69">
        <f t="shared" si="77"/>
        <v>9627288.5271000005</v>
      </c>
      <c r="AQ160" s="36">
        <f t="shared" si="78"/>
        <v>-48381.72289999947</v>
      </c>
      <c r="AR160" s="70">
        <f t="shared" si="79"/>
        <v>-5.0003484668154612E-3</v>
      </c>
      <c r="AS160" s="36"/>
      <c r="AT160" s="22"/>
      <c r="AV160" s="22"/>
      <c r="AW160" s="22"/>
      <c r="BA160" s="22"/>
      <c r="BB160" s="22"/>
      <c r="BC160" s="22"/>
      <c r="BD160" s="22"/>
      <c r="BE160" s="22"/>
    </row>
    <row r="161" spans="1:57" ht="15" x14ac:dyDescent="0.25">
      <c r="A161" s="8" t="s">
        <v>127</v>
      </c>
      <c r="B161" s="8">
        <v>1</v>
      </c>
      <c r="C161" s="26">
        <v>1</v>
      </c>
      <c r="D161" s="26">
        <v>1</v>
      </c>
      <c r="E161" s="26"/>
      <c r="F161" s="1">
        <v>2</v>
      </c>
      <c r="G161" s="66">
        <v>218.14536878126304</v>
      </c>
      <c r="H161" s="8">
        <v>135</v>
      </c>
      <c r="I161" s="3" t="s">
        <v>268</v>
      </c>
      <c r="J161" s="13">
        <f t="shared" si="61"/>
        <v>0</v>
      </c>
      <c r="K161" s="78">
        <v>15584.99</v>
      </c>
      <c r="L161" s="36"/>
      <c r="M161" s="35"/>
      <c r="N161" s="81">
        <v>9056</v>
      </c>
      <c r="O161" s="67">
        <f t="shared" si="62"/>
        <v>0.58107191599096308</v>
      </c>
      <c r="P161" s="67">
        <f t="shared" si="63"/>
        <v>0</v>
      </c>
      <c r="Q161" s="36">
        <f t="shared" si="64"/>
        <v>0</v>
      </c>
      <c r="R161" s="36">
        <f t="shared" si="80"/>
        <v>0</v>
      </c>
      <c r="S161" s="79">
        <v>2050</v>
      </c>
      <c r="T161" s="37">
        <f t="shared" si="65"/>
        <v>2716.8</v>
      </c>
      <c r="U161" s="9">
        <f t="shared" si="66"/>
        <v>18609.29</v>
      </c>
      <c r="V161" s="73">
        <v>32636212719</v>
      </c>
      <c r="W161" s="73">
        <v>129113</v>
      </c>
      <c r="X161" s="18">
        <f t="shared" si="67"/>
        <v>252772.48000000001</v>
      </c>
      <c r="Y161" s="38">
        <f t="shared" si="68"/>
        <v>1.3707309999999999</v>
      </c>
      <c r="Z161" s="73">
        <v>81634</v>
      </c>
      <c r="AA161" s="38">
        <f t="shared" si="69"/>
        <v>0.73106899999999997</v>
      </c>
      <c r="AB161" s="38">
        <f t="shared" si="70"/>
        <v>-0.17883199999999999</v>
      </c>
      <c r="AC161" s="39">
        <f t="shared" si="71"/>
        <v>0.1</v>
      </c>
      <c r="AD161" s="39">
        <f>IF(G161&gt;300,+AC161+$AD$17,AC161)</f>
        <v>0.1</v>
      </c>
      <c r="AE161" s="80"/>
      <c r="AF161" s="40">
        <v>0</v>
      </c>
      <c r="AG161" s="9">
        <f t="shared" si="72"/>
        <v>0</v>
      </c>
      <c r="AH161" s="11">
        <f t="shared" si="73"/>
        <v>0</v>
      </c>
      <c r="AI161" s="11">
        <f t="shared" si="74"/>
        <v>21447207</v>
      </c>
      <c r="AJ161" s="11">
        <f t="shared" si="75"/>
        <v>21447207</v>
      </c>
      <c r="AK161" s="36">
        <v>10803759</v>
      </c>
      <c r="AL161" s="36">
        <v>11228324.865</v>
      </c>
      <c r="AM161" s="36">
        <f t="shared" si="81"/>
        <v>10643448</v>
      </c>
      <c r="AN161" s="68">
        <f t="shared" si="76"/>
        <v>21447207</v>
      </c>
      <c r="AO161" s="68">
        <f t="shared" si="82"/>
        <v>10643448</v>
      </c>
      <c r="AP161" s="69">
        <f t="shared" si="77"/>
        <v>12362916.421800001</v>
      </c>
      <c r="AQ161" s="36">
        <f t="shared" si="78"/>
        <v>1134591.5568000004</v>
      </c>
      <c r="AR161" s="70">
        <f t="shared" si="79"/>
        <v>0.10104726844310095</v>
      </c>
      <c r="AS161" s="36"/>
      <c r="AT161" s="22"/>
      <c r="AV161" s="22"/>
      <c r="AW161" s="22"/>
      <c r="BA161" s="22"/>
      <c r="BB161" s="22"/>
      <c r="BC161" s="22"/>
      <c r="BD161" s="22"/>
      <c r="BE161" s="22"/>
    </row>
    <row r="162" spans="1:57" ht="15" x14ac:dyDescent="0.25">
      <c r="A162" s="8" t="s">
        <v>153</v>
      </c>
      <c r="B162" s="8"/>
      <c r="C162" s="26"/>
      <c r="D162" s="26"/>
      <c r="E162" s="26"/>
      <c r="F162" s="1">
        <v>9</v>
      </c>
      <c r="G162" s="71">
        <v>303.31011438393699</v>
      </c>
      <c r="H162" s="8">
        <v>136</v>
      </c>
      <c r="I162" s="3" t="s">
        <v>269</v>
      </c>
      <c r="J162" s="13">
        <f t="shared" si="61"/>
        <v>0</v>
      </c>
      <c r="K162" s="78">
        <v>500.36</v>
      </c>
      <c r="L162" s="36"/>
      <c r="M162" s="35"/>
      <c r="N162" s="81">
        <v>199</v>
      </c>
      <c r="O162" s="67">
        <f t="shared" si="62"/>
        <v>0.39771364617475419</v>
      </c>
      <c r="P162" s="67">
        <f t="shared" si="63"/>
        <v>0</v>
      </c>
      <c r="Q162" s="36">
        <f t="shared" si="64"/>
        <v>0</v>
      </c>
      <c r="R162" s="36">
        <f t="shared" si="80"/>
        <v>0</v>
      </c>
      <c r="S162" s="79"/>
      <c r="T162" s="37">
        <f t="shared" si="65"/>
        <v>59.7</v>
      </c>
      <c r="U162" s="9">
        <f t="shared" si="66"/>
        <v>560.06000000000006</v>
      </c>
      <c r="V162" s="73">
        <v>334144084</v>
      </c>
      <c r="W162" s="73">
        <v>3741</v>
      </c>
      <c r="X162" s="18">
        <f t="shared" si="67"/>
        <v>89319.46</v>
      </c>
      <c r="Y162" s="38">
        <f t="shared" si="68"/>
        <v>0.48436000000000001</v>
      </c>
      <c r="Z162" s="73">
        <v>68776</v>
      </c>
      <c r="AA162" s="38">
        <f t="shared" si="69"/>
        <v>0.61592000000000002</v>
      </c>
      <c r="AB162" s="38">
        <f t="shared" si="70"/>
        <v>0.47617199999999998</v>
      </c>
      <c r="AC162" s="39">
        <f t="shared" si="71"/>
        <v>0.47617199999999998</v>
      </c>
      <c r="AD162" s="39">
        <f>IF(G162&gt;300,+AC162+$AD$19,AC162)</f>
        <v>0.50617199999999996</v>
      </c>
      <c r="AE162" s="80"/>
      <c r="AF162" s="40">
        <v>0</v>
      </c>
      <c r="AG162" s="9">
        <f t="shared" si="72"/>
        <v>0</v>
      </c>
      <c r="AH162" s="11">
        <f t="shared" si="73"/>
        <v>0</v>
      </c>
      <c r="AI162" s="11">
        <f t="shared" si="74"/>
        <v>3267184</v>
      </c>
      <c r="AJ162" s="11">
        <f t="shared" si="75"/>
        <v>3267184</v>
      </c>
      <c r="AK162" s="36">
        <v>3196216</v>
      </c>
      <c r="AL162" s="36">
        <v>3200473.44</v>
      </c>
      <c r="AM162" s="36">
        <f t="shared" si="81"/>
        <v>70968</v>
      </c>
      <c r="AN162" s="68">
        <f t="shared" si="76"/>
        <v>3267184</v>
      </c>
      <c r="AO162" s="68">
        <f t="shared" si="82"/>
        <v>70968</v>
      </c>
      <c r="AP162" s="69">
        <f t="shared" si="77"/>
        <v>3208038.6288000001</v>
      </c>
      <c r="AQ162" s="36">
        <f t="shared" si="78"/>
        <v>7565.18880000012</v>
      </c>
      <c r="AR162" s="70">
        <f t="shared" si="79"/>
        <v>2.3637717799651916E-3</v>
      </c>
      <c r="AS162" s="36"/>
      <c r="AT162" s="22"/>
      <c r="AV162" s="22"/>
      <c r="AW162" s="22"/>
      <c r="BA162" s="22"/>
      <c r="BB162" s="22"/>
      <c r="BC162" s="22"/>
      <c r="BD162" s="22"/>
      <c r="BE162" s="22"/>
    </row>
    <row r="163" spans="1:57" ht="15" x14ac:dyDescent="0.25">
      <c r="A163" s="8" t="s">
        <v>135</v>
      </c>
      <c r="B163" s="8"/>
      <c r="C163" s="26"/>
      <c r="D163" s="26"/>
      <c r="E163" s="26"/>
      <c r="F163" s="1">
        <v>3</v>
      </c>
      <c r="G163" s="66">
        <v>209.03615075568842</v>
      </c>
      <c r="H163" s="8">
        <v>137</v>
      </c>
      <c r="I163" s="3" t="s">
        <v>270</v>
      </c>
      <c r="J163" s="13">
        <f t="shared" si="61"/>
        <v>0</v>
      </c>
      <c r="K163" s="78">
        <v>2131.27</v>
      </c>
      <c r="L163" s="36"/>
      <c r="M163" s="35"/>
      <c r="N163" s="81">
        <v>574</v>
      </c>
      <c r="O163" s="67">
        <f t="shared" si="62"/>
        <v>0.26932298582535297</v>
      </c>
      <c r="P163" s="67">
        <f t="shared" si="63"/>
        <v>0</v>
      </c>
      <c r="Q163" s="36">
        <f t="shared" si="64"/>
        <v>0</v>
      </c>
      <c r="R163" s="36">
        <f t="shared" si="80"/>
        <v>0</v>
      </c>
      <c r="S163" s="79">
        <v>17</v>
      </c>
      <c r="T163" s="37">
        <f t="shared" si="65"/>
        <v>172.2</v>
      </c>
      <c r="U163" s="9">
        <f t="shared" si="66"/>
        <v>2306.02</v>
      </c>
      <c r="V163" s="73">
        <v>3974566946</v>
      </c>
      <c r="W163" s="73">
        <v>18647</v>
      </c>
      <c r="X163" s="18">
        <f t="shared" si="67"/>
        <v>213147.8</v>
      </c>
      <c r="Y163" s="38">
        <f t="shared" si="68"/>
        <v>1.1558550000000001</v>
      </c>
      <c r="Z163" s="73">
        <v>78274</v>
      </c>
      <c r="AA163" s="38">
        <f t="shared" si="69"/>
        <v>0.70097900000000002</v>
      </c>
      <c r="AB163" s="38">
        <f t="shared" si="70"/>
        <v>-1.9392E-2</v>
      </c>
      <c r="AC163" s="39">
        <f t="shared" si="71"/>
        <v>0.01</v>
      </c>
      <c r="AD163" s="39">
        <f t="shared" ref="AD163:AD168" si="83">IF(G163&gt;300,+AC163+$AD$17,AC163)</f>
        <v>0.01</v>
      </c>
      <c r="AE163" s="80"/>
      <c r="AF163" s="40">
        <v>0</v>
      </c>
      <c r="AG163" s="9">
        <f t="shared" si="72"/>
        <v>0</v>
      </c>
      <c r="AH163" s="11">
        <f t="shared" si="73"/>
        <v>0</v>
      </c>
      <c r="AI163" s="11">
        <f t="shared" si="74"/>
        <v>265769</v>
      </c>
      <c r="AJ163" s="11">
        <f t="shared" si="75"/>
        <v>265769</v>
      </c>
      <c r="AK163" s="36">
        <v>1649159</v>
      </c>
      <c r="AL163" s="36">
        <v>1304052.25</v>
      </c>
      <c r="AM163" s="36">
        <f t="shared" si="81"/>
        <v>-1383390</v>
      </c>
      <c r="AN163" s="68">
        <f t="shared" si="76"/>
        <v>265769</v>
      </c>
      <c r="AO163" s="68">
        <f t="shared" si="82"/>
        <v>-1383390</v>
      </c>
      <c r="AP163" s="69">
        <f t="shared" si="77"/>
        <v>1188815.8629999999</v>
      </c>
      <c r="AQ163" s="36">
        <f t="shared" si="78"/>
        <v>-115236.3870000001</v>
      </c>
      <c r="AR163" s="70">
        <f t="shared" si="79"/>
        <v>-8.8367921607435673E-2</v>
      </c>
      <c r="AS163" s="36"/>
      <c r="AT163" s="22"/>
      <c r="AV163" s="22"/>
      <c r="AW163" s="22"/>
      <c r="BA163" s="22"/>
      <c r="BB163" s="22"/>
      <c r="BC163" s="22"/>
      <c r="BD163" s="22"/>
      <c r="BE163" s="22"/>
    </row>
    <row r="164" spans="1:57" ht="15" x14ac:dyDescent="0.25">
      <c r="A164" s="8" t="s">
        <v>140</v>
      </c>
      <c r="B164" s="8"/>
      <c r="C164" s="26"/>
      <c r="D164" s="26"/>
      <c r="E164" s="26"/>
      <c r="F164" s="1">
        <v>8</v>
      </c>
      <c r="G164" s="71">
        <v>279.70853543103243</v>
      </c>
      <c r="H164" s="8">
        <v>138</v>
      </c>
      <c r="I164" s="3" t="s">
        <v>271</v>
      </c>
      <c r="J164" s="13">
        <f t="shared" si="61"/>
        <v>0</v>
      </c>
      <c r="K164" s="78">
        <v>7080.08</v>
      </c>
      <c r="L164" s="36"/>
      <c r="M164" s="35"/>
      <c r="N164" s="81">
        <v>3688</v>
      </c>
      <c r="O164" s="67">
        <f t="shared" si="62"/>
        <v>0.52089806894837343</v>
      </c>
      <c r="P164" s="67">
        <f t="shared" si="63"/>
        <v>0</v>
      </c>
      <c r="Q164" s="36">
        <f t="shared" si="64"/>
        <v>0</v>
      </c>
      <c r="R164" s="36">
        <f t="shared" si="80"/>
        <v>0</v>
      </c>
      <c r="S164" s="79">
        <v>406</v>
      </c>
      <c r="T164" s="37">
        <f t="shared" si="65"/>
        <v>1106.4000000000001</v>
      </c>
      <c r="U164" s="9">
        <f t="shared" si="66"/>
        <v>8247.3799999999992</v>
      </c>
      <c r="V164" s="73">
        <v>6535035030.3299999</v>
      </c>
      <c r="W164" s="73">
        <v>52148</v>
      </c>
      <c r="X164" s="18">
        <f t="shared" si="67"/>
        <v>125317.08</v>
      </c>
      <c r="Y164" s="38">
        <f t="shared" si="68"/>
        <v>0.67956799999999995</v>
      </c>
      <c r="Z164" s="73">
        <v>69336</v>
      </c>
      <c r="AA164" s="38">
        <f t="shared" si="69"/>
        <v>0.62093500000000001</v>
      </c>
      <c r="AB164" s="38">
        <f t="shared" si="70"/>
        <v>0.33802199999999999</v>
      </c>
      <c r="AC164" s="39">
        <f t="shared" si="71"/>
        <v>0.33802199999999999</v>
      </c>
      <c r="AD164" s="39">
        <f t="shared" si="83"/>
        <v>0.33802199999999999</v>
      </c>
      <c r="AE164" s="80"/>
      <c r="AF164" s="40">
        <v>0</v>
      </c>
      <c r="AG164" s="9">
        <f t="shared" si="72"/>
        <v>0</v>
      </c>
      <c r="AH164" s="11">
        <f t="shared" si="73"/>
        <v>0</v>
      </c>
      <c r="AI164" s="11">
        <f t="shared" si="74"/>
        <v>32129348</v>
      </c>
      <c r="AJ164" s="11">
        <f t="shared" si="75"/>
        <v>32129348</v>
      </c>
      <c r="AK164" s="36">
        <v>21461782</v>
      </c>
      <c r="AL164" s="36">
        <v>21887269.995999999</v>
      </c>
      <c r="AM164" s="36">
        <f t="shared" si="81"/>
        <v>10667566</v>
      </c>
      <c r="AN164" s="68">
        <f t="shared" si="76"/>
        <v>32129348</v>
      </c>
      <c r="AO164" s="68">
        <f t="shared" si="82"/>
        <v>10667566</v>
      </c>
      <c r="AP164" s="69">
        <f t="shared" si="77"/>
        <v>23024432.531599998</v>
      </c>
      <c r="AQ164" s="36">
        <f t="shared" si="78"/>
        <v>1137162.5355999991</v>
      </c>
      <c r="AR164" s="70">
        <f t="shared" si="79"/>
        <v>5.1955430522299992E-2</v>
      </c>
      <c r="AS164" s="36"/>
      <c r="AT164" s="22"/>
      <c r="AV164" s="22"/>
      <c r="AW164" s="22"/>
      <c r="BA164" s="22"/>
      <c r="BB164" s="22"/>
      <c r="BC164" s="22"/>
      <c r="BD164" s="22"/>
      <c r="BE164" s="22"/>
    </row>
    <row r="165" spans="1:57" ht="15" x14ac:dyDescent="0.25">
      <c r="A165" s="8" t="s">
        <v>125</v>
      </c>
      <c r="B165" s="8"/>
      <c r="C165" s="26"/>
      <c r="D165" s="26"/>
      <c r="E165" s="26"/>
      <c r="F165" s="1">
        <v>5</v>
      </c>
      <c r="G165" s="66">
        <v>224.84158030695627</v>
      </c>
      <c r="H165" s="8">
        <v>139</v>
      </c>
      <c r="I165" s="3" t="s">
        <v>272</v>
      </c>
      <c r="J165" s="13">
        <f t="shared" si="61"/>
        <v>0</v>
      </c>
      <c r="K165" s="78">
        <v>2075.2399999999998</v>
      </c>
      <c r="L165" s="36"/>
      <c r="M165" s="35"/>
      <c r="N165" s="81">
        <v>264</v>
      </c>
      <c r="O165" s="67">
        <f t="shared" si="62"/>
        <v>0.12721420173088416</v>
      </c>
      <c r="P165" s="67">
        <f t="shared" si="63"/>
        <v>0</v>
      </c>
      <c r="Q165" s="36">
        <f t="shared" si="64"/>
        <v>0</v>
      </c>
      <c r="R165" s="36">
        <f t="shared" si="80"/>
        <v>0</v>
      </c>
      <c r="S165" s="79">
        <v>26</v>
      </c>
      <c r="T165" s="37">
        <f t="shared" si="65"/>
        <v>79.2</v>
      </c>
      <c r="U165" s="9">
        <f t="shared" si="66"/>
        <v>2158.3399999999997</v>
      </c>
      <c r="V165" s="73">
        <v>2019809915</v>
      </c>
      <c r="W165" s="73">
        <v>15625</v>
      </c>
      <c r="X165" s="18">
        <f t="shared" si="67"/>
        <v>129267.83</v>
      </c>
      <c r="Y165" s="38">
        <f t="shared" si="68"/>
        <v>0.70099199999999995</v>
      </c>
      <c r="Z165" s="73">
        <v>99098</v>
      </c>
      <c r="AA165" s="38">
        <f t="shared" si="69"/>
        <v>0.88746700000000001</v>
      </c>
      <c r="AB165" s="38">
        <f t="shared" si="70"/>
        <v>0.243066</v>
      </c>
      <c r="AC165" s="39">
        <f t="shared" si="71"/>
        <v>0.243066</v>
      </c>
      <c r="AD165" s="39">
        <f t="shared" si="83"/>
        <v>0.243066</v>
      </c>
      <c r="AE165" s="80"/>
      <c r="AF165" s="40">
        <v>0</v>
      </c>
      <c r="AG165" s="9">
        <f t="shared" si="72"/>
        <v>0</v>
      </c>
      <c r="AH165" s="11">
        <f t="shared" si="73"/>
        <v>0</v>
      </c>
      <c r="AI165" s="11">
        <f t="shared" si="74"/>
        <v>6046235</v>
      </c>
      <c r="AJ165" s="11">
        <f t="shared" si="75"/>
        <v>6046235</v>
      </c>
      <c r="AK165" s="36">
        <v>6221145</v>
      </c>
      <c r="AL165" s="36">
        <v>6196188.25</v>
      </c>
      <c r="AM165" s="36">
        <f t="shared" si="81"/>
        <v>-174910</v>
      </c>
      <c r="AN165" s="68">
        <f t="shared" si="76"/>
        <v>6046235</v>
      </c>
      <c r="AO165" s="68">
        <f t="shared" si="82"/>
        <v>-174910</v>
      </c>
      <c r="AP165" s="69">
        <f t="shared" si="77"/>
        <v>6181618.2470000004</v>
      </c>
      <c r="AQ165" s="36">
        <f t="shared" si="78"/>
        <v>-14570.00299999956</v>
      </c>
      <c r="AR165" s="70">
        <f t="shared" si="79"/>
        <v>-2.3514461491707518E-3</v>
      </c>
      <c r="AS165" s="36"/>
      <c r="AT165" s="22"/>
      <c r="AV165" s="22"/>
      <c r="AW165" s="22"/>
      <c r="BA165" s="22"/>
      <c r="BB165" s="22"/>
      <c r="BC165" s="22"/>
      <c r="BD165" s="22"/>
      <c r="BE165" s="22"/>
    </row>
    <row r="166" spans="1:57" ht="15" x14ac:dyDescent="0.25">
      <c r="A166" s="8" t="s">
        <v>129</v>
      </c>
      <c r="B166" s="8"/>
      <c r="C166" s="26"/>
      <c r="D166" s="26"/>
      <c r="E166" s="26"/>
      <c r="F166" s="1">
        <v>9</v>
      </c>
      <c r="G166" s="71">
        <v>255.13456865561227</v>
      </c>
      <c r="H166" s="8">
        <v>140</v>
      </c>
      <c r="I166" s="3" t="s">
        <v>273</v>
      </c>
      <c r="J166" s="13">
        <f t="shared" si="61"/>
        <v>0</v>
      </c>
      <c r="K166" s="78">
        <v>969.29</v>
      </c>
      <c r="L166" s="36"/>
      <c r="M166" s="35"/>
      <c r="N166" s="81">
        <v>286</v>
      </c>
      <c r="O166" s="67">
        <f t="shared" si="62"/>
        <v>0.29506133355342573</v>
      </c>
      <c r="P166" s="67">
        <f t="shared" si="63"/>
        <v>0</v>
      </c>
      <c r="Q166" s="36">
        <f t="shared" si="64"/>
        <v>0</v>
      </c>
      <c r="R166" s="36">
        <f t="shared" si="80"/>
        <v>0</v>
      </c>
      <c r="S166" s="79">
        <v>14</v>
      </c>
      <c r="T166" s="37">
        <f t="shared" si="65"/>
        <v>85.8</v>
      </c>
      <c r="U166" s="9">
        <f t="shared" si="66"/>
        <v>1057.1899999999998</v>
      </c>
      <c r="V166" s="73">
        <v>773591657.33000004</v>
      </c>
      <c r="W166" s="73">
        <v>7595</v>
      </c>
      <c r="X166" s="18">
        <f t="shared" si="67"/>
        <v>101855.39</v>
      </c>
      <c r="Y166" s="38">
        <f t="shared" si="68"/>
        <v>0.55234000000000005</v>
      </c>
      <c r="Z166" s="73">
        <v>65901</v>
      </c>
      <c r="AA166" s="38">
        <f t="shared" si="69"/>
        <v>0.59017299999999995</v>
      </c>
      <c r="AB166" s="38">
        <f t="shared" si="70"/>
        <v>0.43630999999999998</v>
      </c>
      <c r="AC166" s="39">
        <f t="shared" si="71"/>
        <v>0.43630999999999998</v>
      </c>
      <c r="AD166" s="39">
        <f t="shared" si="83"/>
        <v>0.43630999999999998</v>
      </c>
      <c r="AE166" s="80"/>
      <c r="AF166" s="40">
        <v>0</v>
      </c>
      <c r="AG166" s="9">
        <f t="shared" si="72"/>
        <v>0</v>
      </c>
      <c r="AH166" s="11">
        <f t="shared" si="73"/>
        <v>0</v>
      </c>
      <c r="AI166" s="11">
        <f t="shared" si="74"/>
        <v>5316051</v>
      </c>
      <c r="AJ166" s="11">
        <f t="shared" si="75"/>
        <v>5316051</v>
      </c>
      <c r="AK166" s="36">
        <v>5624815</v>
      </c>
      <c r="AL166" s="36">
        <v>5525825</v>
      </c>
      <c r="AM166" s="36">
        <f t="shared" si="81"/>
        <v>-308764</v>
      </c>
      <c r="AN166" s="68">
        <f t="shared" si="76"/>
        <v>5316051</v>
      </c>
      <c r="AO166" s="68">
        <f t="shared" si="82"/>
        <v>-308764</v>
      </c>
      <c r="AP166" s="69">
        <f t="shared" si="77"/>
        <v>5500104.9588000001</v>
      </c>
      <c r="AQ166" s="36">
        <f t="shared" si="78"/>
        <v>-25720.041199999861</v>
      </c>
      <c r="AR166" s="70">
        <f t="shared" si="79"/>
        <v>-4.654516058688044E-3</v>
      </c>
      <c r="AS166" s="36"/>
      <c r="AT166" s="22"/>
      <c r="AV166" s="22"/>
      <c r="AW166" s="22"/>
      <c r="BA166" s="22"/>
      <c r="BB166" s="22"/>
      <c r="BC166" s="22"/>
      <c r="BD166" s="22"/>
      <c r="BE166" s="22"/>
    </row>
    <row r="167" spans="1:57" ht="15" x14ac:dyDescent="0.25">
      <c r="A167" s="8" t="s">
        <v>153</v>
      </c>
      <c r="B167" s="8"/>
      <c r="C167" s="26">
        <v>1</v>
      </c>
      <c r="D167" s="26"/>
      <c r="E167" s="26"/>
      <c r="F167" s="1">
        <v>9</v>
      </c>
      <c r="G167" s="66">
        <v>250.7764350117676</v>
      </c>
      <c r="H167" s="8">
        <v>141</v>
      </c>
      <c r="I167" s="3" t="s">
        <v>274</v>
      </c>
      <c r="J167" s="13">
        <f t="shared" si="61"/>
        <v>0</v>
      </c>
      <c r="K167" s="78">
        <v>1015.91</v>
      </c>
      <c r="L167" s="36"/>
      <c r="M167" s="35"/>
      <c r="N167" s="81">
        <v>460</v>
      </c>
      <c r="O167" s="67">
        <f t="shared" si="62"/>
        <v>0.45279601539506453</v>
      </c>
      <c r="P167" s="67">
        <f t="shared" si="63"/>
        <v>0</v>
      </c>
      <c r="Q167" s="36">
        <f t="shared" si="64"/>
        <v>0</v>
      </c>
      <c r="R167" s="36">
        <f t="shared" si="80"/>
        <v>0</v>
      </c>
      <c r="S167" s="79">
        <v>3</v>
      </c>
      <c r="T167" s="37">
        <f t="shared" si="65"/>
        <v>138</v>
      </c>
      <c r="U167" s="9">
        <f t="shared" si="66"/>
        <v>1154.3599999999999</v>
      </c>
      <c r="V167" s="73">
        <v>918875056</v>
      </c>
      <c r="W167" s="73">
        <v>9266</v>
      </c>
      <c r="X167" s="18">
        <f t="shared" si="67"/>
        <v>99166.31</v>
      </c>
      <c r="Y167" s="38">
        <f t="shared" si="68"/>
        <v>0.53775799999999996</v>
      </c>
      <c r="Z167" s="73">
        <v>68869</v>
      </c>
      <c r="AA167" s="38">
        <f t="shared" si="69"/>
        <v>0.616753</v>
      </c>
      <c r="AB167" s="38">
        <f t="shared" si="70"/>
        <v>0.43854399999999999</v>
      </c>
      <c r="AC167" s="39">
        <f t="shared" si="71"/>
        <v>0.43854399999999999</v>
      </c>
      <c r="AD167" s="39">
        <f t="shared" si="83"/>
        <v>0.43854399999999999</v>
      </c>
      <c r="AE167" s="80"/>
      <c r="AF167" s="40">
        <v>0</v>
      </c>
      <c r="AG167" s="9">
        <f t="shared" si="72"/>
        <v>0</v>
      </c>
      <c r="AH167" s="11">
        <f t="shared" si="73"/>
        <v>0</v>
      </c>
      <c r="AI167" s="11">
        <f t="shared" si="74"/>
        <v>5834389</v>
      </c>
      <c r="AJ167" s="11">
        <f t="shared" si="75"/>
        <v>5834389</v>
      </c>
      <c r="AK167" s="36">
        <v>7534704</v>
      </c>
      <c r="AL167" s="36">
        <v>7534704</v>
      </c>
      <c r="AM167" s="36">
        <f t="shared" si="81"/>
        <v>-1700315</v>
      </c>
      <c r="AN167" s="68">
        <f t="shared" si="76"/>
        <v>7534704</v>
      </c>
      <c r="AO167" s="68">
        <f t="shared" si="82"/>
        <v>0</v>
      </c>
      <c r="AP167" s="69">
        <f t="shared" si="77"/>
        <v>7534704</v>
      </c>
      <c r="AQ167" s="36">
        <f t="shared" si="78"/>
        <v>0</v>
      </c>
      <c r="AR167" s="70">
        <f t="shared" si="79"/>
        <v>0</v>
      </c>
      <c r="AS167" s="36"/>
      <c r="AT167" s="22"/>
      <c r="AV167" s="22"/>
      <c r="AW167" s="22"/>
      <c r="BA167" s="22"/>
      <c r="BB167" s="22"/>
      <c r="BC167" s="22"/>
      <c r="BD167" s="22"/>
      <c r="BE167" s="22"/>
    </row>
    <row r="168" spans="1:57" ht="15" x14ac:dyDescent="0.25">
      <c r="A168" s="8" t="s">
        <v>125</v>
      </c>
      <c r="B168" s="8"/>
      <c r="C168" s="26"/>
      <c r="D168" s="26"/>
      <c r="E168" s="26"/>
      <c r="F168" s="1">
        <v>5</v>
      </c>
      <c r="G168" s="66">
        <v>216.23936178687032</v>
      </c>
      <c r="H168" s="8">
        <v>142</v>
      </c>
      <c r="I168" s="3" t="s">
        <v>275</v>
      </c>
      <c r="J168" s="13">
        <f t="shared" si="61"/>
        <v>0</v>
      </c>
      <c r="K168" s="78">
        <v>2476.09</v>
      </c>
      <c r="L168" s="36"/>
      <c r="M168" s="35"/>
      <c r="N168" s="81">
        <v>317</v>
      </c>
      <c r="O168" s="67">
        <f t="shared" si="62"/>
        <v>0.12802442560650057</v>
      </c>
      <c r="P168" s="67">
        <f t="shared" si="63"/>
        <v>0</v>
      </c>
      <c r="Q168" s="36">
        <f t="shared" si="64"/>
        <v>0</v>
      </c>
      <c r="R168" s="36">
        <f t="shared" si="80"/>
        <v>0</v>
      </c>
      <c r="S168" s="79">
        <v>16</v>
      </c>
      <c r="T168" s="37">
        <f t="shared" si="65"/>
        <v>95.1</v>
      </c>
      <c r="U168" s="9">
        <f t="shared" si="66"/>
        <v>2573.59</v>
      </c>
      <c r="V168" s="73">
        <v>1820592524</v>
      </c>
      <c r="W168" s="73">
        <v>14791</v>
      </c>
      <c r="X168" s="18">
        <f t="shared" si="67"/>
        <v>123087.86</v>
      </c>
      <c r="Y168" s="38">
        <f t="shared" si="68"/>
        <v>0.66747900000000004</v>
      </c>
      <c r="Z168" s="73">
        <v>109382</v>
      </c>
      <c r="AA168" s="38">
        <f t="shared" si="69"/>
        <v>0.97956500000000002</v>
      </c>
      <c r="AB168" s="38">
        <f t="shared" si="70"/>
        <v>0.238895</v>
      </c>
      <c r="AC168" s="39">
        <f t="shared" si="71"/>
        <v>0.238895</v>
      </c>
      <c r="AD168" s="39">
        <f t="shared" si="83"/>
        <v>0.238895</v>
      </c>
      <c r="AE168" s="80"/>
      <c r="AF168" s="40">
        <v>0</v>
      </c>
      <c r="AG168" s="9">
        <f t="shared" si="72"/>
        <v>0</v>
      </c>
      <c r="AH168" s="11">
        <f t="shared" si="73"/>
        <v>0</v>
      </c>
      <c r="AI168" s="11">
        <f t="shared" si="74"/>
        <v>7085775</v>
      </c>
      <c r="AJ168" s="11">
        <f t="shared" si="75"/>
        <v>7085775</v>
      </c>
      <c r="AK168" s="36">
        <v>10699177</v>
      </c>
      <c r="AL168" s="36">
        <v>9736833</v>
      </c>
      <c r="AM168" s="36">
        <f t="shared" si="81"/>
        <v>-3613402</v>
      </c>
      <c r="AN168" s="68">
        <f t="shared" si="76"/>
        <v>7085775</v>
      </c>
      <c r="AO168" s="68">
        <f t="shared" si="82"/>
        <v>-3613402</v>
      </c>
      <c r="AP168" s="69">
        <f t="shared" si="77"/>
        <v>9435836.6133999992</v>
      </c>
      <c r="AQ168" s="36">
        <f t="shared" si="78"/>
        <v>-300996.38660000078</v>
      </c>
      <c r="AR168" s="70">
        <f t="shared" si="79"/>
        <v>-3.0913171315560282E-2</v>
      </c>
      <c r="AS168" s="36"/>
      <c r="AT168" s="22"/>
      <c r="AV168" s="22"/>
      <c r="AW168" s="22"/>
      <c r="BA168" s="22"/>
      <c r="BB168" s="22"/>
      <c r="BC168" s="22"/>
      <c r="BD168" s="22"/>
      <c r="BE168" s="22"/>
    </row>
    <row r="169" spans="1:57" ht="15" x14ac:dyDescent="0.25">
      <c r="A169" s="8" t="s">
        <v>140</v>
      </c>
      <c r="B169" s="8"/>
      <c r="C169" s="26">
        <v>1</v>
      </c>
      <c r="D169" s="26"/>
      <c r="E169" s="26"/>
      <c r="F169" s="1">
        <v>10</v>
      </c>
      <c r="G169" s="71">
        <v>302.81153524981949</v>
      </c>
      <c r="H169" s="8">
        <v>143</v>
      </c>
      <c r="I169" s="3" t="s">
        <v>276</v>
      </c>
      <c r="J169" s="13">
        <f t="shared" si="61"/>
        <v>0</v>
      </c>
      <c r="K169" s="78">
        <v>4322.24</v>
      </c>
      <c r="L169" s="36"/>
      <c r="M169" s="35"/>
      <c r="N169" s="81">
        <v>2733</v>
      </c>
      <c r="O169" s="67">
        <f t="shared" si="62"/>
        <v>0.63231102391352634</v>
      </c>
      <c r="P169" s="67">
        <f t="shared" si="63"/>
        <v>0</v>
      </c>
      <c r="Q169" s="36">
        <f t="shared" si="64"/>
        <v>0</v>
      </c>
      <c r="R169" s="36">
        <f t="shared" si="80"/>
        <v>0</v>
      </c>
      <c r="S169" s="79">
        <v>373</v>
      </c>
      <c r="T169" s="37">
        <f t="shared" si="65"/>
        <v>819.9</v>
      </c>
      <c r="U169" s="9">
        <f t="shared" si="66"/>
        <v>5198.0899999999992</v>
      </c>
      <c r="V169" s="73">
        <v>2771303566.3299999</v>
      </c>
      <c r="W169" s="73">
        <v>34646</v>
      </c>
      <c r="X169" s="18">
        <f t="shared" si="67"/>
        <v>79989.13</v>
      </c>
      <c r="Y169" s="38">
        <f t="shared" si="68"/>
        <v>0.43376399999999998</v>
      </c>
      <c r="Z169" s="73">
        <v>58717</v>
      </c>
      <c r="AA169" s="38">
        <f t="shared" si="69"/>
        <v>0.525837</v>
      </c>
      <c r="AB169" s="38">
        <f t="shared" si="70"/>
        <v>0.53861400000000004</v>
      </c>
      <c r="AC169" s="39">
        <f t="shared" si="71"/>
        <v>0.53861400000000004</v>
      </c>
      <c r="AD169" s="39">
        <f>IF(G169&gt;300,+AC169+$AD$19,AC169)</f>
        <v>0.56861400000000006</v>
      </c>
      <c r="AE169" s="80"/>
      <c r="AF169" s="40">
        <v>0</v>
      </c>
      <c r="AG169" s="9">
        <f t="shared" si="72"/>
        <v>0</v>
      </c>
      <c r="AH169" s="11">
        <f t="shared" si="73"/>
        <v>0</v>
      </c>
      <c r="AI169" s="11">
        <f t="shared" si="74"/>
        <v>34064520</v>
      </c>
      <c r="AJ169" s="11">
        <f t="shared" si="75"/>
        <v>34064520</v>
      </c>
      <c r="AK169" s="36">
        <v>24482865</v>
      </c>
      <c r="AL169" s="36">
        <v>24837719.015999999</v>
      </c>
      <c r="AM169" s="36">
        <f t="shared" si="81"/>
        <v>9581655</v>
      </c>
      <c r="AN169" s="68">
        <f t="shared" si="76"/>
        <v>34064520</v>
      </c>
      <c r="AO169" s="68">
        <f t="shared" si="82"/>
        <v>9581655</v>
      </c>
      <c r="AP169" s="69">
        <f t="shared" si="77"/>
        <v>25859123.438999999</v>
      </c>
      <c r="AQ169" s="36">
        <f t="shared" si="78"/>
        <v>1021404.4230000004</v>
      </c>
      <c r="AR169" s="70">
        <f t="shared" si="79"/>
        <v>4.1123116915125359E-2</v>
      </c>
      <c r="AS169" s="36"/>
      <c r="AT169" s="22"/>
      <c r="AV169" s="22"/>
      <c r="AW169" s="22"/>
      <c r="BA169" s="22"/>
      <c r="BB169" s="22"/>
      <c r="BC169" s="22"/>
      <c r="BD169" s="22"/>
      <c r="BE169" s="22"/>
    </row>
    <row r="170" spans="1:57" ht="15" x14ac:dyDescent="0.25">
      <c r="A170" s="8" t="s">
        <v>131</v>
      </c>
      <c r="B170" s="8"/>
      <c r="C170" s="26"/>
      <c r="D170" s="26"/>
      <c r="E170" s="26"/>
      <c r="F170" s="1">
        <v>3</v>
      </c>
      <c r="G170" s="66">
        <v>217.6285489845896</v>
      </c>
      <c r="H170" s="8">
        <v>144</v>
      </c>
      <c r="I170" s="3" t="s">
        <v>277</v>
      </c>
      <c r="J170" s="13">
        <f t="shared" si="61"/>
        <v>0</v>
      </c>
      <c r="K170" s="78">
        <v>6550.04</v>
      </c>
      <c r="L170" s="36"/>
      <c r="M170" s="35"/>
      <c r="N170" s="81">
        <v>1091</v>
      </c>
      <c r="O170" s="67">
        <f t="shared" si="62"/>
        <v>0.16656386831225459</v>
      </c>
      <c r="P170" s="67">
        <f t="shared" si="63"/>
        <v>0</v>
      </c>
      <c r="Q170" s="36">
        <f t="shared" si="64"/>
        <v>0</v>
      </c>
      <c r="R170" s="36">
        <f t="shared" si="80"/>
        <v>0</v>
      </c>
      <c r="S170" s="79">
        <v>191</v>
      </c>
      <c r="T170" s="37">
        <f t="shared" si="65"/>
        <v>327.3</v>
      </c>
      <c r="U170" s="9">
        <f t="shared" si="66"/>
        <v>6905.99</v>
      </c>
      <c r="V170" s="73">
        <v>6786691832.6700001</v>
      </c>
      <c r="W170" s="73">
        <v>36237</v>
      </c>
      <c r="X170" s="18">
        <f t="shared" si="67"/>
        <v>187286.25</v>
      </c>
      <c r="Y170" s="38">
        <f t="shared" si="68"/>
        <v>1.0156130000000001</v>
      </c>
      <c r="Z170" s="73">
        <v>112674</v>
      </c>
      <c r="AA170" s="38">
        <f t="shared" si="69"/>
        <v>1.0090460000000001</v>
      </c>
      <c r="AB170" s="38">
        <f t="shared" si="70"/>
        <v>-1.3643000000000001E-2</v>
      </c>
      <c r="AC170" s="39">
        <f t="shared" si="71"/>
        <v>0.01</v>
      </c>
      <c r="AD170" s="39">
        <f t="shared" ref="AD170:AD176" si="84">IF(G170&gt;300,+AC170+$AD$17,AC170)</f>
        <v>0.01</v>
      </c>
      <c r="AE170" s="80"/>
      <c r="AF170" s="40">
        <v>0</v>
      </c>
      <c r="AG170" s="9">
        <f t="shared" si="72"/>
        <v>0</v>
      </c>
      <c r="AH170" s="11">
        <f t="shared" si="73"/>
        <v>0</v>
      </c>
      <c r="AI170" s="11">
        <f t="shared" si="74"/>
        <v>795915</v>
      </c>
      <c r="AJ170" s="11">
        <f t="shared" si="75"/>
        <v>795915</v>
      </c>
      <c r="AK170" s="36">
        <v>3418401</v>
      </c>
      <c r="AL170" s="36">
        <v>2759291</v>
      </c>
      <c r="AM170" s="36">
        <f t="shared" si="81"/>
        <v>-2622486</v>
      </c>
      <c r="AN170" s="68">
        <f t="shared" si="76"/>
        <v>795915</v>
      </c>
      <c r="AO170" s="68">
        <f t="shared" si="82"/>
        <v>-2622486</v>
      </c>
      <c r="AP170" s="69">
        <f t="shared" si="77"/>
        <v>2540837.9161999999</v>
      </c>
      <c r="AQ170" s="36">
        <f t="shared" si="78"/>
        <v>-218453.08380000014</v>
      </c>
      <c r="AR170" s="70">
        <f t="shared" si="79"/>
        <v>-7.9170005555775066E-2</v>
      </c>
      <c r="AS170" s="36"/>
      <c r="AT170" s="22"/>
      <c r="AV170" s="22"/>
      <c r="AW170" s="22"/>
      <c r="BA170" s="22"/>
      <c r="BB170" s="22"/>
      <c r="BC170" s="22"/>
      <c r="BD170" s="22"/>
      <c r="BE170" s="22"/>
    </row>
    <row r="171" spans="1:57" ht="15" x14ac:dyDescent="0.25">
      <c r="A171" s="8" t="s">
        <v>129</v>
      </c>
      <c r="B171" s="8"/>
      <c r="C171" s="26"/>
      <c r="D171" s="26"/>
      <c r="E171" s="26"/>
      <c r="F171" s="1">
        <v>4</v>
      </c>
      <c r="G171" s="66">
        <v>227.71497425918034</v>
      </c>
      <c r="H171" s="8">
        <v>145</v>
      </c>
      <c r="I171" s="3" t="s">
        <v>278</v>
      </c>
      <c r="J171" s="13">
        <f t="shared" si="61"/>
        <v>0</v>
      </c>
      <c r="K171" s="78">
        <v>91</v>
      </c>
      <c r="L171" s="36"/>
      <c r="M171" s="35"/>
      <c r="N171" s="81">
        <v>6</v>
      </c>
      <c r="O171" s="67">
        <f t="shared" si="62"/>
        <v>6.5934065934065936E-2</v>
      </c>
      <c r="P171" s="67">
        <f t="shared" si="63"/>
        <v>0</v>
      </c>
      <c r="Q171" s="36">
        <f t="shared" si="64"/>
        <v>0</v>
      </c>
      <c r="R171" s="36">
        <f t="shared" si="80"/>
        <v>0</v>
      </c>
      <c r="S171" s="79"/>
      <c r="T171" s="37">
        <f t="shared" si="65"/>
        <v>1.8</v>
      </c>
      <c r="U171" s="9">
        <f t="shared" si="66"/>
        <v>92.8</v>
      </c>
      <c r="V171" s="73">
        <v>126598180.33</v>
      </c>
      <c r="W171" s="73">
        <v>840</v>
      </c>
      <c r="X171" s="18">
        <f t="shared" si="67"/>
        <v>150712.12</v>
      </c>
      <c r="Y171" s="38">
        <f t="shared" si="68"/>
        <v>0.81728000000000001</v>
      </c>
      <c r="Z171" s="73">
        <v>88125</v>
      </c>
      <c r="AA171" s="38">
        <f t="shared" si="69"/>
        <v>0.78919899999999998</v>
      </c>
      <c r="AB171" s="38">
        <f t="shared" si="70"/>
        <v>0.19114400000000001</v>
      </c>
      <c r="AC171" s="39">
        <f t="shared" si="71"/>
        <v>0.19114400000000001</v>
      </c>
      <c r="AD171" s="39">
        <f t="shared" si="84"/>
        <v>0.19114400000000001</v>
      </c>
      <c r="AE171" s="80"/>
      <c r="AF171" s="40">
        <v>0</v>
      </c>
      <c r="AG171" s="9">
        <f t="shared" si="72"/>
        <v>0</v>
      </c>
      <c r="AH171" s="11">
        <f t="shared" si="73"/>
        <v>0</v>
      </c>
      <c r="AI171" s="11">
        <f t="shared" si="74"/>
        <v>204432</v>
      </c>
      <c r="AJ171" s="11">
        <f t="shared" si="75"/>
        <v>204432</v>
      </c>
      <c r="AK171" s="36">
        <v>237166</v>
      </c>
      <c r="AL171" s="36">
        <v>220822</v>
      </c>
      <c r="AM171" s="36">
        <f t="shared" si="81"/>
        <v>-32734</v>
      </c>
      <c r="AN171" s="68">
        <f t="shared" si="76"/>
        <v>204432</v>
      </c>
      <c r="AO171" s="68">
        <f t="shared" si="82"/>
        <v>-32734</v>
      </c>
      <c r="AP171" s="69">
        <f t="shared" si="77"/>
        <v>218095.25779999999</v>
      </c>
      <c r="AQ171" s="36">
        <f t="shared" si="78"/>
        <v>-2726.7422000000079</v>
      </c>
      <c r="AR171" s="70">
        <f t="shared" si="79"/>
        <v>-1.23481455652064E-2</v>
      </c>
      <c r="AS171" s="36"/>
      <c r="AT171" s="22"/>
      <c r="AV171" s="22"/>
      <c r="AW171" s="22"/>
      <c r="BA171" s="22"/>
      <c r="BB171" s="22"/>
      <c r="BC171" s="22"/>
      <c r="BD171" s="22"/>
      <c r="BE171" s="22"/>
    </row>
    <row r="172" spans="1:57" ht="15" x14ac:dyDescent="0.25">
      <c r="A172" s="8" t="s">
        <v>140</v>
      </c>
      <c r="B172" s="8"/>
      <c r="C172" s="26">
        <v>1</v>
      </c>
      <c r="D172" s="26">
        <v>1</v>
      </c>
      <c r="E172" s="26"/>
      <c r="F172" s="1">
        <v>9</v>
      </c>
      <c r="G172" s="71">
        <v>283.13078146263609</v>
      </c>
      <c r="H172" s="8">
        <v>146</v>
      </c>
      <c r="I172" s="3" t="s">
        <v>279</v>
      </c>
      <c r="J172" s="13">
        <f t="shared" si="61"/>
        <v>0</v>
      </c>
      <c r="K172" s="78">
        <v>3425.33</v>
      </c>
      <c r="L172" s="36"/>
      <c r="M172" s="35"/>
      <c r="N172" s="81">
        <v>1755</v>
      </c>
      <c r="O172" s="67">
        <f t="shared" si="62"/>
        <v>0.51235939310956902</v>
      </c>
      <c r="P172" s="67">
        <f t="shared" si="63"/>
        <v>0</v>
      </c>
      <c r="Q172" s="36">
        <f t="shared" si="64"/>
        <v>0</v>
      </c>
      <c r="R172" s="36">
        <f t="shared" si="80"/>
        <v>0</v>
      </c>
      <c r="S172" s="79">
        <v>110</v>
      </c>
      <c r="T172" s="37">
        <f t="shared" si="65"/>
        <v>526.5</v>
      </c>
      <c r="U172" s="9">
        <f t="shared" si="66"/>
        <v>3968.33</v>
      </c>
      <c r="V172" s="73">
        <v>2542254033</v>
      </c>
      <c r="W172" s="73">
        <v>29148</v>
      </c>
      <c r="X172" s="18">
        <f t="shared" si="67"/>
        <v>87218.82</v>
      </c>
      <c r="Y172" s="38">
        <f t="shared" si="68"/>
        <v>0.47296899999999997</v>
      </c>
      <c r="Z172" s="73">
        <v>61099</v>
      </c>
      <c r="AA172" s="38">
        <f t="shared" si="69"/>
        <v>0.54716900000000002</v>
      </c>
      <c r="AB172" s="38">
        <f t="shared" si="70"/>
        <v>0.50477099999999997</v>
      </c>
      <c r="AC172" s="39">
        <f t="shared" si="71"/>
        <v>0.50477099999999997</v>
      </c>
      <c r="AD172" s="39">
        <f t="shared" si="84"/>
        <v>0.50477099999999997</v>
      </c>
      <c r="AE172" s="80"/>
      <c r="AF172" s="40">
        <v>0</v>
      </c>
      <c r="AG172" s="9">
        <f t="shared" si="72"/>
        <v>0</v>
      </c>
      <c r="AH172" s="11">
        <f t="shared" si="73"/>
        <v>0</v>
      </c>
      <c r="AI172" s="11">
        <f t="shared" si="74"/>
        <v>23085703</v>
      </c>
      <c r="AJ172" s="11">
        <f t="shared" si="75"/>
        <v>23085703</v>
      </c>
      <c r="AK172" s="36">
        <v>19250233</v>
      </c>
      <c r="AL172" s="36">
        <v>19374119.460999999</v>
      </c>
      <c r="AM172" s="36">
        <f t="shared" si="81"/>
        <v>3835470</v>
      </c>
      <c r="AN172" s="68">
        <f t="shared" si="76"/>
        <v>23085703</v>
      </c>
      <c r="AO172" s="68">
        <f t="shared" si="82"/>
        <v>3835470</v>
      </c>
      <c r="AP172" s="69">
        <f t="shared" si="77"/>
        <v>19782980.563000001</v>
      </c>
      <c r="AQ172" s="36">
        <f t="shared" si="78"/>
        <v>408861.10200000182</v>
      </c>
      <c r="AR172" s="70">
        <f t="shared" si="79"/>
        <v>2.1103467583290021E-2</v>
      </c>
      <c r="AS172" s="36"/>
      <c r="AT172" s="22"/>
      <c r="AV172" s="22"/>
      <c r="AW172" s="22"/>
      <c r="BA172" s="22"/>
      <c r="BB172" s="22"/>
      <c r="BC172" s="22"/>
      <c r="BD172" s="22"/>
      <c r="BE172" s="22"/>
    </row>
    <row r="173" spans="1:57" ht="15" x14ac:dyDescent="0.25">
      <c r="A173" s="8" t="s">
        <v>153</v>
      </c>
      <c r="B173" s="8"/>
      <c r="C173" s="26"/>
      <c r="D173" s="26"/>
      <c r="E173" s="26"/>
      <c r="F173" s="1">
        <v>8</v>
      </c>
      <c r="G173" s="71">
        <v>259.85952291865129</v>
      </c>
      <c r="H173" s="8">
        <v>147</v>
      </c>
      <c r="I173" s="3" t="s">
        <v>280</v>
      </c>
      <c r="J173" s="13">
        <f t="shared" si="61"/>
        <v>0</v>
      </c>
      <c r="K173" s="78">
        <v>323.27</v>
      </c>
      <c r="L173" s="36"/>
      <c r="M173" s="35"/>
      <c r="N173" s="81">
        <v>81</v>
      </c>
      <c r="O173" s="67">
        <f t="shared" si="62"/>
        <v>0.2505645435703901</v>
      </c>
      <c r="P173" s="67">
        <f t="shared" si="63"/>
        <v>0</v>
      </c>
      <c r="Q173" s="36">
        <f t="shared" si="64"/>
        <v>0</v>
      </c>
      <c r="R173" s="36">
        <f t="shared" si="80"/>
        <v>0</v>
      </c>
      <c r="S173" s="79"/>
      <c r="T173" s="37">
        <f t="shared" si="65"/>
        <v>24.3</v>
      </c>
      <c r="U173" s="9">
        <f t="shared" si="66"/>
        <v>347.57</v>
      </c>
      <c r="V173" s="73">
        <v>280719655.32999998</v>
      </c>
      <c r="W173" s="73">
        <v>2565</v>
      </c>
      <c r="X173" s="18">
        <f t="shared" si="67"/>
        <v>109442.36</v>
      </c>
      <c r="Y173" s="38">
        <f t="shared" si="68"/>
        <v>0.59348299999999998</v>
      </c>
      <c r="Z173" s="73">
        <v>81023</v>
      </c>
      <c r="AA173" s="38">
        <f t="shared" si="69"/>
        <v>0.72559700000000005</v>
      </c>
      <c r="AB173" s="38">
        <f t="shared" si="70"/>
        <v>0.36688300000000001</v>
      </c>
      <c r="AC173" s="39">
        <f t="shared" si="71"/>
        <v>0.36688300000000001</v>
      </c>
      <c r="AD173" s="39">
        <f t="shared" si="84"/>
        <v>0.36688300000000001</v>
      </c>
      <c r="AE173" s="80"/>
      <c r="AF173" s="40">
        <v>0</v>
      </c>
      <c r="AG173" s="9">
        <f t="shared" si="72"/>
        <v>0</v>
      </c>
      <c r="AH173" s="11">
        <f t="shared" si="73"/>
        <v>0</v>
      </c>
      <c r="AI173" s="11">
        <f t="shared" si="74"/>
        <v>1469639</v>
      </c>
      <c r="AJ173" s="11">
        <f t="shared" si="75"/>
        <v>1469639</v>
      </c>
      <c r="AK173" s="36">
        <v>2502621</v>
      </c>
      <c r="AL173" s="36">
        <v>2292636</v>
      </c>
      <c r="AM173" s="36">
        <f t="shared" si="81"/>
        <v>-1032982</v>
      </c>
      <c r="AN173" s="68">
        <f t="shared" si="76"/>
        <v>1469639</v>
      </c>
      <c r="AO173" s="68">
        <f t="shared" si="82"/>
        <v>-1032982</v>
      </c>
      <c r="AP173" s="69">
        <f t="shared" si="77"/>
        <v>2206588.5994000002</v>
      </c>
      <c r="AQ173" s="36">
        <f t="shared" si="78"/>
        <v>-86047.400599999819</v>
      </c>
      <c r="AR173" s="70">
        <f t="shared" si="79"/>
        <v>-3.7532081237492486E-2</v>
      </c>
      <c r="AS173" s="36"/>
      <c r="AT173" s="22"/>
      <c r="AV173" s="22"/>
      <c r="AW173" s="22"/>
      <c r="BA173" s="22"/>
      <c r="BB173" s="22"/>
      <c r="BC173" s="22"/>
      <c r="BD173" s="22"/>
      <c r="BE173" s="22"/>
    </row>
    <row r="174" spans="1:57" ht="15" x14ac:dyDescent="0.25">
      <c r="A174" s="8" t="s">
        <v>135</v>
      </c>
      <c r="B174" s="8"/>
      <c r="C174" s="26"/>
      <c r="D174" s="26"/>
      <c r="E174" s="26"/>
      <c r="F174" s="1">
        <v>6</v>
      </c>
      <c r="G174" s="66">
        <v>231.67023831954708</v>
      </c>
      <c r="H174" s="8">
        <v>148</v>
      </c>
      <c r="I174" s="3" t="s">
        <v>281</v>
      </c>
      <c r="J174" s="13">
        <f t="shared" si="61"/>
        <v>0</v>
      </c>
      <c r="K174" s="78">
        <v>5728.12</v>
      </c>
      <c r="L174" s="36"/>
      <c r="M174" s="35"/>
      <c r="N174" s="81">
        <v>1758</v>
      </c>
      <c r="O174" s="67">
        <f t="shared" si="62"/>
        <v>0.30690697820576385</v>
      </c>
      <c r="P174" s="67">
        <f t="shared" si="63"/>
        <v>0</v>
      </c>
      <c r="Q174" s="36">
        <f t="shared" si="64"/>
        <v>0</v>
      </c>
      <c r="R174" s="36">
        <f t="shared" si="80"/>
        <v>0</v>
      </c>
      <c r="S174" s="79">
        <v>328</v>
      </c>
      <c r="T174" s="37">
        <f t="shared" si="65"/>
        <v>527.4</v>
      </c>
      <c r="U174" s="9">
        <f t="shared" si="66"/>
        <v>6304.7199999999993</v>
      </c>
      <c r="V174" s="73">
        <v>6138126252.3299999</v>
      </c>
      <c r="W174" s="73">
        <v>44660</v>
      </c>
      <c r="X174" s="18">
        <f t="shared" si="67"/>
        <v>137441.25</v>
      </c>
      <c r="Y174" s="38">
        <f t="shared" si="68"/>
        <v>0.74531499999999995</v>
      </c>
      <c r="Z174" s="73">
        <v>75942</v>
      </c>
      <c r="AA174" s="38">
        <f t="shared" si="69"/>
        <v>0.68009399999999998</v>
      </c>
      <c r="AB174" s="38">
        <f t="shared" si="70"/>
        <v>0.27425100000000002</v>
      </c>
      <c r="AC174" s="39">
        <f t="shared" si="71"/>
        <v>0.27425100000000002</v>
      </c>
      <c r="AD174" s="39">
        <f t="shared" si="84"/>
        <v>0.27425100000000002</v>
      </c>
      <c r="AE174" s="80"/>
      <c r="AF174" s="40">
        <v>0</v>
      </c>
      <c r="AG174" s="9">
        <f t="shared" si="72"/>
        <v>0</v>
      </c>
      <c r="AH174" s="11">
        <f t="shared" si="73"/>
        <v>0</v>
      </c>
      <c r="AI174" s="11">
        <f t="shared" si="74"/>
        <v>19927598</v>
      </c>
      <c r="AJ174" s="11">
        <f t="shared" si="75"/>
        <v>19927598</v>
      </c>
      <c r="AK174" s="36">
        <v>21301522</v>
      </c>
      <c r="AL174" s="36">
        <v>21036360.5</v>
      </c>
      <c r="AM174" s="36">
        <f t="shared" si="81"/>
        <v>-1373924</v>
      </c>
      <c r="AN174" s="68">
        <f t="shared" si="76"/>
        <v>19927598</v>
      </c>
      <c r="AO174" s="68">
        <f t="shared" si="82"/>
        <v>-1373924</v>
      </c>
      <c r="AP174" s="69">
        <f t="shared" si="77"/>
        <v>20921912.630800001</v>
      </c>
      <c r="AQ174" s="36">
        <f t="shared" si="78"/>
        <v>-114447.86919999868</v>
      </c>
      <c r="AR174" s="70">
        <f t="shared" si="79"/>
        <v>-5.4404786037013713E-3</v>
      </c>
      <c r="AS174" s="36"/>
      <c r="AT174" s="22"/>
      <c r="AV174" s="22"/>
      <c r="AW174" s="22"/>
      <c r="BA174" s="22"/>
      <c r="BB174" s="22"/>
      <c r="BC174" s="22"/>
      <c r="BD174" s="22"/>
      <c r="BE174" s="22"/>
    </row>
    <row r="175" spans="1:57" ht="15" x14ac:dyDescent="0.25">
      <c r="A175" s="8" t="s">
        <v>129</v>
      </c>
      <c r="B175" s="8"/>
      <c r="C175" s="26"/>
      <c r="D175" s="26"/>
      <c r="E175" s="26"/>
      <c r="F175" s="1">
        <v>1</v>
      </c>
      <c r="G175" s="66">
        <v>158.60610497706691</v>
      </c>
      <c r="H175" s="8">
        <v>149</v>
      </c>
      <c r="I175" s="3" t="s">
        <v>282</v>
      </c>
      <c r="J175" s="13">
        <f t="shared" si="61"/>
        <v>0</v>
      </c>
      <c r="K175" s="78">
        <v>139.22</v>
      </c>
      <c r="L175" s="36"/>
      <c r="M175" s="35"/>
      <c r="N175" s="81">
        <v>24</v>
      </c>
      <c r="O175" s="67">
        <f t="shared" si="62"/>
        <v>0.17238902456543601</v>
      </c>
      <c r="P175" s="67">
        <f t="shared" si="63"/>
        <v>0</v>
      </c>
      <c r="Q175" s="36">
        <f t="shared" si="64"/>
        <v>0</v>
      </c>
      <c r="R175" s="36">
        <f t="shared" si="80"/>
        <v>0</v>
      </c>
      <c r="S175" s="79"/>
      <c r="T175" s="37">
        <f t="shared" si="65"/>
        <v>7.2</v>
      </c>
      <c r="U175" s="9">
        <f t="shared" si="66"/>
        <v>146.41999999999999</v>
      </c>
      <c r="V175" s="73">
        <v>522004904.67000002</v>
      </c>
      <c r="W175" s="73">
        <v>1408</v>
      </c>
      <c r="X175" s="18">
        <f t="shared" si="67"/>
        <v>370742.12</v>
      </c>
      <c r="Y175" s="38">
        <f t="shared" si="68"/>
        <v>2.010456</v>
      </c>
      <c r="Z175" s="73">
        <v>92083</v>
      </c>
      <c r="AA175" s="38">
        <f t="shared" si="69"/>
        <v>0.82464400000000004</v>
      </c>
      <c r="AB175" s="38">
        <f t="shared" si="70"/>
        <v>-0.65471199999999996</v>
      </c>
      <c r="AC175" s="39">
        <f t="shared" si="71"/>
        <v>0.01</v>
      </c>
      <c r="AD175" s="39">
        <f t="shared" si="84"/>
        <v>0.01</v>
      </c>
      <c r="AE175" s="80">
        <v>140</v>
      </c>
      <c r="AF175" s="40">
        <v>13</v>
      </c>
      <c r="AG175" s="9">
        <f t="shared" si="72"/>
        <v>100</v>
      </c>
      <c r="AH175" s="11">
        <f t="shared" si="73"/>
        <v>14000</v>
      </c>
      <c r="AI175" s="11">
        <f t="shared" si="74"/>
        <v>16875</v>
      </c>
      <c r="AJ175" s="11">
        <f t="shared" si="75"/>
        <v>30875</v>
      </c>
      <c r="AK175" s="36">
        <v>33205</v>
      </c>
      <c r="AL175" s="36">
        <v>32510.75</v>
      </c>
      <c r="AM175" s="36">
        <f t="shared" si="81"/>
        <v>-2330</v>
      </c>
      <c r="AN175" s="68">
        <f t="shared" si="76"/>
        <v>30875</v>
      </c>
      <c r="AO175" s="68">
        <f t="shared" si="82"/>
        <v>-2330</v>
      </c>
      <c r="AP175" s="69">
        <f t="shared" si="77"/>
        <v>32316.661</v>
      </c>
      <c r="AQ175" s="36">
        <f t="shared" si="78"/>
        <v>-194.08899999999994</v>
      </c>
      <c r="AR175" s="70">
        <f t="shared" si="79"/>
        <v>-5.9699945402674481E-3</v>
      </c>
      <c r="AS175" s="36"/>
      <c r="AT175" s="22"/>
      <c r="AV175" s="22"/>
      <c r="AW175" s="22"/>
      <c r="BA175" s="22"/>
      <c r="BB175" s="22"/>
      <c r="BC175" s="22"/>
      <c r="BD175" s="22"/>
      <c r="BE175" s="22"/>
    </row>
    <row r="176" spans="1:57" ht="15" x14ac:dyDescent="0.25">
      <c r="A176" s="8" t="s">
        <v>125</v>
      </c>
      <c r="B176" s="8"/>
      <c r="C176" s="26"/>
      <c r="D176" s="26"/>
      <c r="E176" s="26"/>
      <c r="F176" s="1">
        <v>1</v>
      </c>
      <c r="G176" s="66">
        <v>129.98329043510034</v>
      </c>
      <c r="H176" s="8">
        <v>150</v>
      </c>
      <c r="I176" s="3" t="s">
        <v>283</v>
      </c>
      <c r="J176" s="13">
        <f t="shared" si="61"/>
        <v>0</v>
      </c>
      <c r="K176" s="78">
        <v>266.33999999999997</v>
      </c>
      <c r="L176" s="36"/>
      <c r="M176" s="35"/>
      <c r="N176" s="81">
        <v>63</v>
      </c>
      <c r="O176" s="67">
        <f t="shared" si="62"/>
        <v>0.23653976120747919</v>
      </c>
      <c r="P176" s="67">
        <f t="shared" si="63"/>
        <v>0</v>
      </c>
      <c r="Q176" s="36">
        <f t="shared" si="64"/>
        <v>0</v>
      </c>
      <c r="R176" s="36">
        <f t="shared" si="80"/>
        <v>0</v>
      </c>
      <c r="S176" s="79">
        <v>4</v>
      </c>
      <c r="T176" s="37">
        <f t="shared" si="65"/>
        <v>18.899999999999999</v>
      </c>
      <c r="U176" s="9">
        <f t="shared" si="66"/>
        <v>285.83999999999997</v>
      </c>
      <c r="V176" s="73">
        <v>1723856826.3299999</v>
      </c>
      <c r="W176" s="73">
        <v>3452</v>
      </c>
      <c r="X176" s="18">
        <f t="shared" si="67"/>
        <v>499379.15</v>
      </c>
      <c r="Y176" s="38">
        <f t="shared" si="68"/>
        <v>2.708027</v>
      </c>
      <c r="Z176" s="73">
        <v>82418</v>
      </c>
      <c r="AA176" s="38">
        <f t="shared" si="69"/>
        <v>0.73809000000000002</v>
      </c>
      <c r="AB176" s="38">
        <f t="shared" si="70"/>
        <v>-1.117046</v>
      </c>
      <c r="AC176" s="39">
        <f t="shared" si="71"/>
        <v>0.01</v>
      </c>
      <c r="AD176" s="39">
        <f t="shared" si="84"/>
        <v>0.01</v>
      </c>
      <c r="AE176" s="80">
        <v>265</v>
      </c>
      <c r="AF176" s="40">
        <v>13</v>
      </c>
      <c r="AG176" s="9">
        <f t="shared" si="72"/>
        <v>100</v>
      </c>
      <c r="AH176" s="11">
        <f t="shared" si="73"/>
        <v>26500</v>
      </c>
      <c r="AI176" s="11">
        <f t="shared" si="74"/>
        <v>32943</v>
      </c>
      <c r="AJ176" s="11">
        <f t="shared" si="75"/>
        <v>59443</v>
      </c>
      <c r="AK176" s="36">
        <v>50646</v>
      </c>
      <c r="AL176" s="36">
        <v>51052.351000000002</v>
      </c>
      <c r="AM176" s="36">
        <f t="shared" si="81"/>
        <v>8797</v>
      </c>
      <c r="AN176" s="68">
        <f t="shared" si="76"/>
        <v>59443</v>
      </c>
      <c r="AO176" s="68">
        <f t="shared" si="82"/>
        <v>8797</v>
      </c>
      <c r="AP176" s="69">
        <f t="shared" si="77"/>
        <v>51990.111199999999</v>
      </c>
      <c r="AQ176" s="36">
        <f t="shared" si="78"/>
        <v>937.76019999999698</v>
      </c>
      <c r="AR176" s="70">
        <f t="shared" si="79"/>
        <v>1.8368599714438164E-2</v>
      </c>
      <c r="AS176" s="36"/>
      <c r="AT176" s="22"/>
      <c r="AV176" s="22"/>
      <c r="AW176" s="22"/>
      <c r="BA176" s="22"/>
      <c r="BB176" s="22"/>
      <c r="BC176" s="22"/>
      <c r="BD176" s="22"/>
      <c r="BE176" s="22"/>
    </row>
    <row r="177" spans="1:57" ht="15" x14ac:dyDescent="0.25">
      <c r="A177" s="8" t="s">
        <v>145</v>
      </c>
      <c r="B177" s="8">
        <v>1</v>
      </c>
      <c r="C177" s="26">
        <v>1</v>
      </c>
      <c r="D177" s="26">
        <v>0</v>
      </c>
      <c r="E177" s="26">
        <v>1</v>
      </c>
      <c r="F177" s="1">
        <v>10</v>
      </c>
      <c r="G177" s="71">
        <v>402.68181951801034</v>
      </c>
      <c r="H177" s="8">
        <v>151</v>
      </c>
      <c r="I177" s="3" t="s">
        <v>284</v>
      </c>
      <c r="J177" s="13">
        <f t="shared" si="61"/>
        <v>0</v>
      </c>
      <c r="K177" s="78">
        <v>18316.990000000002</v>
      </c>
      <c r="L177" s="36"/>
      <c r="M177" s="35"/>
      <c r="N177" s="81">
        <v>13594</v>
      </c>
      <c r="O177" s="67">
        <f t="shared" si="62"/>
        <v>0.74215250431430047</v>
      </c>
      <c r="P177" s="67">
        <f t="shared" si="63"/>
        <v>0</v>
      </c>
      <c r="Q177" s="36">
        <f t="shared" si="64"/>
        <v>0</v>
      </c>
      <c r="R177" s="36">
        <f t="shared" si="80"/>
        <v>0</v>
      </c>
      <c r="S177" s="79">
        <v>2810</v>
      </c>
      <c r="T177" s="37">
        <f t="shared" si="65"/>
        <v>4078.2</v>
      </c>
      <c r="U177" s="9">
        <f t="shared" si="66"/>
        <v>22816.690000000002</v>
      </c>
      <c r="V177" s="73">
        <v>5762715976.6700001</v>
      </c>
      <c r="W177" s="73">
        <v>108272</v>
      </c>
      <c r="X177" s="18">
        <f t="shared" si="67"/>
        <v>53224.43</v>
      </c>
      <c r="Y177" s="38">
        <f t="shared" si="68"/>
        <v>0.28862500000000002</v>
      </c>
      <c r="Z177" s="73">
        <v>39681</v>
      </c>
      <c r="AA177" s="38">
        <f t="shared" si="69"/>
        <v>0.35536099999999998</v>
      </c>
      <c r="AB177" s="38">
        <f t="shared" si="70"/>
        <v>0.69135400000000002</v>
      </c>
      <c r="AC177" s="39">
        <f t="shared" si="71"/>
        <v>0.69135400000000002</v>
      </c>
      <c r="AD177" s="39">
        <f>IF(G177&gt;300,+AC177+$AD$16,AC177)</f>
        <v>0.75135400000000008</v>
      </c>
      <c r="AE177" s="80"/>
      <c r="AF177" s="40">
        <v>0</v>
      </c>
      <c r="AG177" s="9">
        <f t="shared" si="72"/>
        <v>0</v>
      </c>
      <c r="AH177" s="11">
        <f t="shared" si="73"/>
        <v>0</v>
      </c>
      <c r="AI177" s="11">
        <f t="shared" si="74"/>
        <v>197577815</v>
      </c>
      <c r="AJ177" s="11">
        <f t="shared" si="75"/>
        <v>197577815</v>
      </c>
      <c r="AK177" s="36">
        <v>133606066</v>
      </c>
      <c r="AL177" s="36">
        <v>136201264.11500001</v>
      </c>
      <c r="AM177" s="36">
        <f t="shared" si="81"/>
        <v>63971749</v>
      </c>
      <c r="AN177" s="68">
        <f t="shared" si="76"/>
        <v>197577815</v>
      </c>
      <c r="AO177" s="68">
        <f t="shared" si="82"/>
        <v>63971749</v>
      </c>
      <c r="AP177" s="69">
        <f t="shared" si="77"/>
        <v>143020652.55840001</v>
      </c>
      <c r="AQ177" s="36">
        <f t="shared" si="78"/>
        <v>6819388.4433999956</v>
      </c>
      <c r="AR177" s="70">
        <f t="shared" si="79"/>
        <v>5.0068466601324066E-2</v>
      </c>
      <c r="AS177" s="36"/>
      <c r="AT177" s="22"/>
      <c r="AV177" s="22"/>
      <c r="AW177" s="22"/>
      <c r="BA177" s="22"/>
      <c r="BB177" s="22"/>
      <c r="BC177" s="22"/>
      <c r="BD177" s="22"/>
      <c r="BE177" s="22"/>
    </row>
    <row r="178" spans="1:57" ht="15" x14ac:dyDescent="0.25">
      <c r="A178" s="8" t="s">
        <v>135</v>
      </c>
      <c r="B178" s="8"/>
      <c r="C178" s="26"/>
      <c r="D178" s="26"/>
      <c r="E178" s="26"/>
      <c r="F178" s="1">
        <v>2</v>
      </c>
      <c r="G178" s="66">
        <v>220.94062236969006</v>
      </c>
      <c r="H178" s="8">
        <v>152</v>
      </c>
      <c r="I178" s="3" t="s">
        <v>285</v>
      </c>
      <c r="J178" s="13">
        <f t="shared" si="61"/>
        <v>0</v>
      </c>
      <c r="K178" s="78">
        <v>2726.41</v>
      </c>
      <c r="L178" s="36"/>
      <c r="M178" s="35"/>
      <c r="N178" s="81">
        <v>825</v>
      </c>
      <c r="O178" s="67">
        <f t="shared" si="62"/>
        <v>0.30259572111311211</v>
      </c>
      <c r="P178" s="67">
        <f t="shared" si="63"/>
        <v>0</v>
      </c>
      <c r="Q178" s="36">
        <f t="shared" si="64"/>
        <v>0</v>
      </c>
      <c r="R178" s="36">
        <f t="shared" si="80"/>
        <v>0</v>
      </c>
      <c r="S178" s="79">
        <v>72</v>
      </c>
      <c r="T178" s="37">
        <f t="shared" si="65"/>
        <v>247.5</v>
      </c>
      <c r="U178" s="9">
        <f t="shared" si="66"/>
        <v>2984.71</v>
      </c>
      <c r="V178" s="73">
        <v>4671243740.6700001</v>
      </c>
      <c r="W178" s="73">
        <v>19101</v>
      </c>
      <c r="X178" s="18">
        <f t="shared" si="67"/>
        <v>244554.93</v>
      </c>
      <c r="Y178" s="38">
        <f t="shared" si="68"/>
        <v>1.3261689999999999</v>
      </c>
      <c r="Z178" s="73">
        <v>78382</v>
      </c>
      <c r="AA178" s="38">
        <f t="shared" si="69"/>
        <v>0.70194599999999996</v>
      </c>
      <c r="AB178" s="38">
        <f t="shared" si="70"/>
        <v>-0.138902</v>
      </c>
      <c r="AC178" s="39">
        <f t="shared" si="71"/>
        <v>0.01</v>
      </c>
      <c r="AD178" s="39">
        <f>IF(G178&gt;300,+AC178+$AD$17,AC178)</f>
        <v>0.01</v>
      </c>
      <c r="AE178" s="80"/>
      <c r="AF178" s="40">
        <v>0</v>
      </c>
      <c r="AG178" s="9">
        <f t="shared" si="72"/>
        <v>0</v>
      </c>
      <c r="AH178" s="11">
        <f t="shared" si="73"/>
        <v>0</v>
      </c>
      <c r="AI178" s="11">
        <f t="shared" si="74"/>
        <v>343988</v>
      </c>
      <c r="AJ178" s="11">
        <f t="shared" si="75"/>
        <v>343988</v>
      </c>
      <c r="AK178" s="36">
        <v>321279</v>
      </c>
      <c r="AL178" s="36">
        <v>322222.94300000003</v>
      </c>
      <c r="AM178" s="36">
        <f t="shared" si="81"/>
        <v>22709</v>
      </c>
      <c r="AN178" s="68">
        <f t="shared" si="76"/>
        <v>343988</v>
      </c>
      <c r="AO178" s="68">
        <f t="shared" si="82"/>
        <v>22709</v>
      </c>
      <c r="AP178" s="69">
        <f t="shared" si="77"/>
        <v>324643.72240000003</v>
      </c>
      <c r="AQ178" s="36">
        <f t="shared" si="78"/>
        <v>2420.7793999999994</v>
      </c>
      <c r="AR178" s="70">
        <f t="shared" si="79"/>
        <v>7.5127468499348888E-3</v>
      </c>
      <c r="AS178" s="36"/>
      <c r="AT178" s="22"/>
      <c r="AV178" s="22"/>
      <c r="AW178" s="22"/>
      <c r="BA178" s="22"/>
      <c r="BB178" s="22"/>
      <c r="BC178" s="22"/>
      <c r="BD178" s="22"/>
      <c r="BE178" s="22"/>
    </row>
    <row r="179" spans="1:57" ht="15" x14ac:dyDescent="0.25">
      <c r="A179" s="8" t="s">
        <v>135</v>
      </c>
      <c r="B179" s="8"/>
      <c r="C179" s="26"/>
      <c r="D179" s="26"/>
      <c r="E179" s="26"/>
      <c r="F179" s="1">
        <v>7</v>
      </c>
      <c r="G179" s="66">
        <v>236.48455696059608</v>
      </c>
      <c r="H179" s="8">
        <v>153</v>
      </c>
      <c r="I179" s="3" t="s">
        <v>286</v>
      </c>
      <c r="J179" s="13">
        <f t="shared" si="61"/>
        <v>0</v>
      </c>
      <c r="K179" s="78">
        <v>2789.99</v>
      </c>
      <c r="L179" s="36"/>
      <c r="M179" s="35"/>
      <c r="N179" s="81">
        <v>952</v>
      </c>
      <c r="O179" s="67">
        <f t="shared" si="62"/>
        <v>0.34121986100308604</v>
      </c>
      <c r="P179" s="67">
        <f t="shared" si="63"/>
        <v>0</v>
      </c>
      <c r="Q179" s="36">
        <f t="shared" si="64"/>
        <v>0</v>
      </c>
      <c r="R179" s="36">
        <f t="shared" si="80"/>
        <v>0</v>
      </c>
      <c r="S179" s="79">
        <v>121</v>
      </c>
      <c r="T179" s="37">
        <f t="shared" si="65"/>
        <v>285.60000000000002</v>
      </c>
      <c r="U179" s="9">
        <f t="shared" si="66"/>
        <v>3093.74</v>
      </c>
      <c r="V179" s="73">
        <v>2653600905.3299999</v>
      </c>
      <c r="W179" s="73">
        <v>21790</v>
      </c>
      <c r="X179" s="18">
        <f t="shared" si="67"/>
        <v>121780.67</v>
      </c>
      <c r="Y179" s="38">
        <f t="shared" si="68"/>
        <v>0.66039099999999995</v>
      </c>
      <c r="Z179" s="73">
        <v>76175</v>
      </c>
      <c r="AA179" s="38">
        <f t="shared" si="69"/>
        <v>0.68218100000000004</v>
      </c>
      <c r="AB179" s="38">
        <f t="shared" si="70"/>
        <v>0.33307199999999998</v>
      </c>
      <c r="AC179" s="39">
        <f t="shared" si="71"/>
        <v>0.33307199999999998</v>
      </c>
      <c r="AD179" s="39">
        <f>IF(G179&gt;300,+AC179+$AD$17,AC179)</f>
        <v>0.33307199999999998</v>
      </c>
      <c r="AE179" s="80"/>
      <c r="AF179" s="40">
        <v>0</v>
      </c>
      <c r="AG179" s="9">
        <f t="shared" si="72"/>
        <v>0</v>
      </c>
      <c r="AH179" s="11">
        <f t="shared" si="73"/>
        <v>0</v>
      </c>
      <c r="AI179" s="11">
        <f t="shared" si="74"/>
        <v>11875800</v>
      </c>
      <c r="AJ179" s="11">
        <f t="shared" si="75"/>
        <v>11875800</v>
      </c>
      <c r="AK179" s="36">
        <v>11753175</v>
      </c>
      <c r="AL179" s="36">
        <v>11735322</v>
      </c>
      <c r="AM179" s="36">
        <f t="shared" si="81"/>
        <v>122625</v>
      </c>
      <c r="AN179" s="68">
        <f t="shared" si="76"/>
        <v>11875800</v>
      </c>
      <c r="AO179" s="68">
        <f t="shared" si="82"/>
        <v>122625</v>
      </c>
      <c r="AP179" s="69">
        <f t="shared" si="77"/>
        <v>11748393.824999999</v>
      </c>
      <c r="AQ179" s="36">
        <f t="shared" si="78"/>
        <v>13071.824999999255</v>
      </c>
      <c r="AR179" s="70">
        <f t="shared" si="79"/>
        <v>1.1138872030950029E-3</v>
      </c>
      <c r="AS179" s="36"/>
      <c r="AT179" s="22"/>
      <c r="AV179" s="22"/>
      <c r="AW179" s="22"/>
      <c r="BA179" s="22"/>
      <c r="BB179" s="22"/>
      <c r="BC179" s="22"/>
      <c r="BD179" s="22"/>
      <c r="BE179" s="22"/>
    </row>
    <row r="180" spans="1:57" ht="15" x14ac:dyDescent="0.25">
      <c r="A180" s="8" t="s">
        <v>129</v>
      </c>
      <c r="B180" s="8"/>
      <c r="C180" s="26"/>
      <c r="D180" s="26"/>
      <c r="E180" s="26"/>
      <c r="F180" s="1">
        <v>2</v>
      </c>
      <c r="G180" s="66">
        <v>204.48422680006027</v>
      </c>
      <c r="H180" s="8">
        <v>154</v>
      </c>
      <c r="I180" s="3" t="s">
        <v>287</v>
      </c>
      <c r="J180" s="13">
        <f t="shared" si="61"/>
        <v>0</v>
      </c>
      <c r="K180" s="78">
        <v>683.63</v>
      </c>
      <c r="L180" s="36"/>
      <c r="M180" s="35"/>
      <c r="N180" s="81">
        <v>200</v>
      </c>
      <c r="O180" s="67">
        <f t="shared" si="62"/>
        <v>0.29255591474920645</v>
      </c>
      <c r="P180" s="67">
        <f t="shared" si="63"/>
        <v>0</v>
      </c>
      <c r="Q180" s="36">
        <f t="shared" si="64"/>
        <v>0</v>
      </c>
      <c r="R180" s="36">
        <f t="shared" si="80"/>
        <v>0</v>
      </c>
      <c r="S180" s="79">
        <v>81</v>
      </c>
      <c r="T180" s="37">
        <f t="shared" si="65"/>
        <v>60</v>
      </c>
      <c r="U180" s="9">
        <f t="shared" si="66"/>
        <v>755.78</v>
      </c>
      <c r="V180" s="73">
        <v>1711887306.6700001</v>
      </c>
      <c r="W180" s="73">
        <v>6933</v>
      </c>
      <c r="X180" s="18">
        <f t="shared" si="67"/>
        <v>246918.69</v>
      </c>
      <c r="Y180" s="38">
        <f t="shared" si="68"/>
        <v>1.3389869999999999</v>
      </c>
      <c r="Z180" s="73">
        <v>92721</v>
      </c>
      <c r="AA180" s="38">
        <f t="shared" si="69"/>
        <v>0.83035800000000004</v>
      </c>
      <c r="AB180" s="38">
        <f t="shared" si="70"/>
        <v>-0.18639800000000001</v>
      </c>
      <c r="AC180" s="39">
        <f t="shared" si="71"/>
        <v>0.01</v>
      </c>
      <c r="AD180" s="39">
        <f>IF(G180&gt;300,+AC180+$AD$17,AC180)</f>
        <v>0.01</v>
      </c>
      <c r="AE180" s="80"/>
      <c r="AF180" s="40">
        <v>0</v>
      </c>
      <c r="AG180" s="9">
        <f t="shared" si="72"/>
        <v>0</v>
      </c>
      <c r="AH180" s="11">
        <f t="shared" si="73"/>
        <v>0</v>
      </c>
      <c r="AI180" s="11">
        <f t="shared" si="74"/>
        <v>87104</v>
      </c>
      <c r="AJ180" s="11">
        <f t="shared" si="75"/>
        <v>87104</v>
      </c>
      <c r="AK180" s="36">
        <v>70393</v>
      </c>
      <c r="AL180" s="36">
        <v>71257.361999999994</v>
      </c>
      <c r="AM180" s="36">
        <f t="shared" si="81"/>
        <v>16711</v>
      </c>
      <c r="AN180" s="68">
        <f t="shared" si="76"/>
        <v>87104</v>
      </c>
      <c r="AO180" s="68">
        <f t="shared" si="82"/>
        <v>16711</v>
      </c>
      <c r="AP180" s="69">
        <f t="shared" si="77"/>
        <v>73038.7546</v>
      </c>
      <c r="AQ180" s="36">
        <f t="shared" si="78"/>
        <v>1781.3926000000065</v>
      </c>
      <c r="AR180" s="70">
        <f t="shared" si="79"/>
        <v>2.4999418305718456E-2</v>
      </c>
      <c r="AS180" s="36"/>
      <c r="AT180" s="22"/>
      <c r="AV180" s="22"/>
      <c r="AW180" s="22"/>
      <c r="BA180" s="22"/>
      <c r="BB180" s="22"/>
      <c r="BC180" s="22"/>
      <c r="BD180" s="22"/>
      <c r="BE180" s="22"/>
    </row>
    <row r="181" spans="1:57" ht="15" x14ac:dyDescent="0.25">
      <c r="A181" s="8" t="s">
        <v>131</v>
      </c>
      <c r="B181" s="8"/>
      <c r="C181" s="26"/>
      <c r="D181" s="26"/>
      <c r="E181" s="26"/>
      <c r="F181" s="1">
        <v>7</v>
      </c>
      <c r="G181" s="71">
        <v>222.4127320726532</v>
      </c>
      <c r="H181" s="8">
        <v>155</v>
      </c>
      <c r="I181" s="3" t="s">
        <v>288</v>
      </c>
      <c r="J181" s="13">
        <f t="shared" si="61"/>
        <v>0</v>
      </c>
      <c r="K181" s="78">
        <v>9838.1</v>
      </c>
      <c r="L181" s="36"/>
      <c r="M181" s="35"/>
      <c r="N181" s="81">
        <v>2415</v>
      </c>
      <c r="O181" s="67">
        <f t="shared" si="62"/>
        <v>0.2454742277472276</v>
      </c>
      <c r="P181" s="67">
        <f t="shared" si="63"/>
        <v>0</v>
      </c>
      <c r="Q181" s="36">
        <f t="shared" si="64"/>
        <v>0</v>
      </c>
      <c r="R181" s="36">
        <f t="shared" si="80"/>
        <v>0</v>
      </c>
      <c r="S181" s="79">
        <v>600</v>
      </c>
      <c r="T181" s="37">
        <f t="shared" si="65"/>
        <v>724.5</v>
      </c>
      <c r="U181" s="9">
        <f t="shared" si="66"/>
        <v>10652.6</v>
      </c>
      <c r="V181" s="73">
        <v>9161120967.6700001</v>
      </c>
      <c r="W181" s="73">
        <v>62903</v>
      </c>
      <c r="X181" s="18">
        <f t="shared" si="67"/>
        <v>145638.85999999999</v>
      </c>
      <c r="Y181" s="38">
        <f t="shared" si="68"/>
        <v>0.78976900000000005</v>
      </c>
      <c r="Z181" s="73">
        <v>91875</v>
      </c>
      <c r="AA181" s="38">
        <f t="shared" si="69"/>
        <v>0.82278200000000001</v>
      </c>
      <c r="AB181" s="38">
        <f t="shared" si="70"/>
        <v>0.20032700000000001</v>
      </c>
      <c r="AC181" s="39">
        <f t="shared" si="71"/>
        <v>0.20032700000000001</v>
      </c>
      <c r="AD181" s="39">
        <f>IF(G181&gt;300,+AC181+$AD$17,AC181)</f>
        <v>0.20032700000000001</v>
      </c>
      <c r="AE181" s="80"/>
      <c r="AF181" s="40">
        <v>0</v>
      </c>
      <c r="AG181" s="9">
        <f t="shared" si="72"/>
        <v>0</v>
      </c>
      <c r="AH181" s="11">
        <f t="shared" si="73"/>
        <v>0</v>
      </c>
      <c r="AI181" s="11">
        <f t="shared" si="74"/>
        <v>24594389</v>
      </c>
      <c r="AJ181" s="11">
        <f t="shared" si="75"/>
        <v>24594389</v>
      </c>
      <c r="AK181" s="36">
        <v>20961352</v>
      </c>
      <c r="AL181" s="36">
        <v>21099035.083999999</v>
      </c>
      <c r="AM181" s="36">
        <f t="shared" si="81"/>
        <v>3633037</v>
      </c>
      <c r="AN181" s="68">
        <f t="shared" si="76"/>
        <v>24594389</v>
      </c>
      <c r="AO181" s="68">
        <f t="shared" si="82"/>
        <v>3633037</v>
      </c>
      <c r="AP181" s="69">
        <f t="shared" si="77"/>
        <v>21486316.828199998</v>
      </c>
      <c r="AQ181" s="36">
        <f t="shared" si="78"/>
        <v>387281.74419999868</v>
      </c>
      <c r="AR181" s="70">
        <f t="shared" si="79"/>
        <v>1.8355424438043874E-2</v>
      </c>
      <c r="AS181" s="36"/>
      <c r="AT181" s="22"/>
      <c r="AV181" s="22"/>
      <c r="AW181" s="22"/>
      <c r="BA181" s="22"/>
      <c r="BB181" s="22"/>
      <c r="BC181" s="22"/>
      <c r="BD181" s="22"/>
      <c r="BE181" s="22"/>
    </row>
    <row r="182" spans="1:57" ht="15" x14ac:dyDescent="0.25">
      <c r="A182" s="8" t="s">
        <v>127</v>
      </c>
      <c r="B182" s="8"/>
      <c r="C182" s="26">
        <v>1</v>
      </c>
      <c r="D182" s="26">
        <v>1</v>
      </c>
      <c r="E182" s="26"/>
      <c r="F182" s="1">
        <v>10</v>
      </c>
      <c r="G182" s="71">
        <v>311.06056394251897</v>
      </c>
      <c r="H182" s="8">
        <v>156</v>
      </c>
      <c r="I182" s="3" t="s">
        <v>289</v>
      </c>
      <c r="J182" s="13">
        <f t="shared" si="61"/>
        <v>0</v>
      </c>
      <c r="K182" s="78">
        <v>6980.38</v>
      </c>
      <c r="L182" s="36"/>
      <c r="M182" s="35"/>
      <c r="N182" s="81">
        <v>3813</v>
      </c>
      <c r="O182" s="67">
        <f t="shared" si="62"/>
        <v>0.54624533334861425</v>
      </c>
      <c r="P182" s="67">
        <f t="shared" si="63"/>
        <v>0</v>
      </c>
      <c r="Q182" s="36">
        <f t="shared" si="64"/>
        <v>0</v>
      </c>
      <c r="R182" s="36">
        <f t="shared" si="80"/>
        <v>0</v>
      </c>
      <c r="S182" s="79">
        <v>913</v>
      </c>
      <c r="T182" s="37">
        <f t="shared" si="65"/>
        <v>1143.9000000000001</v>
      </c>
      <c r="U182" s="9">
        <f t="shared" si="66"/>
        <v>8261.2300000000014</v>
      </c>
      <c r="V182" s="73">
        <v>3884891784.6700001</v>
      </c>
      <c r="W182" s="73">
        <v>54516</v>
      </c>
      <c r="X182" s="18">
        <f t="shared" si="67"/>
        <v>71261.5</v>
      </c>
      <c r="Y182" s="38">
        <f t="shared" si="68"/>
        <v>0.386436</v>
      </c>
      <c r="Z182" s="73">
        <v>50831</v>
      </c>
      <c r="AA182" s="38">
        <f t="shared" si="69"/>
        <v>0.45521400000000001</v>
      </c>
      <c r="AB182" s="38">
        <f t="shared" si="70"/>
        <v>0.59293099999999999</v>
      </c>
      <c r="AC182" s="39">
        <f t="shared" si="71"/>
        <v>0.59293099999999999</v>
      </c>
      <c r="AD182" s="39">
        <f>IF(G182&gt;300,+AC182+$AD$18,AC182)</f>
        <v>0.63293100000000002</v>
      </c>
      <c r="AE182" s="80"/>
      <c r="AF182" s="40">
        <v>0</v>
      </c>
      <c r="AG182" s="9">
        <f t="shared" si="72"/>
        <v>0</v>
      </c>
      <c r="AH182" s="11">
        <f t="shared" si="73"/>
        <v>0</v>
      </c>
      <c r="AI182" s="11">
        <f t="shared" si="74"/>
        <v>60261788</v>
      </c>
      <c r="AJ182" s="11">
        <f t="shared" si="75"/>
        <v>60261788</v>
      </c>
      <c r="AK182" s="36">
        <v>45140487</v>
      </c>
      <c r="AL182" s="36">
        <v>45788444.767999999</v>
      </c>
      <c r="AM182" s="36">
        <f t="shared" si="81"/>
        <v>15121301</v>
      </c>
      <c r="AN182" s="68">
        <f t="shared" si="76"/>
        <v>60261788</v>
      </c>
      <c r="AO182" s="68">
        <f t="shared" si="82"/>
        <v>15121301</v>
      </c>
      <c r="AP182" s="69">
        <f t="shared" si="77"/>
        <v>47400375.454599999</v>
      </c>
      <c r="AQ182" s="36">
        <f t="shared" si="78"/>
        <v>1611930.6865999997</v>
      </c>
      <c r="AR182" s="70">
        <f t="shared" si="79"/>
        <v>3.5203875011857219E-2</v>
      </c>
      <c r="AS182" s="36"/>
      <c r="AT182" s="22"/>
      <c r="AV182" s="22"/>
      <c r="AW182" s="22"/>
      <c r="BA182" s="22"/>
      <c r="BB182" s="22"/>
      <c r="BC182" s="22"/>
      <c r="BD182" s="22"/>
      <c r="BE182" s="22"/>
    </row>
    <row r="183" spans="1:57" ht="15" x14ac:dyDescent="0.25">
      <c r="A183" s="8" t="s">
        <v>167</v>
      </c>
      <c r="B183" s="8"/>
      <c r="C183" s="26"/>
      <c r="D183" s="26"/>
      <c r="E183" s="26"/>
      <c r="F183" s="1">
        <v>1</v>
      </c>
      <c r="G183" s="66">
        <v>110.49630038351826</v>
      </c>
      <c r="H183" s="8">
        <v>157</v>
      </c>
      <c r="I183" s="3" t="s">
        <v>290</v>
      </c>
      <c r="J183" s="13">
        <f t="shared" si="61"/>
        <v>0</v>
      </c>
      <c r="K183" s="78">
        <v>2293.14</v>
      </c>
      <c r="L183" s="36"/>
      <c r="M183" s="35"/>
      <c r="N183" s="81">
        <v>38</v>
      </c>
      <c r="O183" s="67">
        <f t="shared" si="62"/>
        <v>1.6571164429559471E-2</v>
      </c>
      <c r="P183" s="67">
        <f t="shared" si="63"/>
        <v>0</v>
      </c>
      <c r="Q183" s="36">
        <f t="shared" si="64"/>
        <v>0</v>
      </c>
      <c r="R183" s="36">
        <f t="shared" si="80"/>
        <v>0</v>
      </c>
      <c r="S183" s="79">
        <v>14</v>
      </c>
      <c r="T183" s="37">
        <f t="shared" si="65"/>
        <v>11.4</v>
      </c>
      <c r="U183" s="9">
        <f t="shared" si="66"/>
        <v>2306.64</v>
      </c>
      <c r="V183" s="73">
        <v>3509018738.6700001</v>
      </c>
      <c r="W183" s="73">
        <v>10302</v>
      </c>
      <c r="X183" s="18">
        <f t="shared" si="67"/>
        <v>340615.29</v>
      </c>
      <c r="Y183" s="38">
        <f t="shared" si="68"/>
        <v>1.8470839999999999</v>
      </c>
      <c r="Z183" s="73">
        <v>218152</v>
      </c>
      <c r="AA183" s="38">
        <f t="shared" si="69"/>
        <v>1.9536480000000001</v>
      </c>
      <c r="AB183" s="38">
        <f t="shared" si="70"/>
        <v>-0.87905299999999997</v>
      </c>
      <c r="AC183" s="39">
        <f t="shared" si="71"/>
        <v>0.01</v>
      </c>
      <c r="AD183" s="39">
        <f t="shared" ref="AD183:AD195" si="85">IF(G183&gt;300,+AC183+$AD$17,AC183)</f>
        <v>0.01</v>
      </c>
      <c r="AE183" s="80"/>
      <c r="AF183" s="40">
        <v>0</v>
      </c>
      <c r="AG183" s="9">
        <f t="shared" si="72"/>
        <v>0</v>
      </c>
      <c r="AH183" s="11">
        <f t="shared" si="73"/>
        <v>0</v>
      </c>
      <c r="AI183" s="11">
        <f t="shared" si="74"/>
        <v>265840</v>
      </c>
      <c r="AJ183" s="11">
        <f t="shared" si="75"/>
        <v>265840</v>
      </c>
      <c r="AK183" s="36">
        <v>263431</v>
      </c>
      <c r="AL183" s="36">
        <v>263631.94099999999</v>
      </c>
      <c r="AM183" s="36">
        <f t="shared" si="81"/>
        <v>2409</v>
      </c>
      <c r="AN183" s="68">
        <f t="shared" si="76"/>
        <v>265840</v>
      </c>
      <c r="AO183" s="68">
        <f t="shared" si="82"/>
        <v>2409</v>
      </c>
      <c r="AP183" s="69">
        <f t="shared" si="77"/>
        <v>263888.74040000001</v>
      </c>
      <c r="AQ183" s="36">
        <f t="shared" si="78"/>
        <v>256.79940000001807</v>
      </c>
      <c r="AR183" s="70">
        <f t="shared" si="79"/>
        <v>9.7408303040191204E-4</v>
      </c>
      <c r="AS183" s="36"/>
      <c r="AT183" s="22"/>
      <c r="AV183" s="22"/>
      <c r="AW183" s="22"/>
      <c r="BA183" s="22"/>
      <c r="BB183" s="22"/>
      <c r="BC183" s="22"/>
      <c r="BD183" s="22"/>
      <c r="BE183" s="22"/>
    </row>
    <row r="184" spans="1:57" ht="15" x14ac:dyDescent="0.25">
      <c r="A184" s="8" t="s">
        <v>167</v>
      </c>
      <c r="B184" s="8"/>
      <c r="C184" s="26"/>
      <c r="D184" s="26"/>
      <c r="E184" s="26"/>
      <c r="F184" s="1">
        <v>1</v>
      </c>
      <c r="G184" s="66">
        <v>60.355788058475099</v>
      </c>
      <c r="H184" s="8">
        <v>158</v>
      </c>
      <c r="I184" s="3" t="s">
        <v>291</v>
      </c>
      <c r="J184" s="13">
        <f t="shared" si="61"/>
        <v>0</v>
      </c>
      <c r="K184" s="78">
        <v>5462.45</v>
      </c>
      <c r="L184" s="36"/>
      <c r="M184" s="35"/>
      <c r="N184" s="81">
        <v>166</v>
      </c>
      <c r="O184" s="67">
        <f t="shared" si="62"/>
        <v>3.0389294181182438E-2</v>
      </c>
      <c r="P184" s="67">
        <f t="shared" si="63"/>
        <v>0</v>
      </c>
      <c r="Q184" s="36">
        <f t="shared" si="64"/>
        <v>0</v>
      </c>
      <c r="R184" s="36">
        <f t="shared" si="80"/>
        <v>0</v>
      </c>
      <c r="S184" s="79">
        <v>58</v>
      </c>
      <c r="T184" s="37">
        <f t="shared" si="65"/>
        <v>49.8</v>
      </c>
      <c r="U184" s="9">
        <f t="shared" si="66"/>
        <v>5520.95</v>
      </c>
      <c r="V184" s="73">
        <v>16071162018.67</v>
      </c>
      <c r="W184" s="73">
        <v>27840</v>
      </c>
      <c r="X184" s="18">
        <f t="shared" si="67"/>
        <v>577268.75</v>
      </c>
      <c r="Y184" s="38">
        <f t="shared" si="68"/>
        <v>3.1304059999999998</v>
      </c>
      <c r="Z184" s="73">
        <v>166307</v>
      </c>
      <c r="AA184" s="38">
        <f t="shared" si="69"/>
        <v>1.4893529999999999</v>
      </c>
      <c r="AB184" s="38">
        <f t="shared" si="70"/>
        <v>-1.63809</v>
      </c>
      <c r="AC184" s="39">
        <f t="shared" si="71"/>
        <v>0.01</v>
      </c>
      <c r="AD184" s="39">
        <f t="shared" si="85"/>
        <v>0.01</v>
      </c>
      <c r="AE184" s="80"/>
      <c r="AF184" s="40">
        <v>0</v>
      </c>
      <c r="AG184" s="9">
        <f t="shared" si="72"/>
        <v>0</v>
      </c>
      <c r="AH184" s="11">
        <f t="shared" si="73"/>
        <v>0</v>
      </c>
      <c r="AI184" s="11">
        <f t="shared" si="74"/>
        <v>636289</v>
      </c>
      <c r="AJ184" s="11">
        <f t="shared" si="75"/>
        <v>636289</v>
      </c>
      <c r="AK184" s="36">
        <v>465334</v>
      </c>
      <c r="AL184" s="36">
        <v>472954.05499999999</v>
      </c>
      <c r="AM184" s="36">
        <f t="shared" si="81"/>
        <v>170955</v>
      </c>
      <c r="AN184" s="68">
        <f t="shared" si="76"/>
        <v>636289</v>
      </c>
      <c r="AO184" s="68">
        <f t="shared" si="82"/>
        <v>170955</v>
      </c>
      <c r="AP184" s="69">
        <f t="shared" si="77"/>
        <v>491177.85800000001</v>
      </c>
      <c r="AQ184" s="36">
        <f t="shared" si="78"/>
        <v>18223.803000000014</v>
      </c>
      <c r="AR184" s="70">
        <f t="shared" si="79"/>
        <v>3.8531867540495056E-2</v>
      </c>
      <c r="AS184" s="36"/>
      <c r="AT184" s="22"/>
      <c r="AV184" s="22"/>
      <c r="AW184" s="22"/>
      <c r="BA184" s="22"/>
      <c r="BB184" s="22"/>
      <c r="BC184" s="22"/>
      <c r="BD184" s="22"/>
      <c r="BE184" s="22"/>
    </row>
    <row r="185" spans="1:57" ht="15" x14ac:dyDescent="0.25">
      <c r="A185" s="8" t="s">
        <v>135</v>
      </c>
      <c r="B185" s="8"/>
      <c r="C185" s="26"/>
      <c r="D185" s="26"/>
      <c r="E185" s="26"/>
      <c r="F185" s="1">
        <v>8</v>
      </c>
      <c r="G185" s="66">
        <v>247.57193211911547</v>
      </c>
      <c r="H185" s="8">
        <v>159</v>
      </c>
      <c r="I185" s="3" t="s">
        <v>292</v>
      </c>
      <c r="J185" s="13">
        <f t="shared" si="61"/>
        <v>0</v>
      </c>
      <c r="K185" s="78">
        <v>3859.04</v>
      </c>
      <c r="L185" s="36"/>
      <c r="M185" s="35"/>
      <c r="N185" s="81">
        <v>980</v>
      </c>
      <c r="O185" s="67">
        <f t="shared" si="62"/>
        <v>0.2539491687051702</v>
      </c>
      <c r="P185" s="67">
        <f t="shared" si="63"/>
        <v>0</v>
      </c>
      <c r="Q185" s="36">
        <f t="shared" si="64"/>
        <v>0</v>
      </c>
      <c r="R185" s="36">
        <f t="shared" si="80"/>
        <v>0</v>
      </c>
      <c r="S185" s="79">
        <v>331</v>
      </c>
      <c r="T185" s="37">
        <f t="shared" si="65"/>
        <v>294</v>
      </c>
      <c r="U185" s="9">
        <f t="shared" si="66"/>
        <v>4202.6899999999996</v>
      </c>
      <c r="V185" s="73">
        <v>3223989339</v>
      </c>
      <c r="W185" s="73">
        <v>26195</v>
      </c>
      <c r="X185" s="18">
        <f t="shared" si="67"/>
        <v>123076.52</v>
      </c>
      <c r="Y185" s="38">
        <f t="shared" si="68"/>
        <v>0.66741799999999996</v>
      </c>
      <c r="Z185" s="73">
        <v>78371</v>
      </c>
      <c r="AA185" s="38">
        <f t="shared" si="69"/>
        <v>0.701847</v>
      </c>
      <c r="AB185" s="38">
        <f t="shared" si="70"/>
        <v>0.32225300000000001</v>
      </c>
      <c r="AC185" s="39">
        <f t="shared" si="71"/>
        <v>0.32225300000000001</v>
      </c>
      <c r="AD185" s="39">
        <f t="shared" si="85"/>
        <v>0.32225300000000001</v>
      </c>
      <c r="AE185" s="80"/>
      <c r="AF185" s="40">
        <v>0</v>
      </c>
      <c r="AG185" s="9">
        <f t="shared" si="72"/>
        <v>0</v>
      </c>
      <c r="AH185" s="11">
        <f t="shared" si="73"/>
        <v>0</v>
      </c>
      <c r="AI185" s="11">
        <f t="shared" si="74"/>
        <v>15608647</v>
      </c>
      <c r="AJ185" s="11">
        <f t="shared" si="75"/>
        <v>15608647</v>
      </c>
      <c r="AK185" s="36">
        <v>9348852</v>
      </c>
      <c r="AL185" s="36">
        <v>9607576.0629999992</v>
      </c>
      <c r="AM185" s="36">
        <f t="shared" si="81"/>
        <v>6259795</v>
      </c>
      <c r="AN185" s="68">
        <f t="shared" si="76"/>
        <v>15608647</v>
      </c>
      <c r="AO185" s="68">
        <f t="shared" si="82"/>
        <v>6259795</v>
      </c>
      <c r="AP185" s="69">
        <f t="shared" si="77"/>
        <v>10274870.209999999</v>
      </c>
      <c r="AQ185" s="36">
        <f t="shared" si="78"/>
        <v>667294.14699999988</v>
      </c>
      <c r="AR185" s="70">
        <f t="shared" si="79"/>
        <v>6.9454994956515068E-2</v>
      </c>
      <c r="AS185" s="36"/>
      <c r="AT185" s="22"/>
      <c r="AV185" s="22"/>
      <c r="AW185" s="22"/>
      <c r="BA185" s="22"/>
      <c r="BB185" s="22"/>
      <c r="BC185" s="22"/>
      <c r="BD185" s="22"/>
      <c r="BE185" s="22"/>
    </row>
    <row r="186" spans="1:57" ht="15" x14ac:dyDescent="0.25">
      <c r="A186" s="8" t="s">
        <v>129</v>
      </c>
      <c r="B186" s="8"/>
      <c r="C186" s="26"/>
      <c r="D186" s="26"/>
      <c r="E186" s="26"/>
      <c r="F186" s="1">
        <v>8</v>
      </c>
      <c r="G186" s="66">
        <v>227.93069935403838</v>
      </c>
      <c r="H186" s="8">
        <v>160</v>
      </c>
      <c r="I186" s="3" t="s">
        <v>293</v>
      </c>
      <c r="J186" s="13">
        <f t="shared" si="61"/>
        <v>0</v>
      </c>
      <c r="K186" s="78">
        <v>628.49</v>
      </c>
      <c r="L186" s="36"/>
      <c r="M186" s="35"/>
      <c r="N186" s="81">
        <v>169</v>
      </c>
      <c r="O186" s="67">
        <f t="shared" si="62"/>
        <v>0.26889847093828062</v>
      </c>
      <c r="P186" s="67">
        <f t="shared" si="63"/>
        <v>0</v>
      </c>
      <c r="Q186" s="36">
        <f t="shared" si="64"/>
        <v>0</v>
      </c>
      <c r="R186" s="36">
        <f t="shared" si="80"/>
        <v>0</v>
      </c>
      <c r="S186" s="79">
        <v>4</v>
      </c>
      <c r="T186" s="37">
        <f t="shared" si="65"/>
        <v>50.7</v>
      </c>
      <c r="U186" s="9">
        <f t="shared" si="66"/>
        <v>679.79000000000008</v>
      </c>
      <c r="V186" s="73">
        <v>623317259.33000004</v>
      </c>
      <c r="W186" s="73">
        <v>5872</v>
      </c>
      <c r="X186" s="18">
        <f t="shared" si="67"/>
        <v>106150.76</v>
      </c>
      <c r="Y186" s="38">
        <f t="shared" si="68"/>
        <v>0.57563299999999995</v>
      </c>
      <c r="Z186" s="73">
        <v>72237</v>
      </c>
      <c r="AA186" s="38">
        <f t="shared" si="69"/>
        <v>0.64691500000000002</v>
      </c>
      <c r="AB186" s="38">
        <f t="shared" si="70"/>
        <v>0.40298200000000001</v>
      </c>
      <c r="AC186" s="39">
        <f t="shared" si="71"/>
        <v>0.40298200000000001</v>
      </c>
      <c r="AD186" s="39">
        <f t="shared" si="85"/>
        <v>0.40298200000000001</v>
      </c>
      <c r="AE186" s="80">
        <v>199</v>
      </c>
      <c r="AF186" s="40">
        <v>4</v>
      </c>
      <c r="AG186" s="9">
        <f t="shared" si="72"/>
        <v>30.77</v>
      </c>
      <c r="AH186" s="11">
        <f t="shared" si="73"/>
        <v>6123</v>
      </c>
      <c r="AI186" s="11">
        <f t="shared" si="74"/>
        <v>3157195</v>
      </c>
      <c r="AJ186" s="11">
        <f t="shared" si="75"/>
        <v>3163318</v>
      </c>
      <c r="AK186" s="36">
        <v>3637161</v>
      </c>
      <c r="AL186" s="36">
        <v>3534743.75</v>
      </c>
      <c r="AM186" s="36">
        <f t="shared" si="81"/>
        <v>-473843</v>
      </c>
      <c r="AN186" s="68">
        <f t="shared" si="76"/>
        <v>3163318</v>
      </c>
      <c r="AO186" s="68">
        <f t="shared" si="82"/>
        <v>-473843</v>
      </c>
      <c r="AP186" s="69">
        <f t="shared" si="77"/>
        <v>3495272.6280999999</v>
      </c>
      <c r="AQ186" s="36">
        <f t="shared" si="78"/>
        <v>-39471.121900000144</v>
      </c>
      <c r="AR186" s="70">
        <f t="shared" si="79"/>
        <v>-1.1166614807650525E-2</v>
      </c>
      <c r="AS186" s="36"/>
      <c r="AT186" s="22"/>
      <c r="AV186" s="22"/>
      <c r="AW186" s="22"/>
      <c r="BA186" s="22"/>
      <c r="BB186" s="22"/>
      <c r="BC186" s="22"/>
      <c r="BD186" s="22"/>
      <c r="BE186" s="22"/>
    </row>
    <row r="187" spans="1:57" ht="15" x14ac:dyDescent="0.25">
      <c r="A187" s="8" t="s">
        <v>167</v>
      </c>
      <c r="B187" s="8"/>
      <c r="C187" s="26"/>
      <c r="D187" s="26"/>
      <c r="E187" s="26"/>
      <c r="F187" s="1">
        <v>1</v>
      </c>
      <c r="G187" s="66">
        <v>134.00307949956596</v>
      </c>
      <c r="H187" s="8">
        <v>161</v>
      </c>
      <c r="I187" s="3" t="s">
        <v>294</v>
      </c>
      <c r="J187" s="13">
        <f t="shared" si="61"/>
        <v>0</v>
      </c>
      <c r="K187" s="78">
        <v>3913.67</v>
      </c>
      <c r="L187" s="36"/>
      <c r="M187" s="35"/>
      <c r="N187" s="81">
        <v>235</v>
      </c>
      <c r="O187" s="67">
        <f t="shared" si="62"/>
        <v>6.0045941533138969E-2</v>
      </c>
      <c r="P187" s="67">
        <f t="shared" si="63"/>
        <v>0</v>
      </c>
      <c r="Q187" s="36">
        <f t="shared" si="64"/>
        <v>0</v>
      </c>
      <c r="R187" s="36">
        <f t="shared" si="80"/>
        <v>0</v>
      </c>
      <c r="S187" s="79">
        <v>22</v>
      </c>
      <c r="T187" s="37">
        <f t="shared" ref="T187:T195" si="86">ROUND(N187*$T$2,2)</f>
        <v>70.5</v>
      </c>
      <c r="U187" s="9">
        <f t="shared" ref="U187:U195" si="87">K187+T187+0.15*S187+0.05*Q187</f>
        <v>3987.4700000000003</v>
      </c>
      <c r="V187" s="73">
        <v>6398587714</v>
      </c>
      <c r="W187" s="73">
        <v>18560</v>
      </c>
      <c r="X187" s="18">
        <f t="shared" si="67"/>
        <v>344751.49</v>
      </c>
      <c r="Y187" s="38">
        <f t="shared" si="68"/>
        <v>1.8695139999999999</v>
      </c>
      <c r="Z187" s="73">
        <v>179844</v>
      </c>
      <c r="AA187" s="38">
        <f t="shared" si="69"/>
        <v>1.6105830000000001</v>
      </c>
      <c r="AB187" s="38">
        <f t="shared" si="70"/>
        <v>-0.79183499999999996</v>
      </c>
      <c r="AC187" s="39">
        <f t="shared" ref="AC187:AC195" si="88">IF(C187=1,MAX($T$7,AB187),MAX($T$6,AB187))</f>
        <v>0.01</v>
      </c>
      <c r="AD187" s="39">
        <f t="shared" si="85"/>
        <v>0.01</v>
      </c>
      <c r="AE187" s="80"/>
      <c r="AF187" s="40">
        <v>0</v>
      </c>
      <c r="AG187" s="9">
        <f t="shared" si="72"/>
        <v>0</v>
      </c>
      <c r="AH187" s="11">
        <f t="shared" si="73"/>
        <v>0</v>
      </c>
      <c r="AI187" s="11">
        <f t="shared" si="74"/>
        <v>459556</v>
      </c>
      <c r="AJ187" s="11">
        <f t="shared" si="75"/>
        <v>459556</v>
      </c>
      <c r="AK187" s="36">
        <v>462941</v>
      </c>
      <c r="AL187" s="36">
        <v>463179.41499999998</v>
      </c>
      <c r="AM187" s="36">
        <f t="shared" si="81"/>
        <v>-3385</v>
      </c>
      <c r="AN187" s="68">
        <f t="shared" ref="AN187:AN195" si="89">IF(AND(C187=1,AL187&gt;AJ187),AL187,AJ187)</f>
        <v>459556</v>
      </c>
      <c r="AO187" s="68">
        <f t="shared" si="82"/>
        <v>-3385</v>
      </c>
      <c r="AP187" s="69">
        <f t="shared" si="77"/>
        <v>462897.44449999998</v>
      </c>
      <c r="AQ187" s="36">
        <f t="shared" si="78"/>
        <v>-281.97049999999581</v>
      </c>
      <c r="AR187" s="70">
        <f t="shared" si="79"/>
        <v>-6.087716570910126E-4</v>
      </c>
      <c r="AS187" s="36"/>
      <c r="AT187" s="22"/>
      <c r="AV187" s="22"/>
      <c r="AW187" s="22"/>
      <c r="BA187" s="22"/>
      <c r="BB187" s="22"/>
      <c r="BC187" s="22"/>
      <c r="BD187" s="22"/>
      <c r="BE187" s="22"/>
    </row>
    <row r="188" spans="1:57" ht="15" x14ac:dyDescent="0.25">
      <c r="A188" s="8" t="s">
        <v>140</v>
      </c>
      <c r="B188" s="8"/>
      <c r="C188" s="26">
        <v>1</v>
      </c>
      <c r="D188" s="26">
        <v>1</v>
      </c>
      <c r="E188" s="26"/>
      <c r="F188" s="1">
        <v>9</v>
      </c>
      <c r="G188" s="71">
        <v>287.36778847916821</v>
      </c>
      <c r="H188" s="8">
        <v>162</v>
      </c>
      <c r="I188" s="3" t="s">
        <v>295</v>
      </c>
      <c r="J188" s="13">
        <f t="shared" si="61"/>
        <v>0</v>
      </c>
      <c r="K188" s="78">
        <v>1118.5899999999999</v>
      </c>
      <c r="L188" s="36"/>
      <c r="M188" s="35"/>
      <c r="N188" s="81">
        <v>653</v>
      </c>
      <c r="O188" s="67">
        <f t="shared" si="62"/>
        <v>0.58377063982334909</v>
      </c>
      <c r="P188" s="67">
        <f t="shared" si="63"/>
        <v>0</v>
      </c>
      <c r="Q188" s="36">
        <f t="shared" si="64"/>
        <v>0</v>
      </c>
      <c r="R188" s="36">
        <f t="shared" si="80"/>
        <v>0</v>
      </c>
      <c r="S188" s="79">
        <v>57</v>
      </c>
      <c r="T188" s="37">
        <f t="shared" si="86"/>
        <v>195.9</v>
      </c>
      <c r="U188" s="9">
        <f t="shared" si="87"/>
        <v>1323.04</v>
      </c>
      <c r="V188" s="73">
        <v>993439953.33000004</v>
      </c>
      <c r="W188" s="73">
        <v>10754</v>
      </c>
      <c r="X188" s="18">
        <f t="shared" si="67"/>
        <v>92378.65</v>
      </c>
      <c r="Y188" s="38">
        <f t="shared" si="68"/>
        <v>0.50095000000000001</v>
      </c>
      <c r="Z188" s="73">
        <v>57429</v>
      </c>
      <c r="AA188" s="38">
        <f t="shared" si="69"/>
        <v>0.51430200000000004</v>
      </c>
      <c r="AB188" s="38">
        <f t="shared" si="70"/>
        <v>0.49504399999999998</v>
      </c>
      <c r="AC188" s="39">
        <f t="shared" si="88"/>
        <v>0.49504399999999998</v>
      </c>
      <c r="AD188" s="39">
        <f t="shared" si="85"/>
        <v>0.49504399999999998</v>
      </c>
      <c r="AE188" s="80"/>
      <c r="AF188" s="40">
        <v>0</v>
      </c>
      <c r="AG188" s="9">
        <f t="shared" si="72"/>
        <v>0</v>
      </c>
      <c r="AH188" s="11">
        <f t="shared" si="73"/>
        <v>0</v>
      </c>
      <c r="AI188" s="11">
        <f t="shared" si="74"/>
        <v>7548449</v>
      </c>
      <c r="AJ188" s="11">
        <f t="shared" si="75"/>
        <v>7548449</v>
      </c>
      <c r="AK188" s="36">
        <v>8024957</v>
      </c>
      <c r="AL188" s="36">
        <v>8024957</v>
      </c>
      <c r="AM188" s="36">
        <f t="shared" si="81"/>
        <v>-476508</v>
      </c>
      <c r="AN188" s="68">
        <f t="shared" si="89"/>
        <v>8024957</v>
      </c>
      <c r="AO188" s="68">
        <f t="shared" si="82"/>
        <v>0</v>
      </c>
      <c r="AP188" s="69">
        <f t="shared" si="77"/>
        <v>8024957</v>
      </c>
      <c r="AQ188" s="36">
        <f t="shared" si="78"/>
        <v>0</v>
      </c>
      <c r="AR188" s="70">
        <f t="shared" si="79"/>
        <v>0</v>
      </c>
      <c r="AS188" s="36"/>
      <c r="AT188" s="22"/>
      <c r="AV188" s="22"/>
      <c r="AW188" s="22"/>
      <c r="BA188" s="22"/>
      <c r="BB188" s="22"/>
      <c r="BC188" s="22"/>
      <c r="BD188" s="22"/>
      <c r="BE188" s="22"/>
    </row>
    <row r="189" spans="1:57" ht="15" x14ac:dyDescent="0.25">
      <c r="A189" s="8" t="s">
        <v>145</v>
      </c>
      <c r="B189" s="8">
        <v>1</v>
      </c>
      <c r="C189" s="26">
        <v>1</v>
      </c>
      <c r="D189" s="26">
        <v>0</v>
      </c>
      <c r="E189" s="26">
        <v>1</v>
      </c>
      <c r="F189" s="1">
        <v>10</v>
      </c>
      <c r="G189" s="71">
        <v>355.2474776648902</v>
      </c>
      <c r="H189" s="8">
        <v>163</v>
      </c>
      <c r="I189" s="3" t="s">
        <v>296</v>
      </c>
      <c r="J189" s="13">
        <f t="shared" si="61"/>
        <v>0</v>
      </c>
      <c r="K189" s="78">
        <v>3329.75</v>
      </c>
      <c r="L189" s="36"/>
      <c r="M189" s="35"/>
      <c r="N189" s="81">
        <v>2477</v>
      </c>
      <c r="O189" s="67">
        <f t="shared" si="62"/>
        <v>0.74389969216908181</v>
      </c>
      <c r="P189" s="67">
        <f t="shared" si="63"/>
        <v>0</v>
      </c>
      <c r="Q189" s="36">
        <f t="shared" si="64"/>
        <v>0</v>
      </c>
      <c r="R189" s="36">
        <f t="shared" si="80"/>
        <v>0</v>
      </c>
      <c r="S189" s="79">
        <v>929</v>
      </c>
      <c r="T189" s="37">
        <f t="shared" si="86"/>
        <v>743.1</v>
      </c>
      <c r="U189" s="9">
        <f t="shared" si="87"/>
        <v>4212.2</v>
      </c>
      <c r="V189" s="73">
        <v>1291923472</v>
      </c>
      <c r="W189" s="73">
        <v>24727</v>
      </c>
      <c r="X189" s="18">
        <f t="shared" si="67"/>
        <v>52247.48</v>
      </c>
      <c r="Y189" s="38">
        <f t="shared" si="68"/>
        <v>0.283327</v>
      </c>
      <c r="Z189" s="73">
        <v>40603</v>
      </c>
      <c r="AA189" s="38">
        <f t="shared" si="69"/>
        <v>0.363618</v>
      </c>
      <c r="AB189" s="38">
        <f t="shared" si="70"/>
        <v>0.69258600000000003</v>
      </c>
      <c r="AC189" s="39">
        <f t="shared" si="88"/>
        <v>0.69258600000000003</v>
      </c>
      <c r="AD189" s="39">
        <f t="shared" si="85"/>
        <v>0.74258600000000008</v>
      </c>
      <c r="AE189" s="80"/>
      <c r="AF189" s="40">
        <v>0</v>
      </c>
      <c r="AG189" s="9">
        <f t="shared" si="72"/>
        <v>0</v>
      </c>
      <c r="AH189" s="11">
        <f t="shared" si="73"/>
        <v>0</v>
      </c>
      <c r="AI189" s="11">
        <f t="shared" si="74"/>
        <v>36049287</v>
      </c>
      <c r="AJ189" s="11">
        <f t="shared" si="75"/>
        <v>36049287</v>
      </c>
      <c r="AK189" s="36">
        <v>26582071</v>
      </c>
      <c r="AL189" s="36">
        <v>26989804.561000001</v>
      </c>
      <c r="AM189" s="36">
        <f t="shared" si="81"/>
        <v>9467216</v>
      </c>
      <c r="AN189" s="68">
        <f t="shared" si="89"/>
        <v>36049287</v>
      </c>
      <c r="AO189" s="68">
        <f t="shared" si="82"/>
        <v>9467216</v>
      </c>
      <c r="AP189" s="69">
        <f t="shared" si="77"/>
        <v>27999009.786600001</v>
      </c>
      <c r="AQ189" s="36">
        <f t="shared" si="78"/>
        <v>1009205.2256000005</v>
      </c>
      <c r="AR189" s="70">
        <f t="shared" si="79"/>
        <v>3.7392090903032769E-2</v>
      </c>
      <c r="AS189" s="36"/>
      <c r="AT189" s="22"/>
      <c r="AV189" s="22"/>
      <c r="AW189" s="22"/>
      <c r="BA189" s="22"/>
      <c r="BB189" s="22"/>
      <c r="BC189" s="22"/>
      <c r="BD189" s="22"/>
      <c r="BE189" s="22"/>
    </row>
    <row r="190" spans="1:57" ht="15" x14ac:dyDescent="0.25">
      <c r="A190" s="8" t="s">
        <v>135</v>
      </c>
      <c r="B190" s="8"/>
      <c r="C190" s="26">
        <v>1</v>
      </c>
      <c r="D190" s="26">
        <v>1</v>
      </c>
      <c r="E190" s="26"/>
      <c r="F190" s="1">
        <v>6</v>
      </c>
      <c r="G190" s="71">
        <v>256.56342788476485</v>
      </c>
      <c r="H190" s="8">
        <v>164</v>
      </c>
      <c r="I190" s="3" t="s">
        <v>297</v>
      </c>
      <c r="J190" s="13">
        <f t="shared" si="61"/>
        <v>0</v>
      </c>
      <c r="K190" s="78">
        <v>3902.8</v>
      </c>
      <c r="L190" s="36"/>
      <c r="M190" s="35"/>
      <c r="N190" s="81">
        <v>1514</v>
      </c>
      <c r="O190" s="67">
        <f t="shared" si="62"/>
        <v>0.3879266167879471</v>
      </c>
      <c r="P190" s="67">
        <f t="shared" si="63"/>
        <v>0</v>
      </c>
      <c r="Q190" s="36">
        <f t="shared" si="64"/>
        <v>0</v>
      </c>
      <c r="R190" s="36">
        <f t="shared" si="80"/>
        <v>0</v>
      </c>
      <c r="S190" s="79">
        <v>98</v>
      </c>
      <c r="T190" s="37">
        <f t="shared" si="86"/>
        <v>454.2</v>
      </c>
      <c r="U190" s="9">
        <f t="shared" si="87"/>
        <v>4371.7</v>
      </c>
      <c r="V190" s="73">
        <v>4313868337</v>
      </c>
      <c r="W190" s="73">
        <v>28875</v>
      </c>
      <c r="X190" s="18">
        <f t="shared" si="67"/>
        <v>149398.04</v>
      </c>
      <c r="Y190" s="38">
        <f t="shared" si="68"/>
        <v>0.81015400000000004</v>
      </c>
      <c r="Z190" s="73">
        <v>82707</v>
      </c>
      <c r="AA190" s="38">
        <f t="shared" si="69"/>
        <v>0.74067799999999995</v>
      </c>
      <c r="AB190" s="38">
        <f t="shared" si="70"/>
        <v>0.21068899999999999</v>
      </c>
      <c r="AC190" s="39">
        <f t="shared" si="88"/>
        <v>0.21068899999999999</v>
      </c>
      <c r="AD190" s="39">
        <f t="shared" si="85"/>
        <v>0.21068899999999999</v>
      </c>
      <c r="AE190" s="80"/>
      <c r="AF190" s="40">
        <v>0</v>
      </c>
      <c r="AG190" s="9">
        <f t="shared" si="72"/>
        <v>0</v>
      </c>
      <c r="AH190" s="11">
        <f t="shared" si="73"/>
        <v>0</v>
      </c>
      <c r="AI190" s="11">
        <f t="shared" si="74"/>
        <v>10615321</v>
      </c>
      <c r="AJ190" s="11">
        <f t="shared" si="75"/>
        <v>10615321</v>
      </c>
      <c r="AK190" s="36">
        <v>12130392</v>
      </c>
      <c r="AL190" s="36">
        <v>12130392</v>
      </c>
      <c r="AM190" s="36">
        <f t="shared" si="81"/>
        <v>-1515071</v>
      </c>
      <c r="AN190" s="68">
        <f t="shared" si="89"/>
        <v>12130392</v>
      </c>
      <c r="AO190" s="68">
        <f t="shared" si="82"/>
        <v>0</v>
      </c>
      <c r="AP190" s="69">
        <f t="shared" si="77"/>
        <v>12130392</v>
      </c>
      <c r="AQ190" s="36">
        <f t="shared" si="78"/>
        <v>0</v>
      </c>
      <c r="AR190" s="70">
        <f t="shared" si="79"/>
        <v>0</v>
      </c>
      <c r="AS190" s="36"/>
      <c r="AT190" s="22"/>
      <c r="AV190" s="22"/>
      <c r="AW190" s="22"/>
      <c r="BA190" s="22"/>
      <c r="BB190" s="22"/>
      <c r="BC190" s="22"/>
      <c r="BD190" s="22"/>
      <c r="BE190" s="22"/>
    </row>
    <row r="191" spans="1:57" ht="15" x14ac:dyDescent="0.25">
      <c r="A191" s="8" t="s">
        <v>153</v>
      </c>
      <c r="B191" s="8"/>
      <c r="C191" s="26">
        <v>1</v>
      </c>
      <c r="D191" s="26">
        <v>1</v>
      </c>
      <c r="E191" s="26"/>
      <c r="F191" s="1">
        <v>7</v>
      </c>
      <c r="G191" s="66">
        <v>246.90997703725645</v>
      </c>
      <c r="H191" s="8">
        <v>165</v>
      </c>
      <c r="I191" s="3" t="s">
        <v>298</v>
      </c>
      <c r="J191" s="13">
        <f t="shared" si="61"/>
        <v>0</v>
      </c>
      <c r="K191" s="78">
        <v>1626.11</v>
      </c>
      <c r="L191" s="36"/>
      <c r="M191" s="35"/>
      <c r="N191" s="81">
        <v>723</v>
      </c>
      <c r="O191" s="67">
        <f t="shared" si="62"/>
        <v>0.44461936769345251</v>
      </c>
      <c r="P191" s="67">
        <f t="shared" si="63"/>
        <v>0</v>
      </c>
      <c r="Q191" s="36">
        <f t="shared" si="64"/>
        <v>0</v>
      </c>
      <c r="R191" s="36">
        <f t="shared" si="80"/>
        <v>0</v>
      </c>
      <c r="S191" s="79">
        <v>83</v>
      </c>
      <c r="T191" s="37">
        <f t="shared" si="86"/>
        <v>216.9</v>
      </c>
      <c r="U191" s="9">
        <f t="shared" si="87"/>
        <v>1855.46</v>
      </c>
      <c r="V191" s="73">
        <v>1834416996.3299999</v>
      </c>
      <c r="W191" s="73">
        <v>12512</v>
      </c>
      <c r="X191" s="18">
        <f t="shared" si="67"/>
        <v>146612.60999999999</v>
      </c>
      <c r="Y191" s="38">
        <f t="shared" si="68"/>
        <v>0.79504900000000001</v>
      </c>
      <c r="Z191" s="73">
        <v>66494</v>
      </c>
      <c r="AA191" s="38">
        <f t="shared" si="69"/>
        <v>0.59548299999999998</v>
      </c>
      <c r="AB191" s="38">
        <f t="shared" si="70"/>
        <v>0.26482099999999997</v>
      </c>
      <c r="AC191" s="39">
        <f t="shared" si="88"/>
        <v>0.26482099999999997</v>
      </c>
      <c r="AD191" s="39">
        <f t="shared" si="85"/>
        <v>0.26482099999999997</v>
      </c>
      <c r="AE191" s="80"/>
      <c r="AF191" s="40">
        <v>0</v>
      </c>
      <c r="AG191" s="9">
        <f t="shared" si="72"/>
        <v>0</v>
      </c>
      <c r="AH191" s="11">
        <f t="shared" si="73"/>
        <v>0</v>
      </c>
      <c r="AI191" s="11">
        <f t="shared" si="74"/>
        <v>5662979</v>
      </c>
      <c r="AJ191" s="11">
        <f t="shared" si="75"/>
        <v>5662979</v>
      </c>
      <c r="AK191" s="36">
        <v>5167806</v>
      </c>
      <c r="AL191" s="36">
        <v>5179535.6900000004</v>
      </c>
      <c r="AM191" s="36">
        <f t="shared" si="81"/>
        <v>495173</v>
      </c>
      <c r="AN191" s="68">
        <f t="shared" si="89"/>
        <v>5662979</v>
      </c>
      <c r="AO191" s="68">
        <f t="shared" si="82"/>
        <v>495173</v>
      </c>
      <c r="AP191" s="69">
        <f t="shared" si="77"/>
        <v>5232321.1318000006</v>
      </c>
      <c r="AQ191" s="36">
        <f t="shared" si="78"/>
        <v>52785.441800000146</v>
      </c>
      <c r="AR191" s="70">
        <f t="shared" si="79"/>
        <v>1.0191153215125377E-2</v>
      </c>
      <c r="AS191" s="36"/>
      <c r="AT191" s="22"/>
      <c r="AV191" s="22"/>
      <c r="AW191" s="22"/>
      <c r="BA191" s="22"/>
      <c r="BB191" s="22"/>
      <c r="BC191" s="22"/>
      <c r="BD191" s="22"/>
      <c r="BE191" s="22"/>
    </row>
    <row r="192" spans="1:57" ht="15" x14ac:dyDescent="0.25">
      <c r="A192" s="8" t="s">
        <v>153</v>
      </c>
      <c r="B192" s="8"/>
      <c r="C192" s="26"/>
      <c r="D192" s="26"/>
      <c r="E192" s="26"/>
      <c r="F192" s="1">
        <v>7</v>
      </c>
      <c r="G192" s="66">
        <v>227.18784407300831</v>
      </c>
      <c r="H192" s="8">
        <v>166</v>
      </c>
      <c r="I192" s="3" t="s">
        <v>299</v>
      </c>
      <c r="J192" s="13">
        <f t="shared" si="61"/>
        <v>0</v>
      </c>
      <c r="K192" s="78">
        <v>2454.2800000000002</v>
      </c>
      <c r="L192" s="36"/>
      <c r="M192" s="35"/>
      <c r="N192" s="81">
        <v>673</v>
      </c>
      <c r="O192" s="67">
        <f t="shared" si="62"/>
        <v>0.27421484101243537</v>
      </c>
      <c r="P192" s="67">
        <f t="shared" si="63"/>
        <v>0</v>
      </c>
      <c r="Q192" s="36">
        <f t="shared" si="64"/>
        <v>0</v>
      </c>
      <c r="R192" s="36">
        <f t="shared" si="80"/>
        <v>0</v>
      </c>
      <c r="S192" s="79">
        <v>64</v>
      </c>
      <c r="T192" s="37">
        <f t="shared" si="86"/>
        <v>201.9</v>
      </c>
      <c r="U192" s="9">
        <f t="shared" si="87"/>
        <v>2665.78</v>
      </c>
      <c r="V192" s="73">
        <v>1814085299.6700001</v>
      </c>
      <c r="W192" s="73">
        <v>16643</v>
      </c>
      <c r="X192" s="18">
        <f t="shared" si="67"/>
        <v>108999.9</v>
      </c>
      <c r="Y192" s="38">
        <f t="shared" si="68"/>
        <v>0.59108300000000003</v>
      </c>
      <c r="Z192" s="73">
        <v>83828</v>
      </c>
      <c r="AA192" s="38">
        <f t="shared" si="69"/>
        <v>0.75071699999999997</v>
      </c>
      <c r="AB192" s="38">
        <f t="shared" si="70"/>
        <v>0.36102699999999999</v>
      </c>
      <c r="AC192" s="39">
        <f t="shared" si="88"/>
        <v>0.36102699999999999</v>
      </c>
      <c r="AD192" s="39">
        <f t="shared" si="85"/>
        <v>0.36102699999999999</v>
      </c>
      <c r="AE192" s="80"/>
      <c r="AF192" s="40">
        <v>0</v>
      </c>
      <c r="AG192" s="9">
        <f t="shared" si="72"/>
        <v>0</v>
      </c>
      <c r="AH192" s="11">
        <f t="shared" si="73"/>
        <v>0</v>
      </c>
      <c r="AI192" s="11">
        <f t="shared" si="74"/>
        <v>11091874</v>
      </c>
      <c r="AJ192" s="11">
        <f t="shared" si="75"/>
        <v>11091874</v>
      </c>
      <c r="AK192" s="36">
        <v>13423576</v>
      </c>
      <c r="AL192" s="36">
        <v>12783924.5</v>
      </c>
      <c r="AM192" s="36">
        <f t="shared" si="81"/>
        <v>-2331702</v>
      </c>
      <c r="AN192" s="68">
        <f t="shared" si="89"/>
        <v>11091874</v>
      </c>
      <c r="AO192" s="68">
        <f t="shared" si="82"/>
        <v>-2331702</v>
      </c>
      <c r="AP192" s="69">
        <f t="shared" si="77"/>
        <v>12589693.7234</v>
      </c>
      <c r="AQ192" s="36">
        <f t="shared" si="78"/>
        <v>-194230.77659999952</v>
      </c>
      <c r="AR192" s="70">
        <f t="shared" si="79"/>
        <v>-1.5193360739888561E-2</v>
      </c>
      <c r="AS192" s="36"/>
      <c r="AT192" s="22"/>
      <c r="AV192" s="22"/>
      <c r="AW192" s="22"/>
      <c r="BA192" s="22"/>
      <c r="BB192" s="22"/>
      <c r="BC192" s="22"/>
      <c r="BD192" s="22"/>
      <c r="BE192" s="22"/>
    </row>
    <row r="193" spans="1:57" ht="15" x14ac:dyDescent="0.25">
      <c r="A193" s="8" t="s">
        <v>131</v>
      </c>
      <c r="B193" s="8"/>
      <c r="C193" s="26"/>
      <c r="D193" s="26"/>
      <c r="E193" s="26"/>
      <c r="F193" s="1">
        <v>2</v>
      </c>
      <c r="G193" s="66">
        <v>189.90648789552557</v>
      </c>
      <c r="H193" s="8">
        <v>167</v>
      </c>
      <c r="I193" s="3" t="s">
        <v>300</v>
      </c>
      <c r="J193" s="13">
        <f t="shared" si="61"/>
        <v>0</v>
      </c>
      <c r="K193" s="78">
        <v>1547.56</v>
      </c>
      <c r="L193" s="36"/>
      <c r="M193" s="35"/>
      <c r="N193" s="81">
        <v>180</v>
      </c>
      <c r="O193" s="67">
        <f t="shared" si="62"/>
        <v>0.11631213006280855</v>
      </c>
      <c r="P193" s="67">
        <f t="shared" si="63"/>
        <v>0</v>
      </c>
      <c r="Q193" s="36">
        <f t="shared" si="64"/>
        <v>0</v>
      </c>
      <c r="R193" s="36">
        <f t="shared" si="80"/>
        <v>0</v>
      </c>
      <c r="S193" s="79">
        <v>26</v>
      </c>
      <c r="T193" s="37">
        <f t="shared" si="86"/>
        <v>54</v>
      </c>
      <c r="U193" s="9">
        <f t="shared" si="87"/>
        <v>1605.46</v>
      </c>
      <c r="V193" s="73">
        <v>1646901571</v>
      </c>
      <c r="W193" s="73">
        <v>8842</v>
      </c>
      <c r="X193" s="18">
        <f t="shared" si="67"/>
        <v>186258.94</v>
      </c>
      <c r="Y193" s="38">
        <f t="shared" si="68"/>
        <v>1.010043</v>
      </c>
      <c r="Z193" s="73">
        <v>136786</v>
      </c>
      <c r="AA193" s="38">
        <f t="shared" si="69"/>
        <v>1.22498</v>
      </c>
      <c r="AB193" s="38">
        <f t="shared" si="70"/>
        <v>-7.4524000000000007E-2</v>
      </c>
      <c r="AC193" s="39">
        <f t="shared" si="88"/>
        <v>0.01</v>
      </c>
      <c r="AD193" s="39">
        <f t="shared" si="85"/>
        <v>0.01</v>
      </c>
      <c r="AE193" s="80">
        <v>680</v>
      </c>
      <c r="AF193" s="40">
        <v>6</v>
      </c>
      <c r="AG193" s="9">
        <f t="shared" si="72"/>
        <v>46.15</v>
      </c>
      <c r="AH193" s="11">
        <f t="shared" si="73"/>
        <v>31382</v>
      </c>
      <c r="AI193" s="11">
        <f t="shared" si="74"/>
        <v>185029</v>
      </c>
      <c r="AJ193" s="11">
        <f t="shared" si="75"/>
        <v>216411</v>
      </c>
      <c r="AK193" s="36">
        <v>656185</v>
      </c>
      <c r="AL193" s="36">
        <v>544689.5</v>
      </c>
      <c r="AM193" s="36">
        <f t="shared" si="81"/>
        <v>-439774</v>
      </c>
      <c r="AN193" s="68">
        <f t="shared" si="89"/>
        <v>216411</v>
      </c>
      <c r="AO193" s="68">
        <f t="shared" si="82"/>
        <v>-439774</v>
      </c>
      <c r="AP193" s="69">
        <f t="shared" si="77"/>
        <v>508056.32579999999</v>
      </c>
      <c r="AQ193" s="36">
        <f t="shared" si="78"/>
        <v>-36633.174200000009</v>
      </c>
      <c r="AR193" s="70">
        <f t="shared" si="79"/>
        <v>-6.725515031958576E-2</v>
      </c>
      <c r="AS193" s="36"/>
      <c r="AT193" s="22"/>
      <c r="AV193" s="22"/>
      <c r="AW193" s="22"/>
      <c r="BA193" s="22"/>
      <c r="BB193" s="22"/>
      <c r="BC193" s="22"/>
      <c r="BD193" s="22"/>
      <c r="BE193" s="22"/>
    </row>
    <row r="194" spans="1:57" ht="15" x14ac:dyDescent="0.25">
      <c r="A194" s="8" t="s">
        <v>125</v>
      </c>
      <c r="B194" s="8"/>
      <c r="C194" s="26"/>
      <c r="D194" s="26"/>
      <c r="E194" s="26"/>
      <c r="F194" s="1">
        <v>4</v>
      </c>
      <c r="G194" s="66">
        <v>210.79962088787397</v>
      </c>
      <c r="H194" s="8">
        <v>168</v>
      </c>
      <c r="I194" s="3" t="s">
        <v>301</v>
      </c>
      <c r="J194" s="13">
        <f t="shared" si="61"/>
        <v>0</v>
      </c>
      <c r="K194" s="78">
        <v>1061.54</v>
      </c>
      <c r="L194" s="36"/>
      <c r="M194" s="35"/>
      <c r="N194" s="81">
        <v>193</v>
      </c>
      <c r="O194" s="67">
        <f t="shared" si="62"/>
        <v>0.18181133070821637</v>
      </c>
      <c r="P194" s="67">
        <f t="shared" si="63"/>
        <v>0</v>
      </c>
      <c r="Q194" s="36">
        <f t="shared" si="64"/>
        <v>0</v>
      </c>
      <c r="R194" s="36">
        <f t="shared" si="80"/>
        <v>0</v>
      </c>
      <c r="S194" s="79">
        <v>17</v>
      </c>
      <c r="T194" s="37">
        <f t="shared" si="86"/>
        <v>57.9</v>
      </c>
      <c r="U194" s="9">
        <f t="shared" si="87"/>
        <v>1121.99</v>
      </c>
      <c r="V194" s="73">
        <v>1546529862</v>
      </c>
      <c r="W194" s="73">
        <v>9591</v>
      </c>
      <c r="X194" s="18">
        <f t="shared" si="67"/>
        <v>161248.03</v>
      </c>
      <c r="Y194" s="38">
        <f t="shared" si="68"/>
        <v>0.87441400000000002</v>
      </c>
      <c r="Z194" s="73">
        <v>79387</v>
      </c>
      <c r="AA194" s="38">
        <f t="shared" si="69"/>
        <v>0.71094599999999997</v>
      </c>
      <c r="AB194" s="38">
        <f t="shared" si="70"/>
        <v>0.174626</v>
      </c>
      <c r="AC194" s="39">
        <f t="shared" si="88"/>
        <v>0.174626</v>
      </c>
      <c r="AD194" s="39">
        <f t="shared" si="85"/>
        <v>0.174626</v>
      </c>
      <c r="AE194" s="80">
        <v>1061</v>
      </c>
      <c r="AF194" s="40">
        <v>13</v>
      </c>
      <c r="AG194" s="9">
        <f t="shared" si="72"/>
        <v>100</v>
      </c>
      <c r="AH194" s="11">
        <f t="shared" si="73"/>
        <v>106100</v>
      </c>
      <c r="AI194" s="11">
        <f t="shared" si="74"/>
        <v>2258077</v>
      </c>
      <c r="AJ194" s="11">
        <f t="shared" si="75"/>
        <v>2364177</v>
      </c>
      <c r="AK194" s="36">
        <v>1276811</v>
      </c>
      <c r="AL194" s="36">
        <v>1312789.976</v>
      </c>
      <c r="AM194" s="36">
        <f t="shared" si="81"/>
        <v>1087366</v>
      </c>
      <c r="AN194" s="68">
        <f t="shared" si="89"/>
        <v>2364177</v>
      </c>
      <c r="AO194" s="68">
        <f t="shared" si="82"/>
        <v>1087366</v>
      </c>
      <c r="AP194" s="69">
        <f t="shared" si="77"/>
        <v>1428703.1916</v>
      </c>
      <c r="AQ194" s="36">
        <f t="shared" si="78"/>
        <v>115913.2156</v>
      </c>
      <c r="AR194" s="70">
        <f t="shared" si="79"/>
        <v>8.8295323485925212E-2</v>
      </c>
      <c r="AS194" s="36"/>
      <c r="AT194" s="22"/>
      <c r="AV194" s="22"/>
      <c r="AW194" s="22"/>
      <c r="BA194" s="22"/>
      <c r="BB194" s="22"/>
      <c r="BC194" s="22"/>
      <c r="BD194" s="22"/>
      <c r="BE194" s="22"/>
    </row>
    <row r="195" spans="1:57" ht="15" x14ac:dyDescent="0.25">
      <c r="A195" s="8" t="s">
        <v>129</v>
      </c>
      <c r="B195" s="8"/>
      <c r="C195" s="26"/>
      <c r="D195" s="26"/>
      <c r="E195" s="26"/>
      <c r="F195" s="1">
        <v>7</v>
      </c>
      <c r="G195" s="66">
        <v>219.7269293629617</v>
      </c>
      <c r="H195" s="8">
        <v>169</v>
      </c>
      <c r="I195" s="3" t="s">
        <v>302</v>
      </c>
      <c r="J195" s="13">
        <f t="shared" si="61"/>
        <v>0</v>
      </c>
      <c r="K195" s="78">
        <v>1300.1600000000001</v>
      </c>
      <c r="L195" s="36"/>
      <c r="M195" s="35"/>
      <c r="N195" s="81">
        <v>182</v>
      </c>
      <c r="O195" s="67">
        <f t="shared" si="62"/>
        <v>0.13998277135121831</v>
      </c>
      <c r="P195" s="67">
        <f t="shared" si="63"/>
        <v>0</v>
      </c>
      <c r="Q195" s="36">
        <f t="shared" si="64"/>
        <v>0</v>
      </c>
      <c r="R195" s="36">
        <f t="shared" si="80"/>
        <v>0</v>
      </c>
      <c r="S195" s="79">
        <v>3</v>
      </c>
      <c r="T195" s="37">
        <f t="shared" si="86"/>
        <v>54.6</v>
      </c>
      <c r="U195" s="9">
        <f t="shared" si="87"/>
        <v>1355.21</v>
      </c>
      <c r="V195" s="73">
        <v>1005169360.33</v>
      </c>
      <c r="W195" s="73">
        <v>7823</v>
      </c>
      <c r="X195" s="18">
        <f t="shared" si="67"/>
        <v>128488.99</v>
      </c>
      <c r="Y195" s="38">
        <f t="shared" si="68"/>
        <v>0.69676800000000005</v>
      </c>
      <c r="Z195" s="73">
        <v>84700</v>
      </c>
      <c r="AA195" s="38">
        <f t="shared" si="69"/>
        <v>0.75852600000000003</v>
      </c>
      <c r="AB195" s="38">
        <f t="shared" si="70"/>
        <v>0.28470499999999999</v>
      </c>
      <c r="AC195" s="39">
        <f t="shared" si="88"/>
        <v>0.28470499999999999</v>
      </c>
      <c r="AD195" s="39">
        <f t="shared" si="85"/>
        <v>0.28470499999999999</v>
      </c>
      <c r="AE195" s="80"/>
      <c r="AF195" s="40">
        <v>0</v>
      </c>
      <c r="AG195" s="9">
        <f t="shared" si="72"/>
        <v>0</v>
      </c>
      <c r="AH195" s="11">
        <f t="shared" si="73"/>
        <v>0</v>
      </c>
      <c r="AI195" s="11">
        <f t="shared" si="74"/>
        <v>4446749</v>
      </c>
      <c r="AJ195" s="11">
        <f t="shared" si="75"/>
        <v>4446749</v>
      </c>
      <c r="AK195" s="36">
        <v>5356542</v>
      </c>
      <c r="AL195" s="36">
        <v>5151841.75</v>
      </c>
      <c r="AM195" s="36">
        <f t="shared" si="81"/>
        <v>-909793</v>
      </c>
      <c r="AN195" s="68">
        <f t="shared" si="89"/>
        <v>4446749</v>
      </c>
      <c r="AO195" s="68">
        <f t="shared" si="82"/>
        <v>-909793</v>
      </c>
      <c r="AP195" s="69">
        <f t="shared" si="77"/>
        <v>5076055.9930999996</v>
      </c>
      <c r="AQ195" s="36">
        <f t="shared" si="78"/>
        <v>-75785.756900000386</v>
      </c>
      <c r="AR195" s="70">
        <f t="shared" si="79"/>
        <v>-1.4710420190992937E-2</v>
      </c>
      <c r="AS195" s="36"/>
      <c r="AT195" s="22"/>
      <c r="AV195" s="22"/>
      <c r="AW195" s="22"/>
      <c r="BA195" s="22"/>
      <c r="BB195" s="22"/>
      <c r="BC195" s="22"/>
      <c r="BD195" s="22"/>
      <c r="BE195" s="22"/>
    </row>
    <row r="196" spans="1:57" x14ac:dyDescent="0.2">
      <c r="V196" s="1"/>
      <c r="X196" s="1"/>
      <c r="AE196" s="11"/>
    </row>
    <row r="197" spans="1:57" x14ac:dyDescent="0.2">
      <c r="K197" s="9"/>
      <c r="L197" s="9"/>
      <c r="M197" s="9"/>
      <c r="V197" s="37">
        <f>SUM(V27:V195)</f>
        <v>544007731549.64996</v>
      </c>
      <c r="X197" s="37"/>
      <c r="Y197" s="21"/>
      <c r="AE197" s="11"/>
    </row>
    <row r="198" spans="1:57" x14ac:dyDescent="0.2">
      <c r="K198" s="9"/>
      <c r="L198" s="9"/>
      <c r="M198" s="9"/>
      <c r="U198" s="9"/>
      <c r="AE198" s="11"/>
    </row>
    <row r="199" spans="1:57" x14ac:dyDescent="0.2">
      <c r="K199" s="9"/>
      <c r="L199" s="9"/>
      <c r="M199" s="9"/>
      <c r="U199" s="9"/>
      <c r="AE199" s="11"/>
    </row>
    <row r="200" spans="1:57" x14ac:dyDescent="0.2">
      <c r="K200" s="9"/>
      <c r="L200" s="9"/>
      <c r="M200" s="9"/>
      <c r="U200" s="9"/>
      <c r="AE200" s="11"/>
    </row>
    <row r="201" spans="1:57" x14ac:dyDescent="0.2">
      <c r="K201" s="9"/>
      <c r="L201" s="9"/>
      <c r="M201" s="9"/>
      <c r="U201" s="9"/>
    </row>
    <row r="202" spans="1:57" x14ac:dyDescent="0.2">
      <c r="K202" s="9"/>
      <c r="L202" s="9"/>
      <c r="M202" s="9"/>
      <c r="U202" s="9"/>
    </row>
    <row r="203" spans="1:57" x14ac:dyDescent="0.2">
      <c r="K203" s="9"/>
      <c r="L203" s="9"/>
      <c r="M203" s="9"/>
      <c r="U203" s="9"/>
    </row>
    <row r="204" spans="1:57" x14ac:dyDescent="0.2">
      <c r="K204" s="9"/>
      <c r="L204" s="9"/>
      <c r="M204" s="9"/>
      <c r="U204" s="9"/>
    </row>
    <row r="205" spans="1:57" x14ac:dyDescent="0.2">
      <c r="K205" s="9"/>
      <c r="L205" s="9"/>
      <c r="M205" s="9"/>
      <c r="U205" s="9"/>
    </row>
    <row r="206" spans="1:5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9"/>
      <c r="L206" s="9"/>
      <c r="M206" s="9"/>
      <c r="U206" s="9"/>
    </row>
    <row r="207" spans="1:5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9"/>
      <c r="L207" s="9"/>
      <c r="M207" s="9"/>
      <c r="U207" s="9"/>
    </row>
    <row r="208" spans="1:5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9"/>
      <c r="L208" s="9"/>
      <c r="M208" s="9"/>
      <c r="U208" s="9"/>
    </row>
    <row r="209" spans="11:42" s="1" customFormat="1" x14ac:dyDescent="0.2">
      <c r="K209" s="9"/>
      <c r="L209" s="9"/>
      <c r="M209" s="9"/>
      <c r="N209" s="3"/>
      <c r="O209" s="3"/>
      <c r="P209" s="3"/>
      <c r="Q209" s="3"/>
      <c r="R209" s="3"/>
      <c r="S209" s="3"/>
      <c r="T209" s="3"/>
      <c r="U209" s="9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42"/>
      <c r="AO209" s="42"/>
      <c r="AP209" s="43"/>
    </row>
    <row r="210" spans="11:42" s="1" customFormat="1" x14ac:dyDescent="0.2">
      <c r="K210" s="9"/>
      <c r="L210" s="9"/>
      <c r="M210" s="9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42"/>
      <c r="AO210" s="42"/>
      <c r="AP210" s="43"/>
    </row>
    <row r="211" spans="11:42" s="1" customFormat="1" x14ac:dyDescent="0.2">
      <c r="K211" s="9"/>
      <c r="L211" s="9"/>
      <c r="M211" s="9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42"/>
      <c r="AO211" s="42"/>
      <c r="AP211" s="43"/>
    </row>
    <row r="212" spans="11:42" s="1" customFormat="1" x14ac:dyDescent="0.2">
      <c r="K212" s="9"/>
      <c r="L212" s="9"/>
      <c r="M212" s="9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42"/>
      <c r="AO212" s="42"/>
      <c r="AP212" s="43"/>
    </row>
    <row r="213" spans="11:42" s="1" customFormat="1" x14ac:dyDescent="0.2">
      <c r="K213" s="9"/>
      <c r="L213" s="9"/>
      <c r="M213" s="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42"/>
      <c r="AO213" s="42"/>
      <c r="AP213" s="43"/>
    </row>
    <row r="214" spans="11:42" s="1" customFormat="1" x14ac:dyDescent="0.2">
      <c r="K214" s="9"/>
      <c r="L214" s="9"/>
      <c r="M214" s="9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42"/>
      <c r="AO214" s="42"/>
      <c r="AP214" s="43"/>
    </row>
    <row r="215" spans="11:42" s="1" customFormat="1" x14ac:dyDescent="0.2">
      <c r="K215" s="9"/>
      <c r="L215" s="9"/>
      <c r="M215" s="9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42"/>
      <c r="AO215" s="42"/>
      <c r="AP215" s="43"/>
    </row>
    <row r="216" spans="11:42" s="1" customFormat="1" x14ac:dyDescent="0.2">
      <c r="K216" s="9"/>
      <c r="L216" s="9"/>
      <c r="M216" s="9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42"/>
      <c r="AO216" s="42"/>
      <c r="AP216" s="43"/>
    </row>
    <row r="217" spans="11:42" s="1" customFormat="1" x14ac:dyDescent="0.2">
      <c r="K217" s="9"/>
      <c r="L217" s="9"/>
      <c r="M217" s="9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42"/>
      <c r="AO217" s="42"/>
      <c r="AP217" s="43"/>
    </row>
    <row r="218" spans="11:42" s="1" customFormat="1" x14ac:dyDescent="0.2">
      <c r="K218" s="9"/>
      <c r="L218" s="9"/>
      <c r="M218" s="9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42"/>
      <c r="AO218" s="42"/>
      <c r="AP218" s="43"/>
    </row>
    <row r="219" spans="11:42" s="1" customFormat="1" x14ac:dyDescent="0.2">
      <c r="K219" s="9"/>
      <c r="L219" s="9"/>
      <c r="M219" s="9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42"/>
      <c r="AO219" s="42"/>
      <c r="AP219" s="43"/>
    </row>
    <row r="220" spans="11:42" s="1" customFormat="1" x14ac:dyDescent="0.2">
      <c r="K220" s="9"/>
      <c r="L220" s="9"/>
      <c r="M220" s="9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42"/>
      <c r="AO220" s="42"/>
      <c r="AP220" s="43"/>
    </row>
    <row r="221" spans="11:42" s="1" customFormat="1" x14ac:dyDescent="0.2">
      <c r="K221" s="9"/>
      <c r="L221" s="9"/>
      <c r="M221" s="9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42"/>
      <c r="AO221" s="42"/>
      <c r="AP221" s="43"/>
    </row>
    <row r="222" spans="11:42" s="3" customFormat="1" x14ac:dyDescent="0.2">
      <c r="K222" s="9"/>
      <c r="L222" s="9"/>
      <c r="M222" s="9"/>
      <c r="AN222" s="42"/>
      <c r="AO222" s="42"/>
      <c r="AP222" s="43"/>
    </row>
    <row r="223" spans="11:42" s="3" customFormat="1" x14ac:dyDescent="0.2">
      <c r="K223" s="9"/>
      <c r="L223" s="9"/>
      <c r="M223" s="9"/>
      <c r="AN223" s="42"/>
      <c r="AO223" s="42"/>
      <c r="AP223" s="43"/>
    </row>
    <row r="224" spans="11:42" s="3" customFormat="1" x14ac:dyDescent="0.2">
      <c r="K224" s="9"/>
      <c r="L224" s="9"/>
      <c r="M224" s="9"/>
      <c r="AN224" s="42"/>
      <c r="AO224" s="42"/>
      <c r="AP224" s="43"/>
    </row>
    <row r="225" spans="1:45" s="3" customFormat="1" x14ac:dyDescent="0.2">
      <c r="K225" s="9"/>
      <c r="L225" s="9"/>
      <c r="M225" s="9"/>
      <c r="AN225" s="42"/>
      <c r="AO225" s="42"/>
      <c r="AP225" s="43"/>
    </row>
    <row r="226" spans="1:45" s="3" customFormat="1" x14ac:dyDescent="0.2">
      <c r="K226" s="9"/>
      <c r="L226" s="9"/>
      <c r="M226" s="9"/>
      <c r="AN226" s="42"/>
      <c r="AO226" s="42"/>
      <c r="AP226" s="43"/>
    </row>
    <row r="227" spans="1:45" s="3" customFormat="1" x14ac:dyDescent="0.2">
      <c r="K227" s="9"/>
      <c r="L227" s="9"/>
      <c r="M227" s="9"/>
      <c r="AN227" s="42"/>
      <c r="AO227" s="42"/>
      <c r="AP227" s="43"/>
    </row>
    <row r="228" spans="1:45" s="3" customFormat="1" x14ac:dyDescent="0.2">
      <c r="K228" s="9"/>
      <c r="L228" s="9"/>
      <c r="M228" s="9"/>
      <c r="AN228" s="42"/>
      <c r="AO228" s="42"/>
      <c r="AP228" s="43"/>
    </row>
    <row r="229" spans="1:45" s="3" customFormat="1" x14ac:dyDescent="0.2">
      <c r="K229" s="9"/>
      <c r="L229" s="9"/>
      <c r="M229" s="9"/>
      <c r="AN229" s="42"/>
      <c r="AO229" s="42"/>
      <c r="AP229" s="43"/>
    </row>
    <row r="230" spans="1:45" s="3" customFormat="1" x14ac:dyDescent="0.2">
      <c r="A230" s="1"/>
      <c r="B230" s="1"/>
      <c r="K230" s="9"/>
      <c r="L230" s="9"/>
      <c r="M230" s="9"/>
      <c r="AN230" s="42"/>
      <c r="AO230" s="42"/>
      <c r="AP230" s="43"/>
    </row>
    <row r="231" spans="1:45" s="3" customFormat="1" x14ac:dyDescent="0.2">
      <c r="A231" s="1"/>
      <c r="B231" s="1"/>
      <c r="K231" s="9"/>
      <c r="L231" s="9"/>
      <c r="M231" s="9"/>
      <c r="AN231" s="42"/>
      <c r="AO231" s="42"/>
      <c r="AP231" s="43"/>
    </row>
    <row r="232" spans="1:45" s="3" customFormat="1" x14ac:dyDescent="0.2">
      <c r="A232" s="1"/>
      <c r="B232" s="1"/>
      <c r="K232" s="9"/>
      <c r="L232" s="9"/>
      <c r="M232" s="9"/>
      <c r="AN232" s="42"/>
      <c r="AO232" s="42"/>
      <c r="AP232" s="43"/>
    </row>
    <row r="233" spans="1:45" s="3" customFormat="1" x14ac:dyDescent="0.2">
      <c r="A233" s="1"/>
      <c r="B233" s="1"/>
      <c r="K233" s="9"/>
      <c r="L233" s="9"/>
      <c r="M233" s="9"/>
      <c r="AN233" s="42"/>
      <c r="AO233" s="42"/>
      <c r="AP233" s="43"/>
    </row>
    <row r="234" spans="1:45" s="3" customFormat="1" x14ac:dyDescent="0.2">
      <c r="K234" s="9"/>
      <c r="L234" s="9"/>
      <c r="M234" s="9"/>
      <c r="AN234" s="42"/>
      <c r="AO234" s="42"/>
      <c r="AP234" s="43"/>
    </row>
    <row r="235" spans="1:45" s="3" customFormat="1" x14ac:dyDescent="0.2">
      <c r="K235" s="9"/>
      <c r="L235" s="9"/>
      <c r="M235" s="9"/>
      <c r="AN235" s="42"/>
      <c r="AO235" s="42"/>
      <c r="AP235" s="43"/>
    </row>
    <row r="236" spans="1:45" s="3" customFormat="1" x14ac:dyDescent="0.2">
      <c r="K236" s="9"/>
      <c r="L236" s="9"/>
      <c r="M236" s="9"/>
      <c r="AN236" s="42"/>
      <c r="AO236" s="42"/>
      <c r="AP236" s="43"/>
    </row>
    <row r="237" spans="1:45" s="3" customFormat="1" x14ac:dyDescent="0.2">
      <c r="K237" s="9"/>
      <c r="L237" s="9"/>
      <c r="M237" s="9"/>
      <c r="AN237" s="42"/>
      <c r="AO237" s="42"/>
      <c r="AP237" s="43"/>
    </row>
    <row r="238" spans="1:4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9"/>
      <c r="L238" s="9"/>
      <c r="M238" s="9"/>
      <c r="AQ238" s="1"/>
      <c r="AR238" s="1"/>
      <c r="AS238" s="1"/>
    </row>
    <row r="239" spans="1:4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9"/>
      <c r="L239" s="9"/>
      <c r="M239" s="9"/>
      <c r="AQ239" s="1"/>
      <c r="AR239" s="1"/>
      <c r="AS239" s="1"/>
    </row>
    <row r="240" spans="1:4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9"/>
      <c r="L240" s="9"/>
      <c r="M240" s="9"/>
      <c r="AQ240" s="1"/>
      <c r="AR240" s="1"/>
      <c r="AS240" s="1"/>
    </row>
    <row r="241" spans="11:13" s="1" customFormat="1" x14ac:dyDescent="0.2">
      <c r="K241" s="9"/>
      <c r="L241" s="9"/>
      <c r="M241" s="9"/>
    </row>
    <row r="242" spans="11:13" s="1" customFormat="1" x14ac:dyDescent="0.2">
      <c r="K242" s="9"/>
      <c r="L242" s="9"/>
      <c r="M242" s="9"/>
    </row>
    <row r="243" spans="11:13" s="1" customFormat="1" x14ac:dyDescent="0.2">
      <c r="K243" s="9"/>
      <c r="L243" s="9"/>
      <c r="M243" s="9"/>
    </row>
    <row r="244" spans="11:13" s="1" customFormat="1" x14ac:dyDescent="0.2">
      <c r="K244" s="9"/>
      <c r="L244" s="9"/>
      <c r="M244" s="9"/>
    </row>
    <row r="245" spans="11:13" s="1" customFormat="1" x14ac:dyDescent="0.2">
      <c r="K245" s="9"/>
      <c r="L245" s="9"/>
      <c r="M245" s="9"/>
    </row>
    <row r="246" spans="11:13" s="1" customFormat="1" x14ac:dyDescent="0.2">
      <c r="K246" s="9"/>
      <c r="L246" s="9"/>
      <c r="M246" s="9"/>
    </row>
    <row r="247" spans="11:13" s="1" customFormat="1" x14ac:dyDescent="0.2">
      <c r="K247" s="9"/>
      <c r="L247" s="9"/>
      <c r="M247" s="9"/>
    </row>
    <row r="248" spans="11:13" s="1" customFormat="1" x14ac:dyDescent="0.2">
      <c r="K248" s="9"/>
      <c r="L248" s="9"/>
      <c r="M248" s="9"/>
    </row>
    <row r="249" spans="11:13" s="1" customFormat="1" x14ac:dyDescent="0.2">
      <c r="K249" s="9"/>
      <c r="L249" s="9"/>
      <c r="M249" s="9"/>
    </row>
    <row r="250" spans="11:13" s="1" customFormat="1" x14ac:dyDescent="0.2">
      <c r="K250" s="9"/>
      <c r="L250" s="9"/>
      <c r="M250" s="9"/>
    </row>
    <row r="251" spans="11:13" s="1" customFormat="1" x14ac:dyDescent="0.2">
      <c r="K251" s="9"/>
      <c r="L251" s="9"/>
      <c r="M251" s="9"/>
    </row>
    <row r="252" spans="11:13" s="1" customFormat="1" x14ac:dyDescent="0.2">
      <c r="K252" s="9"/>
      <c r="L252" s="9"/>
      <c r="M252" s="9"/>
    </row>
    <row r="253" spans="11:13" s="1" customFormat="1" x14ac:dyDescent="0.2">
      <c r="K253" s="9"/>
      <c r="L253" s="9"/>
      <c r="M253" s="9"/>
    </row>
    <row r="254" spans="11:13" s="1" customFormat="1" x14ac:dyDescent="0.2">
      <c r="K254" s="9"/>
      <c r="L254" s="9"/>
      <c r="M254" s="9"/>
    </row>
    <row r="255" spans="11:13" s="1" customFormat="1" x14ac:dyDescent="0.2">
      <c r="K255" s="9"/>
      <c r="L255" s="9"/>
      <c r="M255" s="9"/>
    </row>
    <row r="256" spans="11:13" s="1" customFormat="1" x14ac:dyDescent="0.2">
      <c r="K256" s="9"/>
      <c r="L256" s="9"/>
      <c r="M256" s="9"/>
    </row>
    <row r="257" spans="11:30" s="1" customFormat="1" x14ac:dyDescent="0.2">
      <c r="K257" s="9"/>
      <c r="L257" s="9"/>
      <c r="M257" s="9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1:30" s="1" customFormat="1" x14ac:dyDescent="0.2">
      <c r="K258" s="9"/>
      <c r="L258" s="9"/>
      <c r="M258" s="9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1:30" s="1" customFormat="1" x14ac:dyDescent="0.2">
      <c r="K259" s="9"/>
      <c r="L259" s="9"/>
      <c r="M259" s="9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1:30" s="1" customFormat="1" x14ac:dyDescent="0.2">
      <c r="K260" s="9"/>
      <c r="L260" s="9"/>
      <c r="M260" s="9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1:30" s="1" customFormat="1" x14ac:dyDescent="0.2">
      <c r="K261" s="9"/>
      <c r="L261" s="9"/>
      <c r="M261" s="9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1:30" s="1" customFormat="1" x14ac:dyDescent="0.2">
      <c r="K262" s="9"/>
      <c r="L262" s="9"/>
      <c r="M262" s="9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1:30" s="1" customFormat="1" x14ac:dyDescent="0.2">
      <c r="K263" s="9"/>
      <c r="L263" s="9"/>
      <c r="M263" s="9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1:30" s="1" customFormat="1" x14ac:dyDescent="0.2">
      <c r="K264" s="9"/>
      <c r="L264" s="9"/>
      <c r="M264" s="9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1:30" s="1" customFormat="1" x14ac:dyDescent="0.2">
      <c r="K265" s="9"/>
      <c r="L265" s="9"/>
      <c r="M265" s="9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1:30" s="1" customFormat="1" x14ac:dyDescent="0.2">
      <c r="K266" s="9"/>
      <c r="L266" s="9"/>
      <c r="M266" s="9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1:30" s="1" customFormat="1" x14ac:dyDescent="0.2">
      <c r="K267" s="9"/>
      <c r="L267" s="9"/>
      <c r="M267" s="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1:30" s="1" customFormat="1" x14ac:dyDescent="0.2">
      <c r="K268" s="9"/>
      <c r="L268" s="9"/>
      <c r="M268" s="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1:30" s="1" customFormat="1" x14ac:dyDescent="0.2">
      <c r="K269" s="9"/>
      <c r="L269" s="9"/>
      <c r="M269" s="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1:30" s="1" customFormat="1" x14ac:dyDescent="0.2">
      <c r="K270" s="9"/>
      <c r="L270" s="9"/>
      <c r="M270" s="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1:30" s="1" customFormat="1" x14ac:dyDescent="0.2">
      <c r="K271" s="9"/>
      <c r="L271" s="9"/>
      <c r="M271" s="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1:30" s="1" customFormat="1" x14ac:dyDescent="0.2">
      <c r="K272" s="9"/>
      <c r="L272" s="9"/>
      <c r="M272" s="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1:13" s="1" customFormat="1" x14ac:dyDescent="0.2">
      <c r="K273" s="9"/>
      <c r="L273" s="9"/>
      <c r="M273" s="9"/>
    </row>
    <row r="274" spans="11:13" s="1" customFormat="1" x14ac:dyDescent="0.2">
      <c r="K274" s="9"/>
      <c r="L274" s="9"/>
      <c r="M274" s="9"/>
    </row>
    <row r="275" spans="11:13" s="1" customFormat="1" x14ac:dyDescent="0.2">
      <c r="K275" s="9"/>
      <c r="L275" s="9"/>
      <c r="M275" s="9"/>
    </row>
    <row r="276" spans="11:13" s="1" customFormat="1" x14ac:dyDescent="0.2">
      <c r="K276" s="9"/>
      <c r="L276" s="9"/>
      <c r="M276" s="9"/>
    </row>
    <row r="277" spans="11:13" s="1" customFormat="1" x14ac:dyDescent="0.2">
      <c r="K277" s="9"/>
      <c r="L277" s="9"/>
      <c r="M277" s="9"/>
    </row>
    <row r="278" spans="11:13" s="1" customFormat="1" x14ac:dyDescent="0.2">
      <c r="K278" s="9"/>
      <c r="L278" s="9"/>
      <c r="M278" s="9"/>
    </row>
    <row r="279" spans="11:13" s="1" customFormat="1" x14ac:dyDescent="0.2">
      <c r="K279" s="9"/>
      <c r="L279" s="9"/>
      <c r="M279" s="9"/>
    </row>
    <row r="280" spans="11:13" s="1" customFormat="1" x14ac:dyDescent="0.2">
      <c r="K280" s="9"/>
      <c r="L280" s="9"/>
      <c r="M280" s="9"/>
    </row>
    <row r="281" spans="11:13" s="1" customFormat="1" x14ac:dyDescent="0.2">
      <c r="K281" s="9"/>
      <c r="L281" s="9"/>
      <c r="M281" s="9"/>
    </row>
    <row r="282" spans="11:13" s="1" customFormat="1" x14ac:dyDescent="0.2">
      <c r="K282" s="9"/>
      <c r="L282" s="9"/>
      <c r="M282" s="9"/>
    </row>
    <row r="283" spans="11:13" s="1" customFormat="1" x14ac:dyDescent="0.2">
      <c r="K283" s="9"/>
      <c r="L283" s="9"/>
      <c r="M283" s="9"/>
    </row>
    <row r="284" spans="11:13" s="1" customFormat="1" x14ac:dyDescent="0.2">
      <c r="K284" s="9"/>
      <c r="L284" s="9"/>
      <c r="M284" s="9"/>
    </row>
    <row r="285" spans="11:13" s="1" customFormat="1" x14ac:dyDescent="0.2">
      <c r="K285" s="9"/>
      <c r="L285" s="9"/>
      <c r="M285" s="9"/>
    </row>
    <row r="286" spans="11:13" s="1" customFormat="1" x14ac:dyDescent="0.2">
      <c r="K286" s="9"/>
      <c r="L286" s="9"/>
      <c r="M286" s="9"/>
    </row>
    <row r="287" spans="11:13" s="1" customFormat="1" x14ac:dyDescent="0.2">
      <c r="K287" s="9"/>
      <c r="L287" s="9"/>
      <c r="M287" s="9"/>
    </row>
    <row r="288" spans="11:13" s="1" customFormat="1" x14ac:dyDescent="0.2">
      <c r="K288" s="9"/>
      <c r="L288" s="9"/>
      <c r="M288" s="9"/>
    </row>
    <row r="289" spans="11:13" s="1" customFormat="1" x14ac:dyDescent="0.2">
      <c r="K289" s="9"/>
      <c r="L289" s="9"/>
      <c r="M289" s="9"/>
    </row>
    <row r="290" spans="11:13" s="1" customFormat="1" x14ac:dyDescent="0.2">
      <c r="K290" s="9"/>
      <c r="L290" s="9"/>
      <c r="M290" s="9"/>
    </row>
    <row r="291" spans="11:13" s="1" customFormat="1" x14ac:dyDescent="0.2">
      <c r="K291" s="9"/>
      <c r="L291" s="9"/>
      <c r="M291" s="9"/>
    </row>
    <row r="292" spans="11:13" s="1" customFormat="1" x14ac:dyDescent="0.2">
      <c r="K292" s="9"/>
      <c r="L292" s="9"/>
      <c r="M292" s="9"/>
    </row>
    <row r="293" spans="11:13" s="1" customFormat="1" x14ac:dyDescent="0.2">
      <c r="K293" s="9"/>
      <c r="L293" s="9"/>
      <c r="M293" s="9"/>
    </row>
    <row r="294" spans="11:13" s="1" customFormat="1" x14ac:dyDescent="0.2">
      <c r="K294" s="9"/>
      <c r="L294" s="9"/>
      <c r="M294" s="9"/>
    </row>
    <row r="295" spans="11:13" s="1" customFormat="1" x14ac:dyDescent="0.2">
      <c r="K295" s="9"/>
      <c r="L295" s="9"/>
      <c r="M295" s="9"/>
    </row>
    <row r="296" spans="11:13" s="1" customFormat="1" x14ac:dyDescent="0.2">
      <c r="K296" s="9"/>
      <c r="L296" s="9"/>
      <c r="M296" s="9"/>
    </row>
    <row r="297" spans="11:13" s="1" customFormat="1" x14ac:dyDescent="0.2">
      <c r="K297" s="9"/>
      <c r="L297" s="9"/>
      <c r="M297" s="9"/>
    </row>
    <row r="298" spans="11:13" s="1" customFormat="1" x14ac:dyDescent="0.2">
      <c r="K298" s="9"/>
      <c r="L298" s="9"/>
      <c r="M298" s="9"/>
    </row>
    <row r="299" spans="11:13" s="1" customFormat="1" x14ac:dyDescent="0.2">
      <c r="K299" s="9"/>
      <c r="L299" s="9"/>
      <c r="M299" s="9"/>
    </row>
    <row r="300" spans="11:13" s="1" customFormat="1" x14ac:dyDescent="0.2">
      <c r="K300" s="9"/>
      <c r="L300" s="9"/>
      <c r="M300" s="9"/>
    </row>
    <row r="301" spans="11:13" s="1" customFormat="1" x14ac:dyDescent="0.2">
      <c r="K301" s="9"/>
      <c r="L301" s="9"/>
      <c r="M301" s="9"/>
    </row>
    <row r="302" spans="11:13" s="1" customFormat="1" x14ac:dyDescent="0.2">
      <c r="K302" s="9"/>
      <c r="L302" s="9"/>
      <c r="M302" s="9"/>
    </row>
    <row r="303" spans="11:13" s="1" customFormat="1" x14ac:dyDescent="0.2">
      <c r="K303" s="9"/>
      <c r="L303" s="9"/>
      <c r="M303" s="9"/>
    </row>
    <row r="304" spans="11:13" s="1" customFormat="1" x14ac:dyDescent="0.2">
      <c r="K304" s="9"/>
      <c r="L304" s="9"/>
      <c r="M304" s="9"/>
    </row>
    <row r="305" spans="11:13" s="1" customFormat="1" x14ac:dyDescent="0.2">
      <c r="K305" s="9"/>
      <c r="L305" s="9"/>
      <c r="M305" s="9"/>
    </row>
    <row r="306" spans="11:13" s="1" customFormat="1" x14ac:dyDescent="0.2">
      <c r="K306" s="9"/>
      <c r="L306" s="9"/>
      <c r="M306" s="9"/>
    </row>
    <row r="307" spans="11:13" s="1" customFormat="1" x14ac:dyDescent="0.2">
      <c r="K307" s="9"/>
      <c r="L307" s="9"/>
      <c r="M307" s="9"/>
    </row>
    <row r="308" spans="11:13" s="1" customFormat="1" x14ac:dyDescent="0.2">
      <c r="K308" s="9"/>
      <c r="L308" s="9"/>
      <c r="M308" s="9"/>
    </row>
    <row r="309" spans="11:13" s="1" customFormat="1" x14ac:dyDescent="0.2">
      <c r="K309" s="9"/>
      <c r="L309" s="9"/>
      <c r="M309" s="9"/>
    </row>
    <row r="310" spans="11:13" s="1" customFormat="1" x14ac:dyDescent="0.2">
      <c r="K310" s="9"/>
      <c r="L310" s="9"/>
      <c r="M310" s="9"/>
    </row>
    <row r="311" spans="11:13" s="1" customFormat="1" x14ac:dyDescent="0.2">
      <c r="K311" s="9"/>
      <c r="L311" s="9"/>
      <c r="M311" s="9"/>
    </row>
    <row r="312" spans="11:13" s="1" customFormat="1" x14ac:dyDescent="0.2">
      <c r="K312" s="9"/>
      <c r="L312" s="9"/>
      <c r="M312" s="9"/>
    </row>
    <row r="313" spans="11:13" s="1" customFormat="1" x14ac:dyDescent="0.2">
      <c r="K313" s="9"/>
      <c r="L313" s="9"/>
      <c r="M313" s="9"/>
    </row>
    <row r="314" spans="11:13" s="1" customFormat="1" x14ac:dyDescent="0.2">
      <c r="K314" s="9"/>
      <c r="L314" s="9"/>
      <c r="M314" s="9"/>
    </row>
    <row r="315" spans="11:13" s="1" customFormat="1" x14ac:dyDescent="0.2">
      <c r="K315" s="9"/>
      <c r="L315" s="9"/>
      <c r="M315" s="9"/>
    </row>
    <row r="316" spans="11:13" s="1" customFormat="1" x14ac:dyDescent="0.2">
      <c r="K316" s="9"/>
      <c r="L316" s="9"/>
      <c r="M316" s="9"/>
    </row>
    <row r="317" spans="11:13" s="1" customFormat="1" x14ac:dyDescent="0.2">
      <c r="K317" s="9"/>
      <c r="L317" s="9"/>
      <c r="M317" s="9"/>
    </row>
    <row r="318" spans="11:13" s="1" customFormat="1" x14ac:dyDescent="0.2">
      <c r="K318" s="9"/>
      <c r="L318" s="9"/>
      <c r="M318" s="9"/>
    </row>
    <row r="319" spans="11:13" s="1" customFormat="1" x14ac:dyDescent="0.2">
      <c r="K319" s="9"/>
      <c r="L319" s="9"/>
      <c r="M319" s="9"/>
    </row>
    <row r="320" spans="11:13" s="1" customFormat="1" x14ac:dyDescent="0.2">
      <c r="K320" s="9"/>
      <c r="L320" s="9"/>
      <c r="M320" s="9"/>
    </row>
    <row r="321" spans="11:13" s="1" customFormat="1" x14ac:dyDescent="0.2">
      <c r="K321" s="9"/>
      <c r="L321" s="9"/>
      <c r="M321" s="9"/>
    </row>
    <row r="322" spans="11:13" s="1" customFormat="1" x14ac:dyDescent="0.2">
      <c r="K322" s="9"/>
      <c r="L322" s="9"/>
      <c r="M322" s="9"/>
    </row>
    <row r="323" spans="11:13" s="1" customFormat="1" x14ac:dyDescent="0.2">
      <c r="K323" s="9"/>
      <c r="L323" s="9"/>
      <c r="M323" s="9"/>
    </row>
    <row r="324" spans="11:13" s="1" customFormat="1" x14ac:dyDescent="0.2">
      <c r="K324" s="9"/>
      <c r="L324" s="9"/>
      <c r="M324" s="9"/>
    </row>
    <row r="325" spans="11:13" s="1" customFormat="1" x14ac:dyDescent="0.2">
      <c r="K325" s="9"/>
      <c r="L325" s="9"/>
      <c r="M325" s="9"/>
    </row>
    <row r="326" spans="11:13" s="1" customFormat="1" x14ac:dyDescent="0.2">
      <c r="K326" s="9"/>
      <c r="L326" s="9"/>
      <c r="M326" s="9"/>
    </row>
    <row r="327" spans="11:13" s="1" customFormat="1" x14ac:dyDescent="0.2">
      <c r="K327" s="9"/>
      <c r="L327" s="9"/>
      <c r="M327" s="9"/>
    </row>
    <row r="328" spans="11:13" s="1" customFormat="1" x14ac:dyDescent="0.2">
      <c r="K328" s="9"/>
      <c r="L328" s="9"/>
      <c r="M328" s="9"/>
    </row>
    <row r="329" spans="11:13" s="1" customFormat="1" x14ac:dyDescent="0.2">
      <c r="K329" s="9"/>
      <c r="L329" s="9"/>
      <c r="M329" s="9"/>
    </row>
    <row r="330" spans="11:13" s="1" customFormat="1" x14ac:dyDescent="0.2">
      <c r="K330" s="9"/>
      <c r="L330" s="9"/>
      <c r="M330" s="9"/>
    </row>
    <row r="331" spans="11:13" s="1" customFormat="1" x14ac:dyDescent="0.2">
      <c r="K331" s="9"/>
      <c r="L331" s="9"/>
      <c r="M331" s="9"/>
    </row>
    <row r="332" spans="11:13" s="1" customFormat="1" x14ac:dyDescent="0.2">
      <c r="K332" s="9"/>
      <c r="L332" s="9"/>
      <c r="M332" s="9"/>
    </row>
    <row r="333" spans="11:13" s="1" customFormat="1" x14ac:dyDescent="0.2">
      <c r="K333" s="9"/>
      <c r="L333" s="9"/>
      <c r="M333" s="9"/>
    </row>
    <row r="334" spans="11:13" s="1" customFormat="1" x14ac:dyDescent="0.2">
      <c r="K334" s="9"/>
      <c r="L334" s="9"/>
      <c r="M334" s="9"/>
    </row>
    <row r="335" spans="11:13" s="1" customFormat="1" x14ac:dyDescent="0.2">
      <c r="K335" s="9"/>
      <c r="L335" s="9"/>
      <c r="M335" s="9"/>
    </row>
    <row r="336" spans="11:13" s="1" customFormat="1" x14ac:dyDescent="0.2">
      <c r="K336" s="9"/>
      <c r="L336" s="9"/>
      <c r="M336" s="9"/>
    </row>
    <row r="337" spans="11:13" s="1" customFormat="1" x14ac:dyDescent="0.2">
      <c r="K337" s="9"/>
      <c r="L337" s="9"/>
      <c r="M337" s="9"/>
    </row>
    <row r="338" spans="11:13" s="1" customFormat="1" x14ac:dyDescent="0.2">
      <c r="K338" s="9"/>
      <c r="L338" s="9"/>
      <c r="M338" s="9"/>
    </row>
    <row r="339" spans="11:13" s="1" customFormat="1" x14ac:dyDescent="0.2">
      <c r="K339" s="9"/>
      <c r="L339" s="9"/>
      <c r="M339" s="9"/>
    </row>
    <row r="340" spans="11:13" s="1" customFormat="1" x14ac:dyDescent="0.2">
      <c r="K340" s="9"/>
      <c r="L340" s="9"/>
      <c r="M340" s="9"/>
    </row>
    <row r="341" spans="11:13" s="1" customFormat="1" x14ac:dyDescent="0.2">
      <c r="K341" s="9"/>
      <c r="L341" s="9"/>
      <c r="M341" s="9"/>
    </row>
    <row r="342" spans="11:13" s="1" customFormat="1" x14ac:dyDescent="0.2">
      <c r="K342" s="9"/>
      <c r="L342" s="9"/>
      <c r="M342" s="9"/>
    </row>
    <row r="343" spans="11:13" s="1" customFormat="1" x14ac:dyDescent="0.2">
      <c r="K343" s="9"/>
      <c r="L343" s="9"/>
      <c r="M343" s="9"/>
    </row>
    <row r="344" spans="11:13" s="1" customFormat="1" x14ac:dyDescent="0.2">
      <c r="K344" s="9"/>
      <c r="L344" s="9"/>
      <c r="M344" s="9"/>
    </row>
    <row r="345" spans="11:13" s="1" customFormat="1" x14ac:dyDescent="0.2">
      <c r="K345" s="9"/>
      <c r="L345" s="9"/>
      <c r="M345" s="9"/>
    </row>
    <row r="346" spans="11:13" s="1" customFormat="1" x14ac:dyDescent="0.2">
      <c r="K346" s="9"/>
      <c r="L346" s="9"/>
      <c r="M346" s="9"/>
    </row>
    <row r="347" spans="11:13" s="1" customFormat="1" x14ac:dyDescent="0.2">
      <c r="K347" s="9"/>
      <c r="L347" s="9"/>
      <c r="M347" s="9"/>
    </row>
    <row r="348" spans="11:13" s="1" customFormat="1" x14ac:dyDescent="0.2">
      <c r="K348" s="9"/>
      <c r="L348" s="9"/>
      <c r="M348" s="9"/>
    </row>
    <row r="349" spans="11:13" s="1" customFormat="1" x14ac:dyDescent="0.2">
      <c r="K349" s="9"/>
      <c r="L349" s="9"/>
      <c r="M349" s="9"/>
    </row>
    <row r="350" spans="11:13" s="1" customFormat="1" x14ac:dyDescent="0.2">
      <c r="K350" s="9"/>
      <c r="L350" s="9"/>
      <c r="M350" s="9"/>
    </row>
    <row r="351" spans="11:13" s="1" customFormat="1" x14ac:dyDescent="0.2">
      <c r="K351" s="9"/>
      <c r="L351" s="9"/>
      <c r="M351" s="9"/>
    </row>
    <row r="352" spans="11:13" s="1" customFormat="1" x14ac:dyDescent="0.2">
      <c r="K352" s="9"/>
      <c r="L352" s="9"/>
      <c r="M352" s="9"/>
    </row>
    <row r="353" spans="11:13" s="1" customFormat="1" x14ac:dyDescent="0.2">
      <c r="K353" s="9"/>
      <c r="L353" s="9"/>
      <c r="M353" s="9"/>
    </row>
    <row r="354" spans="11:13" s="1" customFormat="1" x14ac:dyDescent="0.2">
      <c r="K354" s="9"/>
      <c r="L354" s="9"/>
      <c r="M354" s="9"/>
    </row>
    <row r="355" spans="11:13" s="1" customFormat="1" x14ac:dyDescent="0.2">
      <c r="K355" s="9"/>
      <c r="L355" s="9"/>
      <c r="M355" s="9"/>
    </row>
    <row r="356" spans="11:13" s="1" customFormat="1" x14ac:dyDescent="0.2">
      <c r="K356" s="9"/>
      <c r="L356" s="9"/>
      <c r="M356" s="9"/>
    </row>
    <row r="357" spans="11:13" s="1" customFormat="1" x14ac:dyDescent="0.2">
      <c r="K357" s="9"/>
      <c r="L357" s="9"/>
      <c r="M357" s="9"/>
    </row>
    <row r="358" spans="11:13" s="1" customFormat="1" x14ac:dyDescent="0.2">
      <c r="K358" s="9"/>
      <c r="L358" s="9"/>
      <c r="M358" s="9"/>
    </row>
    <row r="359" spans="11:13" s="1" customFormat="1" x14ac:dyDescent="0.2">
      <c r="K359" s="9"/>
      <c r="L359" s="9"/>
      <c r="M359" s="9"/>
    </row>
    <row r="360" spans="11:13" s="1" customFormat="1" x14ac:dyDescent="0.2">
      <c r="K360" s="9"/>
      <c r="L360" s="9"/>
      <c r="M360" s="9"/>
    </row>
    <row r="361" spans="11:13" s="1" customFormat="1" x14ac:dyDescent="0.2">
      <c r="K361" s="9"/>
      <c r="L361" s="9"/>
      <c r="M361" s="9"/>
    </row>
    <row r="362" spans="11:13" s="1" customFormat="1" x14ac:dyDescent="0.2">
      <c r="K362" s="9"/>
      <c r="L362" s="9"/>
      <c r="M362" s="9"/>
    </row>
    <row r="363" spans="11:13" s="1" customFormat="1" x14ac:dyDescent="0.2">
      <c r="K363" s="9"/>
      <c r="L363" s="9"/>
      <c r="M363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2019-20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2017-10-18T16:13:22Z</cp:lastPrinted>
  <dcterms:created xsi:type="dcterms:W3CDTF">2017-10-18T15:13:08Z</dcterms:created>
  <dcterms:modified xsi:type="dcterms:W3CDTF">2019-11-18T11:38:40Z</dcterms:modified>
</cp:coreProperties>
</file>