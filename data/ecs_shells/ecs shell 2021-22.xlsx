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alculations\2021-2022\ECS\"/>
    </mc:Choice>
  </mc:AlternateContent>
  <bookViews>
    <workbookView xWindow="360" yWindow="107" windowWidth="16607" windowHeight="9433"/>
  </bookViews>
  <sheets>
    <sheet name="Current Law" sheetId="16" r:id="rId1"/>
  </sheets>
  <calcPr calcId="162913"/>
</workbook>
</file>

<file path=xl/calcChain.xml><?xml version="1.0" encoding="utf-8"?>
<calcChain xmlns="http://schemas.openxmlformats.org/spreadsheetml/2006/main">
  <c r="AV195" i="16" l="1"/>
  <c r="AV194" i="16"/>
  <c r="AV193" i="16"/>
  <c r="AV192" i="16"/>
  <c r="AV191" i="16"/>
  <c r="AV190" i="16"/>
  <c r="AV189" i="16"/>
  <c r="AV188" i="16"/>
  <c r="AV187" i="16"/>
  <c r="AV186" i="16"/>
  <c r="AV185" i="16"/>
  <c r="AV184" i="16"/>
  <c r="AV183" i="16"/>
  <c r="AV182" i="16"/>
  <c r="AV181" i="16"/>
  <c r="AV180" i="16"/>
  <c r="AV179" i="16"/>
  <c r="AV178" i="16"/>
  <c r="AV177" i="16"/>
  <c r="AV176" i="16"/>
  <c r="AV175" i="16"/>
  <c r="AV174" i="16"/>
  <c r="AV173" i="16"/>
  <c r="AV172" i="16"/>
  <c r="AV171" i="16"/>
  <c r="AV170" i="16"/>
  <c r="AV169" i="16"/>
  <c r="AV168" i="16"/>
  <c r="AV167" i="16"/>
  <c r="AV166" i="16"/>
  <c r="AV165" i="16"/>
  <c r="AV164" i="16"/>
  <c r="AV163" i="16"/>
  <c r="AV162" i="16"/>
  <c r="AV161" i="16"/>
  <c r="AV160" i="16"/>
  <c r="AV159" i="16"/>
  <c r="AV158" i="16"/>
  <c r="AV157" i="16"/>
  <c r="AV156" i="16"/>
  <c r="AV155" i="16"/>
  <c r="AV154" i="16"/>
  <c r="AV153" i="16"/>
  <c r="AV152" i="16"/>
  <c r="AV151" i="16"/>
  <c r="AV150" i="16"/>
  <c r="AV149" i="16"/>
  <c r="AV148" i="16"/>
  <c r="AV147" i="16"/>
  <c r="AV146" i="16"/>
  <c r="AV145" i="16"/>
  <c r="AV144" i="16"/>
  <c r="AV143" i="16"/>
  <c r="AV142" i="16"/>
  <c r="AV141" i="16"/>
  <c r="AV140" i="16"/>
  <c r="AV139" i="16"/>
  <c r="AV138" i="16"/>
  <c r="AV137" i="16"/>
  <c r="AV136" i="16"/>
  <c r="AV135" i="16"/>
  <c r="AV134" i="16"/>
  <c r="AV133" i="16"/>
  <c r="AV132" i="16"/>
  <c r="AV131" i="16"/>
  <c r="AV130" i="16"/>
  <c r="AV129" i="16"/>
  <c r="AV128" i="16"/>
  <c r="AV127" i="16"/>
  <c r="AV126" i="16"/>
  <c r="AV125" i="16"/>
  <c r="AV124" i="16"/>
  <c r="AV123" i="16"/>
  <c r="AV122" i="16"/>
  <c r="AV121" i="16"/>
  <c r="AV120" i="16"/>
  <c r="AV119" i="16"/>
  <c r="AV118" i="16"/>
  <c r="AV117" i="16"/>
  <c r="AV116" i="16"/>
  <c r="AV115" i="16"/>
  <c r="AV114" i="16"/>
  <c r="AV113" i="16"/>
  <c r="AV112" i="16"/>
  <c r="AV111" i="16"/>
  <c r="AV110" i="16"/>
  <c r="AV109" i="16"/>
  <c r="AV108" i="16"/>
  <c r="AV107" i="16"/>
  <c r="AV106" i="16"/>
  <c r="AV105" i="16"/>
  <c r="AV104" i="16"/>
  <c r="AV103" i="16"/>
  <c r="AV102" i="16"/>
  <c r="AV101" i="16"/>
  <c r="AV100" i="16"/>
  <c r="AV99" i="16"/>
  <c r="AV98" i="16"/>
  <c r="AV97" i="16"/>
  <c r="AV96" i="16"/>
  <c r="AV95" i="16"/>
  <c r="AV94" i="16"/>
  <c r="AV93" i="16"/>
  <c r="AV92" i="16"/>
  <c r="AV91" i="16"/>
  <c r="AV90" i="16"/>
  <c r="AV89" i="16"/>
  <c r="AV88" i="16"/>
  <c r="AV87" i="16"/>
  <c r="AV86" i="16"/>
  <c r="AV85" i="16"/>
  <c r="AV84" i="16"/>
  <c r="AV83" i="16"/>
  <c r="AV82" i="16"/>
  <c r="AV81" i="16"/>
  <c r="AV80" i="16"/>
  <c r="AV79" i="16"/>
  <c r="AV78" i="16"/>
  <c r="AV77" i="16"/>
  <c r="AV76" i="16"/>
  <c r="AV75" i="16"/>
  <c r="AV74" i="16"/>
  <c r="AV73" i="16"/>
  <c r="AV72" i="16"/>
  <c r="AV71" i="16"/>
  <c r="AV70" i="16"/>
  <c r="AV69" i="16"/>
  <c r="AV68" i="16"/>
  <c r="AV67" i="16"/>
  <c r="AV66" i="16"/>
  <c r="AV65" i="16"/>
  <c r="AV64" i="16"/>
  <c r="AV63" i="16"/>
  <c r="AV62" i="16"/>
  <c r="AV61" i="16"/>
  <c r="AV60" i="16"/>
  <c r="AV59" i="16"/>
  <c r="AV58" i="16"/>
  <c r="AV57" i="16"/>
  <c r="AV56" i="16"/>
  <c r="AV55" i="16"/>
  <c r="AV54" i="16"/>
  <c r="AV53" i="16"/>
  <c r="AV52" i="16"/>
  <c r="AV51" i="16"/>
  <c r="AV50" i="16"/>
  <c r="AV49" i="16"/>
  <c r="AV48" i="16"/>
  <c r="AV47" i="16"/>
  <c r="AV46" i="16"/>
  <c r="AV45" i="16"/>
  <c r="AV44" i="16"/>
  <c r="AV43" i="16"/>
  <c r="AV42" i="16"/>
  <c r="AV41" i="16"/>
  <c r="AV40" i="16"/>
  <c r="AV39" i="16"/>
  <c r="AV38" i="16"/>
  <c r="AV37" i="16"/>
  <c r="AV36" i="16"/>
  <c r="AV35" i="16"/>
  <c r="AV34" i="16"/>
  <c r="AV33" i="16"/>
  <c r="AV32" i="16"/>
  <c r="AV31" i="16"/>
  <c r="AV30" i="16"/>
  <c r="AV29" i="16"/>
  <c r="AV28" i="16"/>
  <c r="AW195" i="16"/>
  <c r="AW194" i="16"/>
  <c r="AW193" i="16"/>
  <c r="AW192" i="16"/>
  <c r="AW191" i="16"/>
  <c r="AW190" i="16"/>
  <c r="AW189" i="16"/>
  <c r="AW188" i="16"/>
  <c r="AW187" i="16"/>
  <c r="AW186" i="16"/>
  <c r="AW185" i="16"/>
  <c r="AW184" i="16"/>
  <c r="AW183" i="16"/>
  <c r="AW182" i="16"/>
  <c r="AW181" i="16"/>
  <c r="AW180" i="16"/>
  <c r="AW179" i="16"/>
  <c r="AW178" i="16"/>
  <c r="AW177" i="16"/>
  <c r="AW176" i="16"/>
  <c r="AW175" i="16"/>
  <c r="AW174" i="16"/>
  <c r="AW173" i="16"/>
  <c r="AW172" i="16"/>
  <c r="AW171" i="16"/>
  <c r="AW170" i="16"/>
  <c r="AW169" i="16"/>
  <c r="AW168" i="16"/>
  <c r="AW167" i="16"/>
  <c r="AW166" i="16"/>
  <c r="AW165" i="16"/>
  <c r="AW164" i="16"/>
  <c r="AW163" i="16"/>
  <c r="AW162" i="16"/>
  <c r="AW161" i="16"/>
  <c r="AW160" i="16"/>
  <c r="AW159" i="16"/>
  <c r="AW158" i="16"/>
  <c r="AW157" i="16"/>
  <c r="AW156" i="16"/>
  <c r="AW155" i="16"/>
  <c r="AW154" i="16"/>
  <c r="AW153" i="16"/>
  <c r="AW152" i="16"/>
  <c r="AW151" i="16"/>
  <c r="AW150" i="16"/>
  <c r="AW149" i="16"/>
  <c r="AW148" i="16"/>
  <c r="AW147" i="16"/>
  <c r="AW146" i="16"/>
  <c r="AW145" i="16"/>
  <c r="AW144" i="16"/>
  <c r="AW143" i="16"/>
  <c r="AW142" i="16"/>
  <c r="AW141" i="16"/>
  <c r="AW140" i="16"/>
  <c r="AW139" i="16"/>
  <c r="AW138" i="16"/>
  <c r="AW137" i="16"/>
  <c r="AW136" i="16"/>
  <c r="AW135" i="16"/>
  <c r="AW134" i="16"/>
  <c r="AW133" i="16"/>
  <c r="AW132" i="16"/>
  <c r="AW131" i="16"/>
  <c r="AW130" i="16"/>
  <c r="AW129" i="16"/>
  <c r="AW128" i="16"/>
  <c r="AW127" i="16"/>
  <c r="AW126" i="16"/>
  <c r="AW125" i="16"/>
  <c r="AW124" i="16"/>
  <c r="AW123" i="16"/>
  <c r="AW122" i="16"/>
  <c r="AW121" i="16"/>
  <c r="AW120" i="16"/>
  <c r="AW119" i="16"/>
  <c r="AW118" i="16"/>
  <c r="AW117" i="16"/>
  <c r="AW116" i="16"/>
  <c r="AW115" i="16"/>
  <c r="AW114" i="16"/>
  <c r="AW113" i="16"/>
  <c r="AW112" i="16"/>
  <c r="AW111" i="16"/>
  <c r="AW110" i="16"/>
  <c r="AW109" i="16"/>
  <c r="AW108" i="16"/>
  <c r="AW107" i="16"/>
  <c r="AW106" i="16"/>
  <c r="AW105" i="16"/>
  <c r="AW104" i="16"/>
  <c r="AW103" i="16"/>
  <c r="AW102" i="16"/>
  <c r="AW101" i="16"/>
  <c r="AW100" i="16"/>
  <c r="AW99" i="16"/>
  <c r="AW98" i="16"/>
  <c r="AW97" i="16"/>
  <c r="AW96" i="16"/>
  <c r="AW95" i="16"/>
  <c r="AW94" i="16"/>
  <c r="AW93" i="16"/>
  <c r="AW92" i="16"/>
  <c r="AW91" i="16"/>
  <c r="AW90" i="16"/>
  <c r="AW89" i="16"/>
  <c r="AW88" i="16"/>
  <c r="AW87" i="16"/>
  <c r="AW86" i="16"/>
  <c r="AW85" i="16"/>
  <c r="AW84" i="16"/>
  <c r="AW83" i="16"/>
  <c r="AW82" i="16"/>
  <c r="AW81" i="16"/>
  <c r="AW80" i="16"/>
  <c r="AW79" i="16"/>
  <c r="AW78" i="16"/>
  <c r="AW77" i="16"/>
  <c r="AW76" i="16"/>
  <c r="AW75" i="16"/>
  <c r="AW74" i="16"/>
  <c r="AW73" i="16"/>
  <c r="AW72" i="16"/>
  <c r="AW71" i="16"/>
  <c r="AW70" i="16"/>
  <c r="AW69" i="16"/>
  <c r="AW68" i="16"/>
  <c r="AW67" i="16"/>
  <c r="AW66" i="16"/>
  <c r="AW65" i="16"/>
  <c r="AW64" i="16"/>
  <c r="AW63" i="16"/>
  <c r="AW62" i="16"/>
  <c r="AW61" i="16"/>
  <c r="AW60" i="16"/>
  <c r="AW59" i="16"/>
  <c r="AW58" i="16"/>
  <c r="AW57" i="16"/>
  <c r="AW56" i="16"/>
  <c r="AW55" i="16"/>
  <c r="AW54" i="16"/>
  <c r="AW53" i="16"/>
  <c r="AW52" i="16"/>
  <c r="AW51" i="16"/>
  <c r="AW50" i="16"/>
  <c r="AW49" i="16"/>
  <c r="AW48" i="16"/>
  <c r="AW47" i="16"/>
  <c r="AW46" i="16"/>
  <c r="AW45" i="16"/>
  <c r="AW44" i="16"/>
  <c r="AW43" i="16"/>
  <c r="AW42" i="16"/>
  <c r="AW41" i="16"/>
  <c r="AW40" i="16"/>
  <c r="AW39" i="16"/>
  <c r="AW38" i="16"/>
  <c r="AW37" i="16"/>
  <c r="AW36" i="16"/>
  <c r="AW35" i="16"/>
  <c r="AW34" i="16"/>
  <c r="AW33" i="16"/>
  <c r="AW32" i="16"/>
  <c r="AW31" i="16"/>
  <c r="AW30" i="16"/>
  <c r="AW29" i="16"/>
  <c r="AW28" i="16"/>
  <c r="AV27" i="16"/>
  <c r="AG195" i="16"/>
  <c r="AG194" i="16"/>
  <c r="AG193" i="16"/>
  <c r="AG192" i="16"/>
  <c r="AG191" i="16"/>
  <c r="AG190" i="16"/>
  <c r="AG189" i="16"/>
  <c r="AG188" i="16"/>
  <c r="AG187" i="16"/>
  <c r="AG186" i="16"/>
  <c r="AG185" i="16"/>
  <c r="AG184" i="16"/>
  <c r="AG183" i="16"/>
  <c r="AG182" i="16"/>
  <c r="AG181" i="16"/>
  <c r="AG180" i="16"/>
  <c r="AG179" i="16"/>
  <c r="AG178" i="16"/>
  <c r="AG177" i="16"/>
  <c r="AG176" i="16"/>
  <c r="AG175" i="16"/>
  <c r="AG174" i="16"/>
  <c r="AG173" i="16"/>
  <c r="AG172" i="16"/>
  <c r="AG171" i="16"/>
  <c r="AG170" i="16"/>
  <c r="AG169" i="16"/>
  <c r="AG168" i="16"/>
  <c r="AG167" i="16"/>
  <c r="AG166" i="16"/>
  <c r="AG165" i="16"/>
  <c r="AG164" i="16"/>
  <c r="AG163" i="16"/>
  <c r="AG162" i="16"/>
  <c r="AG161" i="16"/>
  <c r="AG160" i="16"/>
  <c r="AG159" i="16"/>
  <c r="AG158" i="16"/>
  <c r="AG157" i="16"/>
  <c r="AG156" i="16"/>
  <c r="AG155" i="16"/>
  <c r="AG154" i="16"/>
  <c r="AG153" i="16"/>
  <c r="AG152" i="16"/>
  <c r="AG151" i="16"/>
  <c r="AG150" i="16"/>
  <c r="AG149" i="16"/>
  <c r="AG148" i="16"/>
  <c r="AG147" i="16"/>
  <c r="AG146" i="16"/>
  <c r="AG145" i="16"/>
  <c r="AG144" i="16"/>
  <c r="AG143" i="16"/>
  <c r="AG142" i="16"/>
  <c r="AG141" i="16"/>
  <c r="AG140" i="16"/>
  <c r="AG139" i="16"/>
  <c r="AG138" i="16"/>
  <c r="AG137" i="16"/>
  <c r="AG136" i="16"/>
  <c r="AG135" i="16"/>
  <c r="AG134" i="16"/>
  <c r="AG133" i="16"/>
  <c r="AG132" i="16"/>
  <c r="AG131" i="16"/>
  <c r="AG130" i="16"/>
  <c r="AG129" i="16"/>
  <c r="AG128" i="16"/>
  <c r="AG127" i="16"/>
  <c r="AG126" i="16"/>
  <c r="AG125" i="16"/>
  <c r="AG124" i="16"/>
  <c r="AG123" i="16"/>
  <c r="AG122" i="16"/>
  <c r="AG121" i="16"/>
  <c r="AG120" i="16"/>
  <c r="AG119" i="16"/>
  <c r="AG118" i="16"/>
  <c r="AG117" i="16"/>
  <c r="AG116" i="16"/>
  <c r="AG115" i="16"/>
  <c r="AG114" i="16"/>
  <c r="AG113" i="16"/>
  <c r="AG112" i="16"/>
  <c r="AG111" i="16"/>
  <c r="AG110" i="16"/>
  <c r="AG109" i="16"/>
  <c r="AG108" i="16"/>
  <c r="AG107" i="16"/>
  <c r="AG106" i="16"/>
  <c r="AG105" i="16"/>
  <c r="AG104" i="16"/>
  <c r="AG103" i="16"/>
  <c r="AG102" i="16"/>
  <c r="AG101" i="16"/>
  <c r="AG100" i="16"/>
  <c r="AG99" i="16"/>
  <c r="AG98" i="16"/>
  <c r="AG97" i="16"/>
  <c r="AG96" i="16"/>
  <c r="AG95" i="16"/>
  <c r="AG94" i="16"/>
  <c r="AG93" i="16"/>
  <c r="AG92" i="16"/>
  <c r="AG91" i="16"/>
  <c r="AG90" i="16"/>
  <c r="AG89" i="16"/>
  <c r="AG88" i="16"/>
  <c r="AG87" i="16"/>
  <c r="AG86" i="16"/>
  <c r="AG85" i="16"/>
  <c r="AG84" i="16"/>
  <c r="AG83" i="16"/>
  <c r="AG82" i="16"/>
  <c r="AG81" i="16"/>
  <c r="AG80" i="16"/>
  <c r="AG79" i="16"/>
  <c r="AG78" i="16"/>
  <c r="AG77" i="16"/>
  <c r="AG76" i="16"/>
  <c r="AG75" i="16"/>
  <c r="AG74" i="16"/>
  <c r="AG73" i="16"/>
  <c r="AG72" i="16"/>
  <c r="AG71" i="16"/>
  <c r="AG70" i="16"/>
  <c r="AG69" i="16"/>
  <c r="AG68" i="16"/>
  <c r="AG67" i="16"/>
  <c r="AG66" i="16"/>
  <c r="AG65" i="16"/>
  <c r="AG64" i="16"/>
  <c r="AG63" i="16"/>
  <c r="AG62" i="16"/>
  <c r="AG61" i="16"/>
  <c r="AG60" i="16"/>
  <c r="AG59" i="16"/>
  <c r="AG58" i="16"/>
  <c r="AG57" i="16"/>
  <c r="AG56" i="16"/>
  <c r="AG55" i="16"/>
  <c r="AG54" i="16"/>
  <c r="AG53" i="16"/>
  <c r="AG52" i="16"/>
  <c r="AG51" i="16"/>
  <c r="AG50" i="16"/>
  <c r="AG49" i="16"/>
  <c r="AG48" i="16"/>
  <c r="AG47" i="16"/>
  <c r="AG46" i="16"/>
  <c r="AG45" i="16"/>
  <c r="AG44" i="16"/>
  <c r="AG43" i="16"/>
  <c r="AG42" i="16"/>
  <c r="AG41" i="16"/>
  <c r="AG40" i="16"/>
  <c r="AG39" i="16"/>
  <c r="AG38" i="16"/>
  <c r="AG37" i="16"/>
  <c r="AG36" i="16"/>
  <c r="AG35" i="16"/>
  <c r="AG34" i="16"/>
  <c r="AG33" i="16"/>
  <c r="AG32" i="16"/>
  <c r="AG31" i="16"/>
  <c r="AG30" i="16"/>
  <c r="AG29" i="16"/>
  <c r="AG28" i="16"/>
  <c r="AG27" i="16"/>
  <c r="AF195" i="16"/>
  <c r="AF194" i="16"/>
  <c r="AF193" i="16"/>
  <c r="AF192" i="16"/>
  <c r="AF191" i="16"/>
  <c r="AF190" i="16"/>
  <c r="AF189" i="16"/>
  <c r="AF188" i="16"/>
  <c r="AF187" i="16"/>
  <c r="AF186" i="16"/>
  <c r="AF185" i="16"/>
  <c r="AF184" i="16"/>
  <c r="AF183" i="16"/>
  <c r="AF182" i="16"/>
  <c r="AF181" i="16"/>
  <c r="AF180" i="16"/>
  <c r="AF179" i="16"/>
  <c r="AF178" i="16"/>
  <c r="AF177" i="16"/>
  <c r="AF176" i="16"/>
  <c r="AF175" i="16"/>
  <c r="AF174" i="16"/>
  <c r="AF173" i="16"/>
  <c r="AF172" i="16"/>
  <c r="AF171" i="16"/>
  <c r="AF170" i="16"/>
  <c r="AF169" i="16"/>
  <c r="AF168" i="16"/>
  <c r="AF167" i="16"/>
  <c r="AF166" i="16"/>
  <c r="AF165" i="16"/>
  <c r="AF164" i="16"/>
  <c r="AF163" i="16"/>
  <c r="AF162" i="16"/>
  <c r="AF161" i="16"/>
  <c r="AF160" i="16"/>
  <c r="AF159" i="16"/>
  <c r="AF158" i="16"/>
  <c r="AF157" i="16"/>
  <c r="AF156" i="16"/>
  <c r="AF155" i="16"/>
  <c r="AF154" i="16"/>
  <c r="AF153" i="16"/>
  <c r="AF152" i="16"/>
  <c r="AF151" i="16"/>
  <c r="AF150" i="16"/>
  <c r="AF149" i="16"/>
  <c r="AF148" i="16"/>
  <c r="AF147" i="16"/>
  <c r="AF146" i="16"/>
  <c r="AF145" i="16"/>
  <c r="AF144" i="16"/>
  <c r="AF143" i="16"/>
  <c r="AF142" i="16"/>
  <c r="AF141" i="16"/>
  <c r="AF140" i="16"/>
  <c r="AF139" i="16"/>
  <c r="AF138" i="16"/>
  <c r="AF137" i="16"/>
  <c r="AF136" i="16"/>
  <c r="AF135" i="16"/>
  <c r="AF134" i="16"/>
  <c r="AF133" i="16"/>
  <c r="AF132" i="16"/>
  <c r="AF131" i="16"/>
  <c r="AF130" i="16"/>
  <c r="AF129" i="16"/>
  <c r="AF128" i="16"/>
  <c r="AF127" i="16"/>
  <c r="AF126" i="16"/>
  <c r="AF125" i="16"/>
  <c r="AF124" i="16"/>
  <c r="AF123" i="16"/>
  <c r="AF122" i="16"/>
  <c r="AF121" i="16"/>
  <c r="AF120" i="16"/>
  <c r="AF119" i="16"/>
  <c r="AF118" i="16"/>
  <c r="AF117" i="16"/>
  <c r="AF116" i="16"/>
  <c r="AF115" i="16"/>
  <c r="AF114" i="16"/>
  <c r="AF113" i="16"/>
  <c r="AF112" i="16"/>
  <c r="AF111" i="16"/>
  <c r="AF110" i="16"/>
  <c r="AF109" i="16"/>
  <c r="AF108" i="16"/>
  <c r="AF107" i="16"/>
  <c r="AF106" i="16"/>
  <c r="AF105" i="16"/>
  <c r="AF104" i="16"/>
  <c r="AF103" i="16"/>
  <c r="AF102" i="16"/>
  <c r="AF101" i="16"/>
  <c r="AF100" i="16"/>
  <c r="AF99" i="16"/>
  <c r="AF98" i="16"/>
  <c r="AF97" i="16"/>
  <c r="AF96" i="16"/>
  <c r="AF95" i="16"/>
  <c r="AF94" i="16"/>
  <c r="AF93" i="16"/>
  <c r="AF92" i="16"/>
  <c r="AF91" i="16"/>
  <c r="AF90" i="16"/>
  <c r="AF89" i="16"/>
  <c r="AF88" i="16"/>
  <c r="AF87" i="16"/>
  <c r="AF86" i="16"/>
  <c r="AF85" i="16"/>
  <c r="AF84" i="16"/>
  <c r="AF83" i="16"/>
  <c r="AF82" i="16"/>
  <c r="AF81" i="16"/>
  <c r="AF80" i="16"/>
  <c r="AF79" i="16"/>
  <c r="AF78" i="16"/>
  <c r="AF77" i="16"/>
  <c r="AF76" i="16"/>
  <c r="AF75" i="16"/>
  <c r="AF74" i="16"/>
  <c r="AF73" i="16"/>
  <c r="AF72" i="16"/>
  <c r="AF71" i="16"/>
  <c r="AF70" i="16"/>
  <c r="AF69" i="16"/>
  <c r="AF68" i="16"/>
  <c r="AF67" i="16"/>
  <c r="AF66" i="16"/>
  <c r="AF65" i="16"/>
  <c r="AF64" i="16"/>
  <c r="AF63" i="16"/>
  <c r="AF62" i="16"/>
  <c r="AF61" i="16"/>
  <c r="AF60" i="16"/>
  <c r="AF59" i="16"/>
  <c r="AF58" i="16"/>
  <c r="AF57" i="16"/>
  <c r="AF56" i="16"/>
  <c r="AF55" i="16"/>
  <c r="AF54" i="16"/>
  <c r="AF53" i="16"/>
  <c r="AF52" i="16"/>
  <c r="AF51" i="16"/>
  <c r="AF50" i="16"/>
  <c r="AF49" i="16"/>
  <c r="AF48" i="16"/>
  <c r="AF47" i="16"/>
  <c r="AF46" i="16"/>
  <c r="AF45" i="16"/>
  <c r="AF44" i="16"/>
  <c r="AF43" i="16"/>
  <c r="AF42" i="16"/>
  <c r="AF41" i="16"/>
  <c r="AF40" i="16"/>
  <c r="AF39" i="16"/>
  <c r="AF38" i="16"/>
  <c r="AF37" i="16"/>
  <c r="AF36" i="16"/>
  <c r="AF35" i="16"/>
  <c r="AF34" i="16"/>
  <c r="AF33" i="16"/>
  <c r="AF32" i="16"/>
  <c r="AF31" i="16"/>
  <c r="AF30" i="16"/>
  <c r="AF29" i="16"/>
  <c r="AF28" i="16"/>
  <c r="AF27" i="16"/>
  <c r="Y195" i="16"/>
  <c r="Y194" i="16"/>
  <c r="Y193" i="16"/>
  <c r="Y192" i="16"/>
  <c r="Y191" i="16"/>
  <c r="Y190" i="16"/>
  <c r="Y189" i="16"/>
  <c r="Y188" i="16"/>
  <c r="Y187" i="16"/>
  <c r="Y186" i="16"/>
  <c r="Y185" i="16"/>
  <c r="Y184" i="16"/>
  <c r="Y183" i="16"/>
  <c r="Y182" i="16"/>
  <c r="Y181" i="16"/>
  <c r="Y180" i="16"/>
  <c r="Y179" i="16"/>
  <c r="Y178" i="16"/>
  <c r="Y177" i="16"/>
  <c r="Y176" i="16"/>
  <c r="Y175" i="16"/>
  <c r="Y174" i="16"/>
  <c r="Y173" i="16"/>
  <c r="Y172" i="16"/>
  <c r="Y171" i="16"/>
  <c r="Y170" i="16"/>
  <c r="Y169" i="16"/>
  <c r="Y168" i="16"/>
  <c r="Y167" i="16"/>
  <c r="Y166" i="16"/>
  <c r="Y165" i="16"/>
  <c r="Y164" i="16"/>
  <c r="Y163" i="16"/>
  <c r="Y162" i="16"/>
  <c r="Y161" i="16"/>
  <c r="Y160" i="16"/>
  <c r="Y159" i="16"/>
  <c r="Y158" i="16"/>
  <c r="Y157" i="16"/>
  <c r="Y156" i="16"/>
  <c r="Y155" i="16"/>
  <c r="Y154" i="16"/>
  <c r="Y153" i="16"/>
  <c r="Y152" i="16"/>
  <c r="Y151" i="16"/>
  <c r="Y150" i="16"/>
  <c r="Y149" i="16"/>
  <c r="Y148" i="16"/>
  <c r="Y147" i="16"/>
  <c r="Y146" i="16"/>
  <c r="Y145" i="16"/>
  <c r="Y144" i="16"/>
  <c r="Y143" i="16"/>
  <c r="Y142" i="16"/>
  <c r="Y141" i="16"/>
  <c r="Y140" i="16"/>
  <c r="Y139" i="16"/>
  <c r="Y138" i="16"/>
  <c r="Y137" i="16"/>
  <c r="Y136" i="16"/>
  <c r="Y135" i="16"/>
  <c r="Y134" i="16"/>
  <c r="Y133" i="16"/>
  <c r="Y132" i="16"/>
  <c r="Y131" i="16"/>
  <c r="Y130" i="16"/>
  <c r="Y129" i="16"/>
  <c r="Y128" i="16"/>
  <c r="Y127" i="16"/>
  <c r="Y126" i="16"/>
  <c r="Y125" i="16"/>
  <c r="Y124" i="16"/>
  <c r="Y123" i="16"/>
  <c r="Y122" i="16"/>
  <c r="Y121" i="16"/>
  <c r="Y120" i="16"/>
  <c r="Y119" i="16"/>
  <c r="Y118" i="16"/>
  <c r="Y117" i="16"/>
  <c r="Y116" i="16"/>
  <c r="Y115" i="16"/>
  <c r="Y114" i="16"/>
  <c r="Y113" i="16"/>
  <c r="Y112" i="16"/>
  <c r="Y111" i="16"/>
  <c r="Y110" i="16"/>
  <c r="Y109" i="16"/>
  <c r="Y108" i="16"/>
  <c r="Y107" i="16"/>
  <c r="Y106" i="16"/>
  <c r="Y105" i="16"/>
  <c r="Y104" i="16"/>
  <c r="Y103" i="16"/>
  <c r="Y102" i="16"/>
  <c r="Y101" i="16"/>
  <c r="Y100" i="16"/>
  <c r="Y99" i="16"/>
  <c r="Y98" i="16"/>
  <c r="Y97" i="16"/>
  <c r="Y96" i="16"/>
  <c r="Y95" i="16"/>
  <c r="Y94" i="16"/>
  <c r="Y93" i="16"/>
  <c r="Y92" i="16"/>
  <c r="Y91" i="16"/>
  <c r="Y90" i="16"/>
  <c r="Y89" i="16"/>
  <c r="Y88" i="16"/>
  <c r="Y87" i="16"/>
  <c r="Y86" i="16"/>
  <c r="Y85" i="16"/>
  <c r="Y84" i="16"/>
  <c r="Y83" i="16"/>
  <c r="Y82" i="16"/>
  <c r="Y81" i="16"/>
  <c r="Y80" i="16"/>
  <c r="Y79" i="16"/>
  <c r="Y78" i="16"/>
  <c r="Y77" i="16"/>
  <c r="Y76" i="16"/>
  <c r="Y75" i="16"/>
  <c r="Y74" i="16"/>
  <c r="Y73" i="16"/>
  <c r="Y72" i="16"/>
  <c r="Y71" i="16"/>
  <c r="Y70" i="16"/>
  <c r="Y69" i="16"/>
  <c r="Y68" i="16"/>
  <c r="Y67" i="16"/>
  <c r="Y66" i="16"/>
  <c r="Y65" i="16"/>
  <c r="Y64" i="16"/>
  <c r="Y63" i="16"/>
  <c r="Y62" i="16"/>
  <c r="Y61" i="16"/>
  <c r="Y60" i="16"/>
  <c r="Y59" i="16"/>
  <c r="Y58" i="16"/>
  <c r="Y57" i="16"/>
  <c r="Y56" i="16"/>
  <c r="Y55" i="16"/>
  <c r="Y54" i="16"/>
  <c r="Y53" i="16"/>
  <c r="Y52" i="16"/>
  <c r="Y51" i="16"/>
  <c r="Y50" i="16"/>
  <c r="Y49" i="16"/>
  <c r="Y48" i="16"/>
  <c r="Y47" i="16"/>
  <c r="Y46" i="16"/>
  <c r="Y45" i="16"/>
  <c r="Y44" i="16"/>
  <c r="Y43" i="16"/>
  <c r="Y42" i="16"/>
  <c r="Y41" i="16"/>
  <c r="Y40" i="16"/>
  <c r="Y39" i="16"/>
  <c r="Y38" i="16"/>
  <c r="Y37" i="16"/>
  <c r="Y36" i="16"/>
  <c r="Y35" i="16"/>
  <c r="Y34" i="16"/>
  <c r="Y33" i="16"/>
  <c r="Y32" i="16"/>
  <c r="Y31" i="16"/>
  <c r="Y30" i="16"/>
  <c r="Y29" i="16"/>
  <c r="Y28" i="16"/>
  <c r="Y27" i="16"/>
  <c r="W195" i="16"/>
  <c r="W194" i="16"/>
  <c r="W193" i="16"/>
  <c r="W192" i="16"/>
  <c r="W191" i="16"/>
  <c r="W190" i="16"/>
  <c r="W189" i="16"/>
  <c r="W188" i="16"/>
  <c r="W187" i="16"/>
  <c r="W186" i="16"/>
  <c r="W185" i="16"/>
  <c r="W184" i="16"/>
  <c r="W183" i="16"/>
  <c r="W182" i="16"/>
  <c r="W181" i="16"/>
  <c r="W180" i="16"/>
  <c r="W179" i="16"/>
  <c r="W178" i="16"/>
  <c r="W177" i="16"/>
  <c r="W176" i="16"/>
  <c r="W175" i="16"/>
  <c r="W174" i="16"/>
  <c r="W173" i="16"/>
  <c r="W172" i="16"/>
  <c r="W171" i="16"/>
  <c r="W170" i="16"/>
  <c r="W169" i="16"/>
  <c r="W168" i="16"/>
  <c r="W167" i="16"/>
  <c r="W166" i="16"/>
  <c r="W165" i="16"/>
  <c r="W164" i="16"/>
  <c r="W163" i="16"/>
  <c r="W162" i="16"/>
  <c r="W161" i="16"/>
  <c r="W160" i="16"/>
  <c r="W159" i="16"/>
  <c r="W158" i="16"/>
  <c r="W157" i="16"/>
  <c r="W156" i="16"/>
  <c r="W155" i="16"/>
  <c r="W154" i="16"/>
  <c r="W153" i="16"/>
  <c r="W152" i="16"/>
  <c r="W151" i="16"/>
  <c r="W150" i="16"/>
  <c r="W149" i="16"/>
  <c r="W148" i="16"/>
  <c r="W147" i="16"/>
  <c r="W146" i="16"/>
  <c r="W145" i="16"/>
  <c r="W144" i="16"/>
  <c r="W143" i="16"/>
  <c r="W142" i="16"/>
  <c r="W141" i="16"/>
  <c r="W140" i="16"/>
  <c r="W139" i="16"/>
  <c r="W138" i="16"/>
  <c r="W137" i="16"/>
  <c r="W136" i="16"/>
  <c r="W135" i="16"/>
  <c r="W134" i="16"/>
  <c r="W133" i="16"/>
  <c r="W132" i="16"/>
  <c r="W131" i="16"/>
  <c r="W130" i="16"/>
  <c r="W129" i="16"/>
  <c r="W128" i="16"/>
  <c r="W127" i="16"/>
  <c r="W126" i="16"/>
  <c r="W125" i="16"/>
  <c r="W124" i="16"/>
  <c r="W123" i="16"/>
  <c r="W122" i="16"/>
  <c r="W121" i="16"/>
  <c r="W120" i="16"/>
  <c r="W119" i="16"/>
  <c r="W118" i="16"/>
  <c r="W117" i="16"/>
  <c r="W116" i="16"/>
  <c r="W115" i="16"/>
  <c r="W114" i="16"/>
  <c r="W113" i="16"/>
  <c r="W112" i="16"/>
  <c r="W111" i="16"/>
  <c r="W110" i="16"/>
  <c r="W109" i="16"/>
  <c r="W108" i="16"/>
  <c r="W107" i="16"/>
  <c r="W106" i="16"/>
  <c r="W105" i="16"/>
  <c r="W104" i="16"/>
  <c r="W103" i="16"/>
  <c r="W102" i="16"/>
  <c r="W101" i="16"/>
  <c r="W100" i="16"/>
  <c r="W99" i="16"/>
  <c r="W98" i="16"/>
  <c r="W97" i="16"/>
  <c r="W96" i="16"/>
  <c r="W95" i="16"/>
  <c r="W94" i="16"/>
  <c r="W93" i="16"/>
  <c r="W92" i="16"/>
  <c r="W91" i="16"/>
  <c r="W90" i="16"/>
  <c r="W89" i="16"/>
  <c r="W88" i="16"/>
  <c r="W87" i="16"/>
  <c r="W86" i="16"/>
  <c r="W85" i="16"/>
  <c r="W84" i="16"/>
  <c r="W83" i="16"/>
  <c r="W82" i="16"/>
  <c r="W81" i="16"/>
  <c r="W80" i="16"/>
  <c r="W79" i="16"/>
  <c r="W78" i="16"/>
  <c r="W77" i="16"/>
  <c r="W76" i="16"/>
  <c r="W75" i="16"/>
  <c r="W74" i="16"/>
  <c r="W73" i="16"/>
  <c r="W72" i="16"/>
  <c r="W71" i="16"/>
  <c r="W70" i="16"/>
  <c r="W69" i="16"/>
  <c r="W68" i="16"/>
  <c r="W67" i="16"/>
  <c r="W66" i="16"/>
  <c r="W65" i="16"/>
  <c r="W64" i="16"/>
  <c r="W63" i="16"/>
  <c r="W62" i="16"/>
  <c r="W61" i="16"/>
  <c r="W60" i="16"/>
  <c r="W59" i="16"/>
  <c r="W58" i="16"/>
  <c r="W57" i="16"/>
  <c r="W56" i="16"/>
  <c r="W55" i="16"/>
  <c r="W54" i="16"/>
  <c r="W53" i="16"/>
  <c r="W52" i="16"/>
  <c r="W51" i="16"/>
  <c r="W50" i="16"/>
  <c r="W49" i="16"/>
  <c r="W48" i="16"/>
  <c r="W47" i="16"/>
  <c r="W46" i="16"/>
  <c r="W45" i="16"/>
  <c r="W44" i="16"/>
  <c r="W43" i="16"/>
  <c r="W42" i="16"/>
  <c r="W41" i="16"/>
  <c r="W40" i="16"/>
  <c r="W39" i="16"/>
  <c r="W38" i="16"/>
  <c r="W37" i="16"/>
  <c r="W36" i="16"/>
  <c r="W35" i="16"/>
  <c r="W34" i="16"/>
  <c r="W33" i="16"/>
  <c r="W32" i="16"/>
  <c r="W31" i="16"/>
  <c r="W30" i="16"/>
  <c r="W29" i="16"/>
  <c r="W28" i="16"/>
  <c r="W27" i="16"/>
  <c r="Q181" i="16"/>
  <c r="Q165" i="16"/>
  <c r="Q149" i="16"/>
  <c r="Q133" i="16"/>
  <c r="Q117" i="16"/>
  <c r="P104" i="16"/>
  <c r="Q104" i="16" s="1"/>
  <c r="P93" i="16"/>
  <c r="Q93" i="16" s="1"/>
  <c r="P88" i="16"/>
  <c r="Q88" i="16" s="1"/>
  <c r="P77" i="16"/>
  <c r="Q77" i="16" s="1"/>
  <c r="P72" i="16"/>
  <c r="Q72" i="16" s="1"/>
  <c r="P61" i="16"/>
  <c r="Q61" i="16" s="1"/>
  <c r="P56" i="16"/>
  <c r="Q56" i="16" s="1"/>
  <c r="P45" i="16"/>
  <c r="Q45" i="16" s="1"/>
  <c r="P40" i="16"/>
  <c r="Q40" i="16" s="1"/>
  <c r="P29" i="16"/>
  <c r="Q29" i="16" s="1"/>
  <c r="O195" i="16"/>
  <c r="P195" i="16" s="1"/>
  <c r="Q195" i="16" s="1"/>
  <c r="O194" i="16"/>
  <c r="P194" i="16" s="1"/>
  <c r="Q194" i="16" s="1"/>
  <c r="O193" i="16"/>
  <c r="P193" i="16" s="1"/>
  <c r="Q193" i="16" s="1"/>
  <c r="O192" i="16"/>
  <c r="P192" i="16" s="1"/>
  <c r="Q192" i="16" s="1"/>
  <c r="O191" i="16"/>
  <c r="P191" i="16" s="1"/>
  <c r="Q191" i="16" s="1"/>
  <c r="O190" i="16"/>
  <c r="P190" i="16" s="1"/>
  <c r="Q190" i="16" s="1"/>
  <c r="O189" i="16"/>
  <c r="P189" i="16" s="1"/>
  <c r="Q189" i="16" s="1"/>
  <c r="O188" i="16"/>
  <c r="P188" i="16" s="1"/>
  <c r="Q188" i="16" s="1"/>
  <c r="O187" i="16"/>
  <c r="P187" i="16" s="1"/>
  <c r="Q187" i="16" s="1"/>
  <c r="O186" i="16"/>
  <c r="P186" i="16" s="1"/>
  <c r="Q186" i="16" s="1"/>
  <c r="O185" i="16"/>
  <c r="P185" i="16" s="1"/>
  <c r="Q185" i="16" s="1"/>
  <c r="O184" i="16"/>
  <c r="P184" i="16" s="1"/>
  <c r="Q184" i="16" s="1"/>
  <c r="O183" i="16"/>
  <c r="P183" i="16" s="1"/>
  <c r="Q183" i="16" s="1"/>
  <c r="O182" i="16"/>
  <c r="P182" i="16" s="1"/>
  <c r="Q182" i="16" s="1"/>
  <c r="O181" i="16"/>
  <c r="P181" i="16" s="1"/>
  <c r="O180" i="16"/>
  <c r="P180" i="16" s="1"/>
  <c r="Q180" i="16" s="1"/>
  <c r="O179" i="16"/>
  <c r="P179" i="16" s="1"/>
  <c r="Q179" i="16" s="1"/>
  <c r="O178" i="16"/>
  <c r="P178" i="16" s="1"/>
  <c r="Q178" i="16" s="1"/>
  <c r="O177" i="16"/>
  <c r="P177" i="16" s="1"/>
  <c r="Q177" i="16" s="1"/>
  <c r="O176" i="16"/>
  <c r="P176" i="16" s="1"/>
  <c r="Q176" i="16" s="1"/>
  <c r="O175" i="16"/>
  <c r="P175" i="16" s="1"/>
  <c r="Q175" i="16" s="1"/>
  <c r="O174" i="16"/>
  <c r="P174" i="16" s="1"/>
  <c r="Q174" i="16" s="1"/>
  <c r="O173" i="16"/>
  <c r="P173" i="16" s="1"/>
  <c r="Q173" i="16" s="1"/>
  <c r="O172" i="16"/>
  <c r="P172" i="16" s="1"/>
  <c r="Q172" i="16" s="1"/>
  <c r="O171" i="16"/>
  <c r="P171" i="16" s="1"/>
  <c r="Q171" i="16" s="1"/>
  <c r="O170" i="16"/>
  <c r="P170" i="16" s="1"/>
  <c r="Q170" i="16" s="1"/>
  <c r="O169" i="16"/>
  <c r="P169" i="16" s="1"/>
  <c r="Q169" i="16" s="1"/>
  <c r="O168" i="16"/>
  <c r="P168" i="16" s="1"/>
  <c r="Q168" i="16" s="1"/>
  <c r="O167" i="16"/>
  <c r="P167" i="16" s="1"/>
  <c r="Q167" i="16" s="1"/>
  <c r="O166" i="16"/>
  <c r="P166" i="16" s="1"/>
  <c r="Q166" i="16" s="1"/>
  <c r="O165" i="16"/>
  <c r="P165" i="16" s="1"/>
  <c r="O164" i="16"/>
  <c r="P164" i="16" s="1"/>
  <c r="Q164" i="16" s="1"/>
  <c r="O163" i="16"/>
  <c r="P163" i="16" s="1"/>
  <c r="Q163" i="16" s="1"/>
  <c r="O162" i="16"/>
  <c r="P162" i="16" s="1"/>
  <c r="Q162" i="16" s="1"/>
  <c r="O161" i="16"/>
  <c r="P161" i="16" s="1"/>
  <c r="Q161" i="16" s="1"/>
  <c r="O160" i="16"/>
  <c r="P160" i="16" s="1"/>
  <c r="Q160" i="16" s="1"/>
  <c r="O159" i="16"/>
  <c r="P159" i="16" s="1"/>
  <c r="Q159" i="16" s="1"/>
  <c r="O158" i="16"/>
  <c r="P158" i="16" s="1"/>
  <c r="Q158" i="16" s="1"/>
  <c r="O157" i="16"/>
  <c r="P157" i="16" s="1"/>
  <c r="Q157" i="16" s="1"/>
  <c r="O156" i="16"/>
  <c r="P156" i="16" s="1"/>
  <c r="Q156" i="16" s="1"/>
  <c r="O155" i="16"/>
  <c r="P155" i="16" s="1"/>
  <c r="Q155" i="16" s="1"/>
  <c r="O154" i="16"/>
  <c r="P154" i="16" s="1"/>
  <c r="Q154" i="16" s="1"/>
  <c r="O153" i="16"/>
  <c r="P153" i="16" s="1"/>
  <c r="Q153" i="16" s="1"/>
  <c r="O152" i="16"/>
  <c r="P152" i="16" s="1"/>
  <c r="Q152" i="16" s="1"/>
  <c r="O151" i="16"/>
  <c r="P151" i="16" s="1"/>
  <c r="Q151" i="16" s="1"/>
  <c r="O150" i="16"/>
  <c r="P150" i="16" s="1"/>
  <c r="Q150" i="16" s="1"/>
  <c r="O149" i="16"/>
  <c r="P149" i="16" s="1"/>
  <c r="O148" i="16"/>
  <c r="P148" i="16" s="1"/>
  <c r="Q148" i="16" s="1"/>
  <c r="O147" i="16"/>
  <c r="P147" i="16" s="1"/>
  <c r="Q147" i="16" s="1"/>
  <c r="O146" i="16"/>
  <c r="P146" i="16" s="1"/>
  <c r="Q146" i="16" s="1"/>
  <c r="O145" i="16"/>
  <c r="P145" i="16" s="1"/>
  <c r="Q145" i="16" s="1"/>
  <c r="O144" i="16"/>
  <c r="P144" i="16" s="1"/>
  <c r="Q144" i="16" s="1"/>
  <c r="O143" i="16"/>
  <c r="P143" i="16" s="1"/>
  <c r="Q143" i="16" s="1"/>
  <c r="O142" i="16"/>
  <c r="P142" i="16" s="1"/>
  <c r="Q142" i="16" s="1"/>
  <c r="O141" i="16"/>
  <c r="P141" i="16" s="1"/>
  <c r="Q141" i="16" s="1"/>
  <c r="O140" i="16"/>
  <c r="P140" i="16" s="1"/>
  <c r="Q140" i="16" s="1"/>
  <c r="O139" i="16"/>
  <c r="P139" i="16" s="1"/>
  <c r="Q139" i="16" s="1"/>
  <c r="O138" i="16"/>
  <c r="P138" i="16" s="1"/>
  <c r="Q138" i="16" s="1"/>
  <c r="O137" i="16"/>
  <c r="P137" i="16" s="1"/>
  <c r="Q137" i="16" s="1"/>
  <c r="O136" i="16"/>
  <c r="P136" i="16" s="1"/>
  <c r="Q136" i="16" s="1"/>
  <c r="O135" i="16"/>
  <c r="P135" i="16" s="1"/>
  <c r="Q135" i="16" s="1"/>
  <c r="O134" i="16"/>
  <c r="P134" i="16" s="1"/>
  <c r="Q134" i="16" s="1"/>
  <c r="O133" i="16"/>
  <c r="P133" i="16" s="1"/>
  <c r="O132" i="16"/>
  <c r="P132" i="16" s="1"/>
  <c r="Q132" i="16" s="1"/>
  <c r="O131" i="16"/>
  <c r="P131" i="16" s="1"/>
  <c r="Q131" i="16" s="1"/>
  <c r="O130" i="16"/>
  <c r="P130" i="16" s="1"/>
  <c r="Q130" i="16" s="1"/>
  <c r="O129" i="16"/>
  <c r="P129" i="16" s="1"/>
  <c r="Q129" i="16" s="1"/>
  <c r="O128" i="16"/>
  <c r="P128" i="16" s="1"/>
  <c r="Q128" i="16" s="1"/>
  <c r="O127" i="16"/>
  <c r="P127" i="16" s="1"/>
  <c r="Q127" i="16" s="1"/>
  <c r="O126" i="16"/>
  <c r="P126" i="16" s="1"/>
  <c r="Q126" i="16" s="1"/>
  <c r="O125" i="16"/>
  <c r="P125" i="16" s="1"/>
  <c r="Q125" i="16" s="1"/>
  <c r="O124" i="16"/>
  <c r="P124" i="16" s="1"/>
  <c r="Q124" i="16" s="1"/>
  <c r="O123" i="16"/>
  <c r="P123" i="16" s="1"/>
  <c r="Q123" i="16" s="1"/>
  <c r="O122" i="16"/>
  <c r="P122" i="16" s="1"/>
  <c r="Q122" i="16" s="1"/>
  <c r="O121" i="16"/>
  <c r="P121" i="16" s="1"/>
  <c r="Q121" i="16" s="1"/>
  <c r="O120" i="16"/>
  <c r="P120" i="16" s="1"/>
  <c r="Q120" i="16" s="1"/>
  <c r="O119" i="16"/>
  <c r="P119" i="16" s="1"/>
  <c r="Q119" i="16" s="1"/>
  <c r="O118" i="16"/>
  <c r="P118" i="16" s="1"/>
  <c r="Q118" i="16" s="1"/>
  <c r="O117" i="16"/>
  <c r="P117" i="16" s="1"/>
  <c r="O116" i="16"/>
  <c r="P116" i="16" s="1"/>
  <c r="Q116" i="16" s="1"/>
  <c r="O115" i="16"/>
  <c r="P115" i="16" s="1"/>
  <c r="Q115" i="16" s="1"/>
  <c r="O114" i="16"/>
  <c r="P114" i="16" s="1"/>
  <c r="Q114" i="16" s="1"/>
  <c r="O113" i="16"/>
  <c r="P113" i="16" s="1"/>
  <c r="Q113" i="16" s="1"/>
  <c r="O112" i="16"/>
  <c r="P112" i="16" s="1"/>
  <c r="Q112" i="16" s="1"/>
  <c r="O111" i="16"/>
  <c r="P111" i="16" s="1"/>
  <c r="Q111" i="16" s="1"/>
  <c r="O110" i="16"/>
  <c r="P110" i="16" s="1"/>
  <c r="Q110" i="16" s="1"/>
  <c r="O109" i="16"/>
  <c r="P109" i="16" s="1"/>
  <c r="Q109" i="16" s="1"/>
  <c r="O108" i="16"/>
  <c r="P108" i="16" s="1"/>
  <c r="Q108" i="16" s="1"/>
  <c r="O107" i="16"/>
  <c r="P107" i="16" s="1"/>
  <c r="Q107" i="16" s="1"/>
  <c r="O106" i="16"/>
  <c r="P106" i="16" s="1"/>
  <c r="Q106" i="16" s="1"/>
  <c r="O105" i="16"/>
  <c r="P105" i="16" s="1"/>
  <c r="Q105" i="16" s="1"/>
  <c r="O104" i="16"/>
  <c r="O103" i="16"/>
  <c r="P103" i="16" s="1"/>
  <c r="Q103" i="16" s="1"/>
  <c r="O102" i="16"/>
  <c r="P102" i="16" s="1"/>
  <c r="Q102" i="16" s="1"/>
  <c r="O101" i="16"/>
  <c r="P101" i="16" s="1"/>
  <c r="Q101" i="16" s="1"/>
  <c r="O100" i="16"/>
  <c r="P100" i="16" s="1"/>
  <c r="Q100" i="16" s="1"/>
  <c r="O99" i="16"/>
  <c r="P99" i="16" s="1"/>
  <c r="Q99" i="16" s="1"/>
  <c r="O98" i="16"/>
  <c r="P98" i="16" s="1"/>
  <c r="Q98" i="16" s="1"/>
  <c r="O97" i="16"/>
  <c r="P97" i="16" s="1"/>
  <c r="Q97" i="16" s="1"/>
  <c r="O96" i="16"/>
  <c r="P96" i="16" s="1"/>
  <c r="Q96" i="16" s="1"/>
  <c r="O95" i="16"/>
  <c r="P95" i="16" s="1"/>
  <c r="Q95" i="16" s="1"/>
  <c r="O94" i="16"/>
  <c r="P94" i="16" s="1"/>
  <c r="Q94" i="16" s="1"/>
  <c r="O93" i="16"/>
  <c r="O92" i="16"/>
  <c r="P92" i="16" s="1"/>
  <c r="Q92" i="16" s="1"/>
  <c r="O91" i="16"/>
  <c r="P91" i="16" s="1"/>
  <c r="Q91" i="16" s="1"/>
  <c r="O90" i="16"/>
  <c r="P90" i="16" s="1"/>
  <c r="Q90" i="16" s="1"/>
  <c r="O89" i="16"/>
  <c r="P89" i="16" s="1"/>
  <c r="Q89" i="16" s="1"/>
  <c r="O88" i="16"/>
  <c r="O87" i="16"/>
  <c r="P87" i="16" s="1"/>
  <c r="Q87" i="16" s="1"/>
  <c r="O86" i="16"/>
  <c r="P86" i="16" s="1"/>
  <c r="Q86" i="16" s="1"/>
  <c r="O85" i="16"/>
  <c r="P85" i="16" s="1"/>
  <c r="Q85" i="16" s="1"/>
  <c r="O84" i="16"/>
  <c r="P84" i="16" s="1"/>
  <c r="Q84" i="16" s="1"/>
  <c r="O83" i="16"/>
  <c r="P83" i="16" s="1"/>
  <c r="Q83" i="16" s="1"/>
  <c r="O82" i="16"/>
  <c r="P82" i="16" s="1"/>
  <c r="Q82" i="16" s="1"/>
  <c r="O81" i="16"/>
  <c r="P81" i="16" s="1"/>
  <c r="Q81" i="16" s="1"/>
  <c r="O80" i="16"/>
  <c r="P80" i="16" s="1"/>
  <c r="Q80" i="16" s="1"/>
  <c r="O79" i="16"/>
  <c r="P79" i="16" s="1"/>
  <c r="Q79" i="16" s="1"/>
  <c r="O78" i="16"/>
  <c r="P78" i="16" s="1"/>
  <c r="Q78" i="16" s="1"/>
  <c r="O77" i="16"/>
  <c r="O76" i="16"/>
  <c r="P76" i="16" s="1"/>
  <c r="Q76" i="16" s="1"/>
  <c r="O75" i="16"/>
  <c r="P75" i="16" s="1"/>
  <c r="Q75" i="16" s="1"/>
  <c r="O74" i="16"/>
  <c r="P74" i="16" s="1"/>
  <c r="Q74" i="16" s="1"/>
  <c r="O73" i="16"/>
  <c r="P73" i="16" s="1"/>
  <c r="Q73" i="16" s="1"/>
  <c r="O72" i="16"/>
  <c r="O71" i="16"/>
  <c r="P71" i="16" s="1"/>
  <c r="Q71" i="16" s="1"/>
  <c r="O70" i="16"/>
  <c r="P70" i="16" s="1"/>
  <c r="Q70" i="16" s="1"/>
  <c r="O69" i="16"/>
  <c r="P69" i="16" s="1"/>
  <c r="Q69" i="16" s="1"/>
  <c r="O68" i="16"/>
  <c r="P68" i="16" s="1"/>
  <c r="Q68" i="16" s="1"/>
  <c r="O67" i="16"/>
  <c r="P67" i="16" s="1"/>
  <c r="Q67" i="16" s="1"/>
  <c r="O66" i="16"/>
  <c r="P66" i="16" s="1"/>
  <c r="Q66" i="16" s="1"/>
  <c r="O65" i="16"/>
  <c r="P65" i="16" s="1"/>
  <c r="Q65" i="16" s="1"/>
  <c r="O64" i="16"/>
  <c r="P64" i="16" s="1"/>
  <c r="Q64" i="16" s="1"/>
  <c r="O63" i="16"/>
  <c r="P63" i="16" s="1"/>
  <c r="Q63" i="16" s="1"/>
  <c r="O62" i="16"/>
  <c r="P62" i="16" s="1"/>
  <c r="Q62" i="16" s="1"/>
  <c r="O61" i="16"/>
  <c r="O60" i="16"/>
  <c r="P60" i="16" s="1"/>
  <c r="Q60" i="16" s="1"/>
  <c r="O59" i="16"/>
  <c r="P59" i="16" s="1"/>
  <c r="Q59" i="16" s="1"/>
  <c r="O58" i="16"/>
  <c r="P58" i="16" s="1"/>
  <c r="Q58" i="16" s="1"/>
  <c r="O57" i="16"/>
  <c r="P57" i="16" s="1"/>
  <c r="Q57" i="16" s="1"/>
  <c r="O56" i="16"/>
  <c r="O55" i="16"/>
  <c r="P55" i="16" s="1"/>
  <c r="Q55" i="16" s="1"/>
  <c r="O54" i="16"/>
  <c r="P54" i="16" s="1"/>
  <c r="Q54" i="16" s="1"/>
  <c r="O53" i="16"/>
  <c r="P53" i="16" s="1"/>
  <c r="Q53" i="16" s="1"/>
  <c r="O52" i="16"/>
  <c r="P52" i="16" s="1"/>
  <c r="Q52" i="16" s="1"/>
  <c r="O51" i="16"/>
  <c r="P51" i="16" s="1"/>
  <c r="Q51" i="16" s="1"/>
  <c r="O50" i="16"/>
  <c r="P50" i="16" s="1"/>
  <c r="Q50" i="16" s="1"/>
  <c r="O49" i="16"/>
  <c r="P49" i="16" s="1"/>
  <c r="Q49" i="16" s="1"/>
  <c r="O48" i="16"/>
  <c r="P48" i="16" s="1"/>
  <c r="Q48" i="16" s="1"/>
  <c r="O47" i="16"/>
  <c r="P47" i="16" s="1"/>
  <c r="Q47" i="16" s="1"/>
  <c r="O46" i="16"/>
  <c r="P46" i="16" s="1"/>
  <c r="Q46" i="16" s="1"/>
  <c r="O45" i="16"/>
  <c r="O44" i="16"/>
  <c r="P44" i="16" s="1"/>
  <c r="Q44" i="16" s="1"/>
  <c r="O43" i="16"/>
  <c r="P43" i="16" s="1"/>
  <c r="Q43" i="16" s="1"/>
  <c r="O42" i="16"/>
  <c r="P42" i="16" s="1"/>
  <c r="Q42" i="16" s="1"/>
  <c r="O41" i="16"/>
  <c r="P41" i="16" s="1"/>
  <c r="Q41" i="16" s="1"/>
  <c r="O40" i="16"/>
  <c r="O39" i="16"/>
  <c r="P39" i="16" s="1"/>
  <c r="Q39" i="16" s="1"/>
  <c r="O38" i="16"/>
  <c r="P38" i="16" s="1"/>
  <c r="Q38" i="16" s="1"/>
  <c r="O37" i="16"/>
  <c r="P37" i="16" s="1"/>
  <c r="Q37" i="16" s="1"/>
  <c r="O36" i="16"/>
  <c r="P36" i="16" s="1"/>
  <c r="Q36" i="16" s="1"/>
  <c r="O35" i="16"/>
  <c r="P35" i="16" s="1"/>
  <c r="Q35" i="16" s="1"/>
  <c r="O34" i="16"/>
  <c r="P34" i="16" s="1"/>
  <c r="Q34" i="16" s="1"/>
  <c r="O33" i="16"/>
  <c r="P33" i="16" s="1"/>
  <c r="Q33" i="16" s="1"/>
  <c r="O32" i="16"/>
  <c r="P32" i="16" s="1"/>
  <c r="Q32" i="16" s="1"/>
  <c r="O31" i="16"/>
  <c r="P31" i="16" s="1"/>
  <c r="Q31" i="16" s="1"/>
  <c r="O30" i="16"/>
  <c r="P30" i="16" s="1"/>
  <c r="Q30" i="16" s="1"/>
  <c r="O29" i="16"/>
  <c r="O28" i="16"/>
  <c r="P28" i="16" s="1"/>
  <c r="Q28" i="16" s="1"/>
  <c r="O27" i="16"/>
  <c r="P27" i="16" s="1"/>
  <c r="N195" i="16"/>
  <c r="N194" i="16"/>
  <c r="N193" i="16"/>
  <c r="N192" i="16"/>
  <c r="N191" i="16"/>
  <c r="N190" i="16"/>
  <c r="N189" i="16"/>
  <c r="N188" i="16"/>
  <c r="N187" i="16"/>
  <c r="N186" i="16"/>
  <c r="N185" i="16"/>
  <c r="N184" i="16"/>
  <c r="N183" i="16"/>
  <c r="N182" i="16"/>
  <c r="N181" i="16"/>
  <c r="N180" i="16"/>
  <c r="N179" i="16"/>
  <c r="N178" i="16"/>
  <c r="N177" i="16"/>
  <c r="N176" i="16"/>
  <c r="N175" i="16"/>
  <c r="N174" i="16"/>
  <c r="N173" i="16"/>
  <c r="N172" i="16"/>
  <c r="N171" i="16"/>
  <c r="N170" i="16"/>
  <c r="N169" i="16"/>
  <c r="N168" i="16"/>
  <c r="N167" i="16"/>
  <c r="N166" i="16"/>
  <c r="N165" i="16"/>
  <c r="N164" i="16"/>
  <c r="N163" i="16"/>
  <c r="N162" i="16"/>
  <c r="N161" i="16"/>
  <c r="N160" i="16"/>
  <c r="N159" i="16"/>
  <c r="N158" i="16"/>
  <c r="N157" i="16"/>
  <c r="N156" i="16"/>
  <c r="N155" i="16"/>
  <c r="N154" i="16"/>
  <c r="N153" i="16"/>
  <c r="N152" i="16"/>
  <c r="N151" i="16"/>
  <c r="N150" i="16"/>
  <c r="N149" i="16"/>
  <c r="N148" i="16"/>
  <c r="N147" i="16"/>
  <c r="N146" i="16"/>
  <c r="N145" i="16"/>
  <c r="N144" i="16"/>
  <c r="N143" i="16"/>
  <c r="N142" i="16"/>
  <c r="N141" i="16"/>
  <c r="N140" i="16"/>
  <c r="N139" i="16"/>
  <c r="N138" i="16"/>
  <c r="N137" i="16"/>
  <c r="N136" i="16"/>
  <c r="N135" i="16"/>
  <c r="N134" i="16"/>
  <c r="N133" i="16"/>
  <c r="N132" i="16"/>
  <c r="N131" i="16"/>
  <c r="N130" i="16"/>
  <c r="N129" i="16"/>
  <c r="N128" i="16"/>
  <c r="N127" i="16"/>
  <c r="N126" i="16"/>
  <c r="N125" i="16"/>
  <c r="N124" i="16"/>
  <c r="N123" i="16"/>
  <c r="N122" i="16"/>
  <c r="N121" i="16"/>
  <c r="N120" i="16"/>
  <c r="N119" i="16"/>
  <c r="N118" i="16"/>
  <c r="N117" i="16"/>
  <c r="N116" i="16"/>
  <c r="N115" i="16"/>
  <c r="N114" i="16"/>
  <c r="N113" i="16"/>
  <c r="N112" i="16"/>
  <c r="N111" i="16"/>
  <c r="N110" i="16"/>
  <c r="N109" i="16"/>
  <c r="N108" i="16"/>
  <c r="N107" i="16"/>
  <c r="N106" i="16"/>
  <c r="N105" i="16"/>
  <c r="N104" i="16"/>
  <c r="N103" i="16"/>
  <c r="N102" i="16"/>
  <c r="N101" i="16"/>
  <c r="N100" i="16"/>
  <c r="N99" i="16"/>
  <c r="N98" i="16"/>
  <c r="N97" i="16"/>
  <c r="N96" i="16"/>
  <c r="N95" i="16"/>
  <c r="N94" i="16"/>
  <c r="N93" i="16"/>
  <c r="N92" i="16"/>
  <c r="N91" i="16"/>
  <c r="N90" i="16"/>
  <c r="N89" i="16"/>
  <c r="N88" i="16"/>
  <c r="N87" i="16"/>
  <c r="N86" i="16"/>
  <c r="N85" i="16"/>
  <c r="N84" i="16"/>
  <c r="N83" i="16"/>
  <c r="N82" i="16"/>
  <c r="N81" i="16"/>
  <c r="N80" i="16"/>
  <c r="N79" i="16"/>
  <c r="N78" i="16"/>
  <c r="N77" i="16"/>
  <c r="N76" i="16"/>
  <c r="N75" i="16"/>
  <c r="N74" i="16"/>
  <c r="N73" i="16"/>
  <c r="N72" i="16"/>
  <c r="N71" i="16"/>
  <c r="N70" i="16"/>
  <c r="N69" i="16"/>
  <c r="N68" i="16"/>
  <c r="N67" i="16"/>
  <c r="N66" i="16"/>
  <c r="N65" i="16"/>
  <c r="N64" i="16"/>
  <c r="N63" i="16"/>
  <c r="N62" i="16"/>
  <c r="N61" i="16"/>
  <c r="N60" i="16"/>
  <c r="N59" i="16"/>
  <c r="N58" i="16"/>
  <c r="N57" i="16"/>
  <c r="N56" i="16"/>
  <c r="N55" i="16"/>
  <c r="N54" i="16"/>
  <c r="N53" i="16"/>
  <c r="N52" i="16"/>
  <c r="N51" i="16"/>
  <c r="N50" i="16"/>
  <c r="N49" i="16"/>
  <c r="N48" i="16"/>
  <c r="N47" i="16"/>
  <c r="N46" i="16"/>
  <c r="N45" i="16"/>
  <c r="N44" i="16"/>
  <c r="N43" i="16"/>
  <c r="N42" i="16"/>
  <c r="N41" i="16"/>
  <c r="N40" i="16"/>
  <c r="N39" i="16"/>
  <c r="N38" i="16"/>
  <c r="N37" i="16"/>
  <c r="N36" i="16"/>
  <c r="N35" i="16"/>
  <c r="N34" i="16"/>
  <c r="N33" i="16"/>
  <c r="N32" i="16"/>
  <c r="N31" i="16"/>
  <c r="N30" i="16"/>
  <c r="N29" i="16"/>
  <c r="N28" i="16"/>
  <c r="N27" i="16"/>
  <c r="R195" i="16"/>
  <c r="R194" i="16"/>
  <c r="R193" i="16"/>
  <c r="R192" i="16"/>
  <c r="R191" i="16"/>
  <c r="R190" i="16"/>
  <c r="R189" i="16"/>
  <c r="R188" i="16"/>
  <c r="R187" i="16"/>
  <c r="R186" i="16"/>
  <c r="R185" i="16"/>
  <c r="R184" i="16"/>
  <c r="R183" i="16"/>
  <c r="R182" i="16"/>
  <c r="R181" i="16"/>
  <c r="R180" i="16"/>
  <c r="R179" i="16"/>
  <c r="R178" i="16"/>
  <c r="R177" i="16"/>
  <c r="R176" i="16"/>
  <c r="R175" i="16"/>
  <c r="R174" i="16"/>
  <c r="R173" i="16"/>
  <c r="R172" i="16"/>
  <c r="R171" i="16"/>
  <c r="R170" i="16"/>
  <c r="R169" i="16"/>
  <c r="R168" i="16"/>
  <c r="R167" i="16"/>
  <c r="R166" i="16"/>
  <c r="R165" i="16"/>
  <c r="R164" i="16"/>
  <c r="R163" i="16"/>
  <c r="R162" i="16"/>
  <c r="R161" i="16"/>
  <c r="R160" i="16"/>
  <c r="R159" i="16"/>
  <c r="R158" i="16"/>
  <c r="R157" i="16"/>
  <c r="R156" i="16"/>
  <c r="R155" i="16"/>
  <c r="R154" i="16"/>
  <c r="R153" i="16"/>
  <c r="R152" i="16"/>
  <c r="R151" i="16"/>
  <c r="R150" i="16"/>
  <c r="R149" i="16"/>
  <c r="R148" i="16"/>
  <c r="R147" i="16"/>
  <c r="R146" i="16"/>
  <c r="R145" i="16"/>
  <c r="R144" i="16"/>
  <c r="R143" i="16"/>
  <c r="R142" i="16"/>
  <c r="R141" i="16"/>
  <c r="R140" i="16"/>
  <c r="R139" i="16"/>
  <c r="R138" i="16"/>
  <c r="R137" i="16"/>
  <c r="R136" i="16"/>
  <c r="R135" i="16"/>
  <c r="R134" i="16"/>
  <c r="R133" i="16"/>
  <c r="R132" i="16"/>
  <c r="R131" i="16"/>
  <c r="R130" i="16"/>
  <c r="R129" i="16"/>
  <c r="R128" i="16"/>
  <c r="R127" i="16"/>
  <c r="R126" i="16"/>
  <c r="R125" i="16"/>
  <c r="R124" i="16"/>
  <c r="R123" i="16"/>
  <c r="R122" i="16"/>
  <c r="R121" i="16"/>
  <c r="R120" i="16"/>
  <c r="R119" i="16"/>
  <c r="R118" i="16"/>
  <c r="R117" i="16"/>
  <c r="R116" i="16"/>
  <c r="R115" i="16"/>
  <c r="R114" i="16"/>
  <c r="R113" i="16"/>
  <c r="R112" i="16"/>
  <c r="R111" i="16"/>
  <c r="R110" i="16"/>
  <c r="R109" i="16"/>
  <c r="R108" i="16"/>
  <c r="R107" i="16"/>
  <c r="R106" i="16"/>
  <c r="R105" i="16"/>
  <c r="R104" i="16"/>
  <c r="R103" i="16"/>
  <c r="R102" i="16"/>
  <c r="R101" i="16"/>
  <c r="R100" i="16"/>
  <c r="R99" i="16"/>
  <c r="R98" i="16"/>
  <c r="R97" i="16"/>
  <c r="R96" i="16"/>
  <c r="R95" i="16"/>
  <c r="R94" i="16"/>
  <c r="R93" i="16"/>
  <c r="R92" i="16"/>
  <c r="R91" i="16"/>
  <c r="R90" i="16"/>
  <c r="R89" i="16"/>
  <c r="R88" i="16"/>
  <c r="R87" i="16"/>
  <c r="R86" i="16"/>
  <c r="R85" i="16"/>
  <c r="R84" i="16"/>
  <c r="R83" i="16"/>
  <c r="R82" i="16"/>
  <c r="R81" i="16"/>
  <c r="R80" i="16"/>
  <c r="R79" i="16"/>
  <c r="R78" i="16"/>
  <c r="R77" i="16"/>
  <c r="R76" i="16"/>
  <c r="R75" i="16"/>
  <c r="R74" i="16"/>
  <c r="R73" i="16"/>
  <c r="R72" i="16"/>
  <c r="R71" i="16"/>
  <c r="R70" i="16"/>
  <c r="R69" i="16"/>
  <c r="R68" i="16"/>
  <c r="R67" i="16"/>
  <c r="R66" i="16"/>
  <c r="R65" i="16"/>
  <c r="R64" i="16"/>
  <c r="R63" i="16"/>
  <c r="R62" i="16"/>
  <c r="R61" i="16"/>
  <c r="R60" i="16"/>
  <c r="R59" i="16"/>
  <c r="R58" i="16"/>
  <c r="R57" i="16"/>
  <c r="R56" i="16"/>
  <c r="R55" i="16"/>
  <c r="R54" i="16"/>
  <c r="R53" i="16"/>
  <c r="R52" i="16"/>
  <c r="R51" i="16"/>
  <c r="R50" i="16"/>
  <c r="R49" i="16"/>
  <c r="R48" i="16"/>
  <c r="R47" i="16"/>
  <c r="R46" i="16"/>
  <c r="R45" i="16"/>
  <c r="R44" i="16"/>
  <c r="R43" i="16"/>
  <c r="R42" i="16"/>
  <c r="R41" i="16"/>
  <c r="R40" i="16"/>
  <c r="R39" i="16"/>
  <c r="R38" i="16"/>
  <c r="R37" i="16"/>
  <c r="R36" i="16"/>
  <c r="R35" i="16"/>
  <c r="R34" i="16"/>
  <c r="R33" i="16"/>
  <c r="R32" i="16"/>
  <c r="R31" i="16"/>
  <c r="R30" i="16"/>
  <c r="R29" i="16"/>
  <c r="R28" i="16"/>
  <c r="R27" i="16"/>
  <c r="AO195" i="16"/>
  <c r="AO194" i="16"/>
  <c r="AO193" i="16"/>
  <c r="AO192" i="16"/>
  <c r="AO191" i="16"/>
  <c r="AO190" i="16"/>
  <c r="AO189" i="16"/>
  <c r="AO188" i="16"/>
  <c r="AO187" i="16"/>
  <c r="AO186" i="16"/>
  <c r="AO185" i="16"/>
  <c r="AO184" i="16"/>
  <c r="AO183" i="16"/>
  <c r="AO182" i="16"/>
  <c r="AO181" i="16"/>
  <c r="AO180" i="16"/>
  <c r="AO179" i="16"/>
  <c r="AO178" i="16"/>
  <c r="AO177" i="16"/>
  <c r="AO176" i="16"/>
  <c r="AO175" i="16"/>
  <c r="AO174" i="16"/>
  <c r="AO173" i="16"/>
  <c r="AO172" i="16"/>
  <c r="AO171" i="16"/>
  <c r="AO170" i="16"/>
  <c r="AO169" i="16"/>
  <c r="AO168" i="16"/>
  <c r="AO167" i="16"/>
  <c r="AO166" i="16"/>
  <c r="AO165" i="16"/>
  <c r="AO164" i="16"/>
  <c r="AO163" i="16"/>
  <c r="AO162" i="16"/>
  <c r="AO161" i="16"/>
  <c r="AO160" i="16"/>
  <c r="AO159" i="16"/>
  <c r="AO158" i="16"/>
  <c r="AO157" i="16"/>
  <c r="AO156" i="16"/>
  <c r="AO155" i="16"/>
  <c r="AO154" i="16"/>
  <c r="AO153" i="16"/>
  <c r="AO152" i="16"/>
  <c r="AO151" i="16"/>
  <c r="AO150" i="16"/>
  <c r="AO149" i="16"/>
  <c r="AO148" i="16"/>
  <c r="AO147" i="16"/>
  <c r="AO146" i="16"/>
  <c r="AO145" i="16"/>
  <c r="AO144" i="16"/>
  <c r="AO143" i="16"/>
  <c r="AO142" i="16"/>
  <c r="AO141" i="16"/>
  <c r="AO140" i="16"/>
  <c r="AO139" i="16"/>
  <c r="AO138" i="16"/>
  <c r="AO137" i="16"/>
  <c r="AO136" i="16"/>
  <c r="AO135" i="16"/>
  <c r="AO134" i="16"/>
  <c r="AO133" i="16"/>
  <c r="AO132" i="16"/>
  <c r="AO131" i="16"/>
  <c r="AO130" i="16"/>
  <c r="AO129" i="16"/>
  <c r="AO128" i="16"/>
  <c r="AO127" i="16"/>
  <c r="AO126" i="16"/>
  <c r="AO125" i="16"/>
  <c r="AO124" i="16"/>
  <c r="AO123" i="16"/>
  <c r="AO122" i="16"/>
  <c r="AO121" i="16"/>
  <c r="AO120" i="16"/>
  <c r="AO119" i="16"/>
  <c r="AO118" i="16"/>
  <c r="AO117" i="16"/>
  <c r="AO116" i="16"/>
  <c r="AO115" i="16"/>
  <c r="AO114" i="16"/>
  <c r="AO113" i="16"/>
  <c r="AO112" i="16"/>
  <c r="AO111" i="16"/>
  <c r="AO110" i="16"/>
  <c r="AO109" i="16"/>
  <c r="AO108" i="16"/>
  <c r="AO107" i="16"/>
  <c r="AO106" i="16"/>
  <c r="AO105" i="16"/>
  <c r="AO104" i="16"/>
  <c r="AO103" i="16"/>
  <c r="AO102" i="16"/>
  <c r="AO101" i="16"/>
  <c r="AO100" i="16"/>
  <c r="AO99" i="16"/>
  <c r="AO98" i="16"/>
  <c r="AO97" i="16"/>
  <c r="AO96" i="16"/>
  <c r="AO95" i="16"/>
  <c r="AO94" i="16"/>
  <c r="AO93" i="16"/>
  <c r="AO92" i="16"/>
  <c r="AO91" i="16"/>
  <c r="AO90" i="16"/>
  <c r="AO89" i="16"/>
  <c r="AO88" i="16"/>
  <c r="AO87" i="16"/>
  <c r="AO86" i="16"/>
  <c r="AO85" i="16"/>
  <c r="AO84" i="16"/>
  <c r="AO83" i="16"/>
  <c r="AO82" i="16"/>
  <c r="AO81" i="16"/>
  <c r="AO80" i="16"/>
  <c r="AO79" i="16"/>
  <c r="AO78" i="16"/>
  <c r="AO77" i="16"/>
  <c r="AO76" i="16"/>
  <c r="AO75" i="16"/>
  <c r="AO74" i="16"/>
  <c r="AO73" i="16"/>
  <c r="AO72" i="16"/>
  <c r="AO71" i="16"/>
  <c r="AO70" i="16"/>
  <c r="AO69" i="16"/>
  <c r="AO68" i="16"/>
  <c r="AO67" i="16"/>
  <c r="AO66" i="16"/>
  <c r="AO65" i="16"/>
  <c r="AO64" i="16"/>
  <c r="AO63" i="16"/>
  <c r="AO62" i="16"/>
  <c r="AO61" i="16"/>
  <c r="AO60" i="16"/>
  <c r="AO59" i="16"/>
  <c r="AO58" i="16"/>
  <c r="AO57" i="16"/>
  <c r="AO56" i="16"/>
  <c r="AO55" i="16"/>
  <c r="AO54" i="16"/>
  <c r="AO53" i="16"/>
  <c r="AO52" i="16"/>
  <c r="AO51" i="16"/>
  <c r="AO50" i="16"/>
  <c r="AO49" i="16"/>
  <c r="AO48" i="16"/>
  <c r="AO47" i="16"/>
  <c r="AO46" i="16"/>
  <c r="AO45" i="16"/>
  <c r="AO44" i="16"/>
  <c r="AO43" i="16"/>
  <c r="AO42" i="16"/>
  <c r="AO41" i="16"/>
  <c r="AO40" i="16"/>
  <c r="AO39" i="16"/>
  <c r="AO38" i="16"/>
  <c r="AO37" i="16"/>
  <c r="AO36" i="16"/>
  <c r="AO35" i="16"/>
  <c r="AO34" i="16"/>
  <c r="AO33" i="16"/>
  <c r="AO32" i="16"/>
  <c r="AO31" i="16"/>
  <c r="AO30" i="16"/>
  <c r="AO29" i="16"/>
  <c r="AO28" i="16"/>
  <c r="AO27" i="16"/>
  <c r="AM17" i="16"/>
  <c r="AL195" i="16"/>
  <c r="AL194" i="16"/>
  <c r="AL193" i="16"/>
  <c r="AL192" i="16"/>
  <c r="AL191" i="16"/>
  <c r="AL190" i="16"/>
  <c r="AL189" i="16"/>
  <c r="AL188" i="16"/>
  <c r="AL187" i="16"/>
  <c r="AL186" i="16"/>
  <c r="AL185" i="16"/>
  <c r="AL184" i="16"/>
  <c r="AL183" i="16"/>
  <c r="AL182" i="16"/>
  <c r="AL181" i="16"/>
  <c r="AL180" i="16"/>
  <c r="AL179" i="16"/>
  <c r="AL178" i="16"/>
  <c r="AL177" i="16"/>
  <c r="AL176" i="16"/>
  <c r="AL175" i="16"/>
  <c r="AL174" i="16"/>
  <c r="AL173" i="16"/>
  <c r="AL172" i="16"/>
  <c r="AL171" i="16"/>
  <c r="AL170" i="16"/>
  <c r="AL169" i="16"/>
  <c r="AL168" i="16"/>
  <c r="AL167" i="16"/>
  <c r="AL166" i="16"/>
  <c r="AL165" i="16"/>
  <c r="AL164" i="16"/>
  <c r="AL163" i="16"/>
  <c r="AL162" i="16"/>
  <c r="AL161" i="16"/>
  <c r="AL160" i="16"/>
  <c r="AL159" i="16"/>
  <c r="AL158" i="16"/>
  <c r="AL157" i="16"/>
  <c r="AL156" i="16"/>
  <c r="AL155" i="16"/>
  <c r="AL154" i="16"/>
  <c r="AL153" i="16"/>
  <c r="AL152" i="16"/>
  <c r="AL151" i="16"/>
  <c r="AL150" i="16"/>
  <c r="AL149" i="16"/>
  <c r="AL148" i="16"/>
  <c r="AL147" i="16"/>
  <c r="AL146" i="16"/>
  <c r="AL145" i="16"/>
  <c r="AL144" i="16"/>
  <c r="AL143" i="16"/>
  <c r="AL142" i="16"/>
  <c r="AL141" i="16"/>
  <c r="AL140" i="16"/>
  <c r="AL139" i="16"/>
  <c r="AL138" i="16"/>
  <c r="AL137" i="16"/>
  <c r="AL136" i="16"/>
  <c r="AL135" i="16"/>
  <c r="AL134" i="16"/>
  <c r="AL133" i="16"/>
  <c r="AL132" i="16"/>
  <c r="AL131" i="16"/>
  <c r="AL130" i="16"/>
  <c r="AL129" i="16"/>
  <c r="AL128" i="16"/>
  <c r="AL127" i="16"/>
  <c r="AL126" i="16"/>
  <c r="AL125" i="16"/>
  <c r="AL124" i="16"/>
  <c r="AL123" i="16"/>
  <c r="AL122" i="16"/>
  <c r="AL121" i="16"/>
  <c r="AL120" i="16"/>
  <c r="AL119" i="16"/>
  <c r="AL118" i="16"/>
  <c r="AL117" i="16"/>
  <c r="AL116" i="16"/>
  <c r="AL115" i="16"/>
  <c r="AL114" i="16"/>
  <c r="AL113" i="16"/>
  <c r="AL112" i="16"/>
  <c r="AL111" i="16"/>
  <c r="AL110" i="16"/>
  <c r="AL109" i="16"/>
  <c r="AL108" i="16"/>
  <c r="AL107" i="16"/>
  <c r="AL106" i="16"/>
  <c r="AL105" i="16"/>
  <c r="AL104" i="16"/>
  <c r="AL103" i="16"/>
  <c r="AL102" i="16"/>
  <c r="AL101" i="16"/>
  <c r="AL100" i="16"/>
  <c r="AL99" i="16"/>
  <c r="AL98" i="16"/>
  <c r="AL97" i="16"/>
  <c r="AL96" i="16"/>
  <c r="AL95" i="16"/>
  <c r="AL94" i="16"/>
  <c r="AL93" i="16"/>
  <c r="AL92" i="16"/>
  <c r="AL91" i="16"/>
  <c r="AL90" i="16"/>
  <c r="AL89" i="16"/>
  <c r="AL88" i="16"/>
  <c r="AL87" i="16"/>
  <c r="AL86" i="16"/>
  <c r="AL85" i="16"/>
  <c r="AL84" i="16"/>
  <c r="AL83" i="16"/>
  <c r="AL82" i="16"/>
  <c r="AL81" i="16"/>
  <c r="AL80" i="16"/>
  <c r="AL79" i="16"/>
  <c r="AL78" i="16"/>
  <c r="AL77" i="16"/>
  <c r="AL76" i="16"/>
  <c r="AL75" i="16"/>
  <c r="AL74" i="16"/>
  <c r="AL73" i="16"/>
  <c r="AL72" i="16"/>
  <c r="AL71" i="16"/>
  <c r="AL70" i="16"/>
  <c r="AL69" i="16"/>
  <c r="AL68" i="16"/>
  <c r="AL67" i="16"/>
  <c r="AL66" i="16"/>
  <c r="AL65" i="16"/>
  <c r="AL64" i="16"/>
  <c r="AL63" i="16"/>
  <c r="AL62" i="16"/>
  <c r="AL61" i="16"/>
  <c r="AL60" i="16"/>
  <c r="AL59" i="16"/>
  <c r="AL58" i="16"/>
  <c r="AL57" i="16"/>
  <c r="AL56" i="16"/>
  <c r="AL55" i="16"/>
  <c r="AL54" i="16"/>
  <c r="AL53" i="16"/>
  <c r="AL52" i="16"/>
  <c r="AL51" i="16"/>
  <c r="AL50" i="16"/>
  <c r="AL49" i="16"/>
  <c r="AL48" i="16"/>
  <c r="AL47" i="16"/>
  <c r="AL46" i="16"/>
  <c r="AL45" i="16"/>
  <c r="AL44" i="16"/>
  <c r="AL43" i="16"/>
  <c r="AL42" i="16"/>
  <c r="AL41" i="16"/>
  <c r="AL40" i="16"/>
  <c r="AL39" i="16"/>
  <c r="AL38" i="16"/>
  <c r="AL37" i="16"/>
  <c r="AL36" i="16"/>
  <c r="AL35" i="16"/>
  <c r="AL34" i="16"/>
  <c r="AL33" i="16"/>
  <c r="AL32" i="16"/>
  <c r="AL31" i="16"/>
  <c r="AL30" i="16"/>
  <c r="AL29" i="16"/>
  <c r="AL28" i="16"/>
  <c r="AL27" i="16"/>
  <c r="Q27" i="16" l="1"/>
  <c r="Q17" i="16" s="1"/>
  <c r="P17" i="16"/>
  <c r="O17" i="16"/>
  <c r="N17" i="16"/>
  <c r="AL17" i="16"/>
  <c r="AR17" i="16"/>
  <c r="AH195" i="16" l="1"/>
  <c r="AH194" i="16"/>
  <c r="AH193" i="16"/>
  <c r="AH192" i="16"/>
  <c r="AH191" i="16"/>
  <c r="AH190" i="16"/>
  <c r="AH189" i="16"/>
  <c r="AH188" i="16"/>
  <c r="AH187" i="16"/>
  <c r="AH186" i="16"/>
  <c r="AH185" i="16"/>
  <c r="AH184" i="16"/>
  <c r="AH183" i="16"/>
  <c r="AH182" i="16"/>
  <c r="AH181" i="16"/>
  <c r="AH180" i="16"/>
  <c r="AH179" i="16"/>
  <c r="AH178" i="16"/>
  <c r="AH177" i="16"/>
  <c r="AH176" i="16"/>
  <c r="AH175" i="16"/>
  <c r="AH174" i="16"/>
  <c r="AH173" i="16"/>
  <c r="AH172" i="16"/>
  <c r="AH171" i="16"/>
  <c r="AH170" i="16"/>
  <c r="AH169" i="16"/>
  <c r="AH168" i="16"/>
  <c r="AH167" i="16"/>
  <c r="AH166" i="16"/>
  <c r="AH165" i="16"/>
  <c r="AH164" i="16"/>
  <c r="AH163" i="16"/>
  <c r="AH162" i="16"/>
  <c r="AH161" i="16"/>
  <c r="AH160" i="16"/>
  <c r="AH159" i="16"/>
  <c r="AH158" i="16"/>
  <c r="AH157" i="16"/>
  <c r="AH156" i="16"/>
  <c r="AH155" i="16"/>
  <c r="AH154" i="16"/>
  <c r="AH153" i="16"/>
  <c r="AH152" i="16"/>
  <c r="AH151" i="16"/>
  <c r="AH150" i="16"/>
  <c r="AH149" i="16"/>
  <c r="AH148" i="16"/>
  <c r="AH147" i="16"/>
  <c r="AH146" i="16"/>
  <c r="AH145" i="16"/>
  <c r="AH144" i="16"/>
  <c r="AH143" i="16"/>
  <c r="AH142" i="16"/>
  <c r="AH141" i="16"/>
  <c r="AH140" i="16"/>
  <c r="AH139" i="16"/>
  <c r="AH138" i="16"/>
  <c r="AH137" i="16"/>
  <c r="AH136" i="16"/>
  <c r="AH135" i="16"/>
  <c r="AH134" i="16"/>
  <c r="AH133" i="16"/>
  <c r="AH132" i="16"/>
  <c r="AH131" i="16"/>
  <c r="AH130" i="16"/>
  <c r="AH129" i="16"/>
  <c r="AH128" i="16"/>
  <c r="AH127" i="16"/>
  <c r="AH126" i="16"/>
  <c r="AH125" i="16"/>
  <c r="AH124" i="16"/>
  <c r="AH123" i="16"/>
  <c r="AH122" i="16"/>
  <c r="AH121" i="16"/>
  <c r="AH120" i="16"/>
  <c r="AH119" i="16"/>
  <c r="AH118" i="16"/>
  <c r="AH117" i="16"/>
  <c r="AH116" i="16"/>
  <c r="AH115" i="16"/>
  <c r="AH114" i="16"/>
  <c r="AH113" i="16"/>
  <c r="AH112" i="16"/>
  <c r="AH111" i="16"/>
  <c r="AH110" i="16"/>
  <c r="AH109" i="16"/>
  <c r="AH108" i="16"/>
  <c r="AH107" i="16"/>
  <c r="AH106" i="16"/>
  <c r="AH105" i="16"/>
  <c r="AH104" i="16"/>
  <c r="AH103" i="16"/>
  <c r="AH102" i="16"/>
  <c r="AH101" i="16"/>
  <c r="AH100" i="16"/>
  <c r="AH99" i="16"/>
  <c r="AH98" i="16"/>
  <c r="AH97" i="16"/>
  <c r="AH96" i="16"/>
  <c r="AH95" i="16"/>
  <c r="AH94" i="16"/>
  <c r="AH93" i="16"/>
  <c r="AH92" i="16"/>
  <c r="AH91" i="16"/>
  <c r="AH90" i="16"/>
  <c r="AH89" i="16"/>
  <c r="AH88" i="16"/>
  <c r="AH87" i="16"/>
  <c r="AH86" i="16"/>
  <c r="AH85" i="16"/>
  <c r="AH84" i="16"/>
  <c r="AH83" i="16"/>
  <c r="AH82" i="16"/>
  <c r="AH81" i="16"/>
  <c r="AH80" i="16"/>
  <c r="AH79" i="16"/>
  <c r="AH78" i="16"/>
  <c r="AH77" i="16"/>
  <c r="AH76" i="16"/>
  <c r="AH75" i="16"/>
  <c r="AH74" i="16"/>
  <c r="AH73" i="16"/>
  <c r="AH72" i="16"/>
  <c r="AH71" i="16"/>
  <c r="AH70" i="16"/>
  <c r="AH69" i="16"/>
  <c r="AH68" i="16"/>
  <c r="AH67" i="16"/>
  <c r="AH66" i="16"/>
  <c r="AH65" i="16"/>
  <c r="AH64" i="16"/>
  <c r="AH63" i="16"/>
  <c r="AH62" i="16"/>
  <c r="AH61" i="16"/>
  <c r="AH60" i="16"/>
  <c r="AH59" i="16"/>
  <c r="AH58" i="16"/>
  <c r="AH57" i="16"/>
  <c r="AH56" i="16"/>
  <c r="AH55" i="16"/>
  <c r="AH54" i="16"/>
  <c r="AH53" i="16"/>
  <c r="AH52" i="16"/>
  <c r="AH51" i="16"/>
  <c r="AH50" i="16"/>
  <c r="AH49" i="16"/>
  <c r="AH48" i="16"/>
  <c r="AH47" i="16"/>
  <c r="AH46" i="16"/>
  <c r="AH45" i="16"/>
  <c r="AH44" i="16"/>
  <c r="AH43" i="16"/>
  <c r="AH42" i="16"/>
  <c r="AH41" i="16"/>
  <c r="AH40" i="16"/>
  <c r="AH39" i="16"/>
  <c r="AH38" i="16"/>
  <c r="AH37" i="16"/>
  <c r="AH36" i="16"/>
  <c r="AH35" i="16"/>
  <c r="AH34" i="16"/>
  <c r="AH33" i="16"/>
  <c r="AH32" i="16"/>
  <c r="AH31" i="16"/>
  <c r="AH30" i="16"/>
  <c r="AH29" i="16"/>
  <c r="AH28" i="16"/>
  <c r="AH27" i="16"/>
  <c r="AB195" i="16" l="1"/>
  <c r="X195" i="16"/>
  <c r="AB194" i="16"/>
  <c r="X194" i="16"/>
  <c r="AB193" i="16"/>
  <c r="X193" i="16"/>
  <c r="AB192" i="16"/>
  <c r="X192" i="16"/>
  <c r="AB191" i="16"/>
  <c r="X191" i="16"/>
  <c r="AB190" i="16"/>
  <c r="X190" i="16"/>
  <c r="AB189" i="16"/>
  <c r="X189" i="16"/>
  <c r="AB188" i="16"/>
  <c r="X188" i="16"/>
  <c r="AB187" i="16"/>
  <c r="X187" i="16"/>
  <c r="AB186" i="16"/>
  <c r="X186" i="16"/>
  <c r="AB185" i="16"/>
  <c r="X185" i="16"/>
  <c r="AB184" i="16"/>
  <c r="X184" i="16"/>
  <c r="AB183" i="16"/>
  <c r="X183" i="16"/>
  <c r="AB182" i="16"/>
  <c r="X182" i="16"/>
  <c r="AB181" i="16"/>
  <c r="X181" i="16"/>
  <c r="AB180" i="16"/>
  <c r="X180" i="16"/>
  <c r="AB179" i="16"/>
  <c r="X179" i="16"/>
  <c r="AB178" i="16"/>
  <c r="X178" i="16"/>
  <c r="AB177" i="16"/>
  <c r="X177" i="16"/>
  <c r="AB176" i="16"/>
  <c r="X176" i="16"/>
  <c r="AB175" i="16"/>
  <c r="X175" i="16"/>
  <c r="AB174" i="16"/>
  <c r="X174" i="16"/>
  <c r="AB173" i="16"/>
  <c r="X173" i="16"/>
  <c r="AB172" i="16"/>
  <c r="X172" i="16"/>
  <c r="AB171" i="16"/>
  <c r="X171" i="16"/>
  <c r="AB170" i="16"/>
  <c r="X170" i="16"/>
  <c r="AB169" i="16"/>
  <c r="X169" i="16"/>
  <c r="AB168" i="16"/>
  <c r="X168" i="16"/>
  <c r="AB167" i="16"/>
  <c r="X167" i="16"/>
  <c r="AB166" i="16"/>
  <c r="X166" i="16"/>
  <c r="AB165" i="16"/>
  <c r="X165" i="16"/>
  <c r="AB164" i="16"/>
  <c r="X164" i="16"/>
  <c r="AB163" i="16"/>
  <c r="X163" i="16"/>
  <c r="AB162" i="16"/>
  <c r="X162" i="16"/>
  <c r="AB161" i="16"/>
  <c r="X161" i="16"/>
  <c r="AB160" i="16"/>
  <c r="X160" i="16"/>
  <c r="AB159" i="16"/>
  <c r="X159" i="16"/>
  <c r="AB158" i="16"/>
  <c r="X158" i="16"/>
  <c r="AB157" i="16"/>
  <c r="X157" i="16"/>
  <c r="AB156" i="16"/>
  <c r="X156" i="16"/>
  <c r="AB155" i="16"/>
  <c r="X155" i="16"/>
  <c r="AB154" i="16"/>
  <c r="X154" i="16"/>
  <c r="AB153" i="16"/>
  <c r="X153" i="16"/>
  <c r="AB152" i="16"/>
  <c r="X152" i="16"/>
  <c r="AB151" i="16"/>
  <c r="X151" i="16"/>
  <c r="AB150" i="16"/>
  <c r="X150" i="16"/>
  <c r="AB149" i="16"/>
  <c r="X149" i="16"/>
  <c r="AB148" i="16"/>
  <c r="X148" i="16"/>
  <c r="AB147" i="16"/>
  <c r="X147" i="16"/>
  <c r="AB146" i="16"/>
  <c r="X146" i="16"/>
  <c r="AB145" i="16"/>
  <c r="X145" i="16"/>
  <c r="AB144" i="16"/>
  <c r="X144" i="16"/>
  <c r="AB143" i="16"/>
  <c r="X143" i="16"/>
  <c r="AB142" i="16"/>
  <c r="X142" i="16"/>
  <c r="AB141" i="16"/>
  <c r="X141" i="16"/>
  <c r="AB140" i="16"/>
  <c r="X140" i="16"/>
  <c r="AB139" i="16"/>
  <c r="X139" i="16"/>
  <c r="AB138" i="16"/>
  <c r="X138" i="16"/>
  <c r="AB137" i="16"/>
  <c r="X137" i="16"/>
  <c r="AB136" i="16"/>
  <c r="X136" i="16"/>
  <c r="AB135" i="16"/>
  <c r="X135" i="16"/>
  <c r="AB134" i="16"/>
  <c r="X134" i="16"/>
  <c r="AB133" i="16"/>
  <c r="X133" i="16"/>
  <c r="AB132" i="16"/>
  <c r="X132" i="16"/>
  <c r="AB131" i="16"/>
  <c r="X131" i="16"/>
  <c r="AB130" i="16"/>
  <c r="X130" i="16"/>
  <c r="AB129" i="16"/>
  <c r="X129" i="16"/>
  <c r="AB128" i="16"/>
  <c r="X128" i="16"/>
  <c r="AB127" i="16"/>
  <c r="X127" i="16"/>
  <c r="AB126" i="16"/>
  <c r="X126" i="16"/>
  <c r="AB125" i="16"/>
  <c r="X125" i="16"/>
  <c r="AB124" i="16"/>
  <c r="X124" i="16"/>
  <c r="AB123" i="16"/>
  <c r="X123" i="16"/>
  <c r="AB122" i="16"/>
  <c r="X122" i="16"/>
  <c r="AB121" i="16"/>
  <c r="X121" i="16"/>
  <c r="AB120" i="16"/>
  <c r="X120" i="16"/>
  <c r="AB119" i="16"/>
  <c r="X119" i="16"/>
  <c r="AB118" i="16"/>
  <c r="X118" i="16"/>
  <c r="AB117" i="16"/>
  <c r="X117" i="16"/>
  <c r="AB116" i="16"/>
  <c r="X116" i="16"/>
  <c r="AB115" i="16"/>
  <c r="X115" i="16"/>
  <c r="AB114" i="16"/>
  <c r="X114" i="16"/>
  <c r="AB113" i="16"/>
  <c r="X113" i="16"/>
  <c r="AB112" i="16"/>
  <c r="X112" i="16"/>
  <c r="AB111" i="16"/>
  <c r="X111" i="16"/>
  <c r="AB110" i="16"/>
  <c r="X110" i="16"/>
  <c r="AB109" i="16"/>
  <c r="X109" i="16"/>
  <c r="AB108" i="16"/>
  <c r="X108" i="16"/>
  <c r="AB107" i="16"/>
  <c r="X107" i="16"/>
  <c r="AB106" i="16"/>
  <c r="X106" i="16"/>
  <c r="AB105" i="16"/>
  <c r="X105" i="16"/>
  <c r="AB104" i="16"/>
  <c r="X104" i="16"/>
  <c r="AB103" i="16"/>
  <c r="X103" i="16"/>
  <c r="AB102" i="16"/>
  <c r="X102" i="16"/>
  <c r="AB101" i="16"/>
  <c r="X101" i="16"/>
  <c r="AB100" i="16"/>
  <c r="X100" i="16"/>
  <c r="AB99" i="16"/>
  <c r="X99" i="16"/>
  <c r="AB98" i="16"/>
  <c r="X98" i="16"/>
  <c r="AB97" i="16"/>
  <c r="X97" i="16"/>
  <c r="AB96" i="16"/>
  <c r="X96" i="16"/>
  <c r="AB95" i="16"/>
  <c r="X95" i="16"/>
  <c r="AB94" i="16"/>
  <c r="X94" i="16"/>
  <c r="AB93" i="16"/>
  <c r="X93" i="16"/>
  <c r="AB92" i="16"/>
  <c r="X92" i="16"/>
  <c r="AB91" i="16"/>
  <c r="X91" i="16"/>
  <c r="AB90" i="16"/>
  <c r="X90" i="16"/>
  <c r="AB89" i="16"/>
  <c r="X89" i="16"/>
  <c r="AB88" i="16"/>
  <c r="X88" i="16"/>
  <c r="AB87" i="16"/>
  <c r="X87" i="16"/>
  <c r="AB86" i="16"/>
  <c r="X86" i="16"/>
  <c r="AB85" i="16"/>
  <c r="X85" i="16"/>
  <c r="AB84" i="16"/>
  <c r="X84" i="16"/>
  <c r="AB83" i="16"/>
  <c r="X83" i="16"/>
  <c r="AB82" i="16"/>
  <c r="X82" i="16"/>
  <c r="AB81" i="16"/>
  <c r="X81" i="16"/>
  <c r="AB80" i="16"/>
  <c r="X80" i="16"/>
  <c r="AB79" i="16"/>
  <c r="X79" i="16"/>
  <c r="AB78" i="16"/>
  <c r="X78" i="16"/>
  <c r="AB77" i="16"/>
  <c r="X77" i="16"/>
  <c r="AB76" i="16"/>
  <c r="X76" i="16"/>
  <c r="AB75" i="16"/>
  <c r="X75" i="16"/>
  <c r="AB74" i="16"/>
  <c r="X74" i="16"/>
  <c r="AB73" i="16"/>
  <c r="X73" i="16"/>
  <c r="AB72" i="16"/>
  <c r="X72" i="16"/>
  <c r="AB71" i="16"/>
  <c r="X71" i="16"/>
  <c r="AB70" i="16"/>
  <c r="X70" i="16"/>
  <c r="AB69" i="16"/>
  <c r="X69" i="16"/>
  <c r="AB68" i="16"/>
  <c r="X68" i="16"/>
  <c r="AB67" i="16"/>
  <c r="X67" i="16"/>
  <c r="AB66" i="16"/>
  <c r="X66" i="16"/>
  <c r="AB65" i="16"/>
  <c r="X65" i="16"/>
  <c r="AB64" i="16"/>
  <c r="X64" i="16"/>
  <c r="AB63" i="16"/>
  <c r="X63" i="16"/>
  <c r="AB62" i="16"/>
  <c r="X62" i="16"/>
  <c r="AB61" i="16"/>
  <c r="X61" i="16"/>
  <c r="AB60" i="16"/>
  <c r="X60" i="16"/>
  <c r="AB59" i="16"/>
  <c r="X59" i="16"/>
  <c r="AB58" i="16"/>
  <c r="X58" i="16"/>
  <c r="AB57" i="16"/>
  <c r="X57" i="16"/>
  <c r="AB56" i="16"/>
  <c r="X56" i="16"/>
  <c r="AB55" i="16"/>
  <c r="X55" i="16"/>
  <c r="AB54" i="16"/>
  <c r="X54" i="16"/>
  <c r="AB53" i="16"/>
  <c r="X53" i="16"/>
  <c r="AB52" i="16"/>
  <c r="X52" i="16"/>
  <c r="AB51" i="16"/>
  <c r="X51" i="16"/>
  <c r="AB50" i="16"/>
  <c r="X50" i="16"/>
  <c r="AB49" i="16"/>
  <c r="X49" i="16"/>
  <c r="AB48" i="16"/>
  <c r="X48" i="16"/>
  <c r="AB47" i="16"/>
  <c r="X47" i="16"/>
  <c r="AB46" i="16"/>
  <c r="X46" i="16"/>
  <c r="AB45" i="16"/>
  <c r="X45" i="16"/>
  <c r="AB44" i="16"/>
  <c r="X44" i="16"/>
  <c r="AB43" i="16"/>
  <c r="X43" i="16"/>
  <c r="AB42" i="16"/>
  <c r="X42" i="16"/>
  <c r="AB41" i="16"/>
  <c r="X41" i="16"/>
  <c r="AB40" i="16"/>
  <c r="X40" i="16"/>
  <c r="AB39" i="16"/>
  <c r="X39" i="16"/>
  <c r="AB38" i="16"/>
  <c r="X38" i="16"/>
  <c r="AB37" i="16"/>
  <c r="X37" i="16"/>
  <c r="AB36" i="16"/>
  <c r="X36" i="16"/>
  <c r="AB35" i="16"/>
  <c r="X35" i="16"/>
  <c r="AB34" i="16"/>
  <c r="X34" i="16"/>
  <c r="AB33" i="16"/>
  <c r="X33" i="16"/>
  <c r="AB32" i="16"/>
  <c r="X32" i="16"/>
  <c r="AB31" i="16"/>
  <c r="X31" i="16"/>
  <c r="AB30" i="16"/>
  <c r="X30" i="16"/>
  <c r="AB29" i="16"/>
  <c r="X29" i="16"/>
  <c r="AB28" i="16"/>
  <c r="X28" i="16"/>
  <c r="AB27" i="16"/>
  <c r="X27" i="16"/>
  <c r="AP21" i="16"/>
  <c r="AD20" i="16"/>
  <c r="AE21" i="16" s="1"/>
  <c r="AU17" i="16"/>
  <c r="AJ17" i="16"/>
  <c r="AD17" i="16"/>
  <c r="AA17" i="16"/>
  <c r="Z17" i="16"/>
  <c r="V17" i="16"/>
  <c r="M17" i="16"/>
  <c r="L17" i="16"/>
  <c r="K17" i="16"/>
  <c r="E17" i="16"/>
  <c r="D17" i="16"/>
  <c r="C17" i="16"/>
  <c r="AB17" i="16" l="1"/>
  <c r="S191" i="16"/>
  <c r="T191" i="16" s="1"/>
  <c r="U191" i="16" s="1"/>
  <c r="S27" i="16"/>
  <c r="T27" i="16" s="1"/>
  <c r="U27" i="16" s="1"/>
  <c r="S30" i="16"/>
  <c r="T30" i="16" s="1"/>
  <c r="U30" i="16" s="1"/>
  <c r="S32" i="16"/>
  <c r="T32" i="16" s="1"/>
  <c r="U32" i="16" s="1"/>
  <c r="S35" i="16"/>
  <c r="T35" i="16" s="1"/>
  <c r="U35" i="16" s="1"/>
  <c r="S39" i="16"/>
  <c r="T39" i="16" s="1"/>
  <c r="U39" i="16" s="1"/>
  <c r="S40" i="16"/>
  <c r="T40" i="16" s="1"/>
  <c r="U40" i="16" s="1"/>
  <c r="S43" i="16"/>
  <c r="T43" i="16" s="1"/>
  <c r="U43" i="16" s="1"/>
  <c r="S46" i="16"/>
  <c r="T46" i="16" s="1"/>
  <c r="U46" i="16" s="1"/>
  <c r="S48" i="16"/>
  <c r="T48" i="16" s="1"/>
  <c r="U48" i="16" s="1"/>
  <c r="S51" i="16"/>
  <c r="T51" i="16" s="1"/>
  <c r="U51" i="16" s="1"/>
  <c r="S54" i="16"/>
  <c r="T54" i="16" s="1"/>
  <c r="U54" i="16" s="1"/>
  <c r="S56" i="16"/>
  <c r="T56" i="16" s="1"/>
  <c r="U56" i="16" s="1"/>
  <c r="S59" i="16"/>
  <c r="T59" i="16" s="1"/>
  <c r="U59" i="16" s="1"/>
  <c r="S61" i="16"/>
  <c r="T61" i="16" s="1"/>
  <c r="U61" i="16" s="1"/>
  <c r="S64" i="16"/>
  <c r="T64" i="16" s="1"/>
  <c r="U64" i="16" s="1"/>
  <c r="S67" i="16"/>
  <c r="T67" i="16" s="1"/>
  <c r="U67" i="16" s="1"/>
  <c r="S69" i="16"/>
  <c r="T69" i="16" s="1"/>
  <c r="U69" i="16" s="1"/>
  <c r="S72" i="16"/>
  <c r="T72" i="16" s="1"/>
  <c r="U72" i="16" s="1"/>
  <c r="S74" i="16"/>
  <c r="T74" i="16" s="1"/>
  <c r="U74" i="16" s="1"/>
  <c r="S77" i="16"/>
  <c r="T77" i="16" s="1"/>
  <c r="U77" i="16" s="1"/>
  <c r="S79" i="16"/>
  <c r="T79" i="16" s="1"/>
  <c r="U79" i="16" s="1"/>
  <c r="S83" i="16"/>
  <c r="T83" i="16" s="1"/>
  <c r="U83" i="16" s="1"/>
  <c r="S87" i="16"/>
  <c r="T87" i="16" s="1"/>
  <c r="U87" i="16" s="1"/>
  <c r="S89" i="16"/>
  <c r="T89" i="16" s="1"/>
  <c r="U89" i="16" s="1"/>
  <c r="S91" i="16"/>
  <c r="T91" i="16" s="1"/>
  <c r="U91" i="16" s="1"/>
  <c r="S94" i="16"/>
  <c r="T94" i="16" s="1"/>
  <c r="U94" i="16" s="1"/>
  <c r="S97" i="16"/>
  <c r="T97" i="16" s="1"/>
  <c r="U97" i="16" s="1"/>
  <c r="S100" i="16"/>
  <c r="S104" i="16"/>
  <c r="S111" i="16"/>
  <c r="T111" i="16" s="1"/>
  <c r="U111" i="16" s="1"/>
  <c r="S134" i="16"/>
  <c r="T134" i="16" s="1"/>
  <c r="U134" i="16" s="1"/>
  <c r="S192" i="16"/>
  <c r="T192" i="16" s="1"/>
  <c r="U192" i="16" s="1"/>
  <c r="S29" i="16"/>
  <c r="T29" i="16" s="1"/>
  <c r="U29" i="16" s="1"/>
  <c r="S31" i="16"/>
  <c r="T31" i="16" s="1"/>
  <c r="U31" i="16" s="1"/>
  <c r="S34" i="16"/>
  <c r="T34" i="16" s="1"/>
  <c r="U34" i="16" s="1"/>
  <c r="S36" i="16"/>
  <c r="T36" i="16" s="1"/>
  <c r="U36" i="16" s="1"/>
  <c r="S38" i="16"/>
  <c r="T38" i="16" s="1"/>
  <c r="U38" i="16" s="1"/>
  <c r="S41" i="16"/>
  <c r="T41" i="16" s="1"/>
  <c r="U41" i="16" s="1"/>
  <c r="S44" i="16"/>
  <c r="S47" i="16"/>
  <c r="T47" i="16" s="1"/>
  <c r="U47" i="16" s="1"/>
  <c r="S50" i="16"/>
  <c r="T50" i="16" s="1"/>
  <c r="U50" i="16" s="1"/>
  <c r="S52" i="16"/>
  <c r="T52" i="16" s="1"/>
  <c r="U52" i="16" s="1"/>
  <c r="S55" i="16"/>
  <c r="S58" i="16"/>
  <c r="T58" i="16" s="1"/>
  <c r="U58" i="16" s="1"/>
  <c r="S60" i="16"/>
  <c r="T60" i="16" s="1"/>
  <c r="U60" i="16" s="1"/>
  <c r="S63" i="16"/>
  <c r="S65" i="16"/>
  <c r="T65" i="16" s="1"/>
  <c r="U65" i="16" s="1"/>
  <c r="S68" i="16"/>
  <c r="T68" i="16" s="1"/>
  <c r="U68" i="16" s="1"/>
  <c r="S70" i="16"/>
  <c r="T70" i="16" s="1"/>
  <c r="U70" i="16" s="1"/>
  <c r="S73" i="16"/>
  <c r="T73" i="16" s="1"/>
  <c r="U73" i="16" s="1"/>
  <c r="S75" i="16"/>
  <c r="T75" i="16" s="1"/>
  <c r="U75" i="16" s="1"/>
  <c r="S78" i="16"/>
  <c r="T78" i="16" s="1"/>
  <c r="U78" i="16" s="1"/>
  <c r="S81" i="16"/>
  <c r="T81" i="16" s="1"/>
  <c r="U81" i="16" s="1"/>
  <c r="S82" i="16"/>
  <c r="T82" i="16" s="1"/>
  <c r="U82" i="16" s="1"/>
  <c r="S85" i="16"/>
  <c r="T85" i="16" s="1"/>
  <c r="U85" i="16" s="1"/>
  <c r="S90" i="16"/>
  <c r="T90" i="16" s="1"/>
  <c r="U90" i="16" s="1"/>
  <c r="S92" i="16"/>
  <c r="T92" i="16" s="1"/>
  <c r="U92" i="16" s="1"/>
  <c r="S95" i="16"/>
  <c r="T95" i="16" s="1"/>
  <c r="U95" i="16" s="1"/>
  <c r="S98" i="16"/>
  <c r="T98" i="16" s="1"/>
  <c r="U98" i="16" s="1"/>
  <c r="S101" i="16"/>
  <c r="T101" i="16" s="1"/>
  <c r="U101" i="16" s="1"/>
  <c r="S105" i="16"/>
  <c r="T105" i="16" s="1"/>
  <c r="U105" i="16" s="1"/>
  <c r="S110" i="16"/>
  <c r="T110" i="16" s="1"/>
  <c r="U110" i="16" s="1"/>
  <c r="S151" i="16"/>
  <c r="T151" i="16" s="1"/>
  <c r="U151" i="16" s="1"/>
  <c r="S28" i="16"/>
  <c r="T28" i="16" s="1"/>
  <c r="U28" i="16" s="1"/>
  <c r="S33" i="16"/>
  <c r="S37" i="16"/>
  <c r="T37" i="16" s="1"/>
  <c r="U37" i="16" s="1"/>
  <c r="S42" i="16"/>
  <c r="T42" i="16" s="1"/>
  <c r="U42" i="16" s="1"/>
  <c r="S45" i="16"/>
  <c r="T45" i="16" s="1"/>
  <c r="U45" i="16" s="1"/>
  <c r="S49" i="16"/>
  <c r="T49" i="16" s="1"/>
  <c r="U49" i="16" s="1"/>
  <c r="S53" i="16"/>
  <c r="T53" i="16" s="1"/>
  <c r="U53" i="16" s="1"/>
  <c r="S57" i="16"/>
  <c r="T57" i="16" s="1"/>
  <c r="U57" i="16" s="1"/>
  <c r="S62" i="16"/>
  <c r="T62" i="16" s="1"/>
  <c r="U62" i="16" s="1"/>
  <c r="S66" i="16"/>
  <c r="T66" i="16" s="1"/>
  <c r="U66" i="16" s="1"/>
  <c r="S71" i="16"/>
  <c r="T71" i="16" s="1"/>
  <c r="U71" i="16" s="1"/>
  <c r="S76" i="16"/>
  <c r="T76" i="16" s="1"/>
  <c r="U76" i="16" s="1"/>
  <c r="S80" i="16"/>
  <c r="T80" i="16" s="1"/>
  <c r="U80" i="16" s="1"/>
  <c r="S84" i="16"/>
  <c r="T84" i="16" s="1"/>
  <c r="U84" i="16" s="1"/>
  <c r="S86" i="16"/>
  <c r="T86" i="16" s="1"/>
  <c r="U86" i="16" s="1"/>
  <c r="S88" i="16"/>
  <c r="T88" i="16" s="1"/>
  <c r="U88" i="16" s="1"/>
  <c r="S93" i="16"/>
  <c r="T93" i="16" s="1"/>
  <c r="U93" i="16" s="1"/>
  <c r="S96" i="16"/>
  <c r="T96" i="16" s="1"/>
  <c r="U96" i="16" s="1"/>
  <c r="S99" i="16"/>
  <c r="T99" i="16" s="1"/>
  <c r="U99" i="16" s="1"/>
  <c r="S102" i="16"/>
  <c r="T102" i="16" s="1"/>
  <c r="U102" i="16" s="1"/>
  <c r="S103" i="16"/>
  <c r="T103" i="16" s="1"/>
  <c r="U103" i="16" s="1"/>
  <c r="S106" i="16"/>
  <c r="T106" i="16" s="1"/>
  <c r="U106" i="16" s="1"/>
  <c r="S107" i="16"/>
  <c r="T107" i="16" s="1"/>
  <c r="U107" i="16" s="1"/>
  <c r="S108" i="16"/>
  <c r="T108" i="16" s="1"/>
  <c r="U108" i="16" s="1"/>
  <c r="S109" i="16"/>
  <c r="T109" i="16" s="1"/>
  <c r="U109" i="16" s="1"/>
  <c r="S112" i="16"/>
  <c r="T112" i="16" s="1"/>
  <c r="U112" i="16" s="1"/>
  <c r="S113" i="16"/>
  <c r="S114" i="16"/>
  <c r="S115" i="16"/>
  <c r="T115" i="16" s="1"/>
  <c r="U115" i="16" s="1"/>
  <c r="S116" i="16"/>
  <c r="T116" i="16" s="1"/>
  <c r="U116" i="16" s="1"/>
  <c r="S117" i="16"/>
  <c r="T117" i="16" s="1"/>
  <c r="U117" i="16" s="1"/>
  <c r="S118" i="16"/>
  <c r="T118" i="16" s="1"/>
  <c r="U118" i="16" s="1"/>
  <c r="S119" i="16"/>
  <c r="T119" i="16" s="1"/>
  <c r="U119" i="16" s="1"/>
  <c r="S120" i="16"/>
  <c r="T120" i="16" s="1"/>
  <c r="U120" i="16" s="1"/>
  <c r="S121" i="16"/>
  <c r="S122" i="16"/>
  <c r="S123" i="16"/>
  <c r="T123" i="16" s="1"/>
  <c r="U123" i="16" s="1"/>
  <c r="S124" i="16"/>
  <c r="T124" i="16" s="1"/>
  <c r="U124" i="16" s="1"/>
  <c r="S125" i="16"/>
  <c r="T125" i="16" s="1"/>
  <c r="U125" i="16" s="1"/>
  <c r="S126" i="16"/>
  <c r="T126" i="16" s="1"/>
  <c r="U126" i="16" s="1"/>
  <c r="S127" i="16"/>
  <c r="T127" i="16" s="1"/>
  <c r="U127" i="16" s="1"/>
  <c r="S128" i="16"/>
  <c r="T128" i="16" s="1"/>
  <c r="U128" i="16" s="1"/>
  <c r="S129" i="16"/>
  <c r="T129" i="16" s="1"/>
  <c r="U129" i="16" s="1"/>
  <c r="S130" i="16"/>
  <c r="T130" i="16" s="1"/>
  <c r="U130" i="16" s="1"/>
  <c r="S131" i="16"/>
  <c r="T131" i="16" s="1"/>
  <c r="U131" i="16" s="1"/>
  <c r="S132" i="16"/>
  <c r="T132" i="16" s="1"/>
  <c r="U132" i="16" s="1"/>
  <c r="S133" i="16"/>
  <c r="T133" i="16" s="1"/>
  <c r="U133" i="16" s="1"/>
  <c r="S135" i="16"/>
  <c r="T135" i="16" s="1"/>
  <c r="U135" i="16" s="1"/>
  <c r="S136" i="16"/>
  <c r="T136" i="16" s="1"/>
  <c r="U136" i="16" s="1"/>
  <c r="S137" i="16"/>
  <c r="S138" i="16"/>
  <c r="S139" i="16"/>
  <c r="T139" i="16" s="1"/>
  <c r="U139" i="16" s="1"/>
  <c r="S140" i="16"/>
  <c r="T140" i="16" s="1"/>
  <c r="U140" i="16" s="1"/>
  <c r="S141" i="16"/>
  <c r="T141" i="16" s="1"/>
  <c r="U141" i="16" s="1"/>
  <c r="S142" i="16"/>
  <c r="T142" i="16" s="1"/>
  <c r="U142" i="16" s="1"/>
  <c r="S143" i="16"/>
  <c r="T143" i="16" s="1"/>
  <c r="U143" i="16" s="1"/>
  <c r="S144" i="16"/>
  <c r="T144" i="16" s="1"/>
  <c r="U144" i="16" s="1"/>
  <c r="S145" i="16"/>
  <c r="T145" i="16" s="1"/>
  <c r="U145" i="16" s="1"/>
  <c r="S146" i="16"/>
  <c r="T146" i="16" s="1"/>
  <c r="U146" i="16" s="1"/>
  <c r="S147" i="16"/>
  <c r="S148" i="16"/>
  <c r="T148" i="16" s="1"/>
  <c r="U148" i="16" s="1"/>
  <c r="S149" i="16"/>
  <c r="T149" i="16" s="1"/>
  <c r="U149" i="16" s="1"/>
  <c r="S150" i="16"/>
  <c r="T150" i="16" s="1"/>
  <c r="U150" i="16" s="1"/>
  <c r="S152" i="16"/>
  <c r="T152" i="16" s="1"/>
  <c r="U152" i="16" s="1"/>
  <c r="S153" i="16"/>
  <c r="T153" i="16" s="1"/>
  <c r="U153" i="16" s="1"/>
  <c r="S154" i="16"/>
  <c r="T154" i="16" s="1"/>
  <c r="U154" i="16" s="1"/>
  <c r="S155" i="16"/>
  <c r="T155" i="16" s="1"/>
  <c r="U155" i="16" s="1"/>
  <c r="S156" i="16"/>
  <c r="T156" i="16" s="1"/>
  <c r="U156" i="16" s="1"/>
  <c r="S157" i="16"/>
  <c r="T157" i="16" s="1"/>
  <c r="U157" i="16" s="1"/>
  <c r="S158" i="16"/>
  <c r="T158" i="16" s="1"/>
  <c r="U158" i="16" s="1"/>
  <c r="S159" i="16"/>
  <c r="T159" i="16" s="1"/>
  <c r="U159" i="16" s="1"/>
  <c r="S160" i="16"/>
  <c r="T160" i="16" s="1"/>
  <c r="U160" i="16" s="1"/>
  <c r="S161" i="16"/>
  <c r="T161" i="16" s="1"/>
  <c r="U161" i="16" s="1"/>
  <c r="S162" i="16"/>
  <c r="T162" i="16" s="1"/>
  <c r="U162" i="16" s="1"/>
  <c r="S163" i="16"/>
  <c r="T163" i="16" s="1"/>
  <c r="U163" i="16" s="1"/>
  <c r="S164" i="16"/>
  <c r="T164" i="16" s="1"/>
  <c r="U164" i="16" s="1"/>
  <c r="S165" i="16"/>
  <c r="T165" i="16" s="1"/>
  <c r="U165" i="16" s="1"/>
  <c r="S166" i="16"/>
  <c r="T166" i="16" s="1"/>
  <c r="U166" i="16" s="1"/>
  <c r="S167" i="16"/>
  <c r="T167" i="16" s="1"/>
  <c r="U167" i="16" s="1"/>
  <c r="S168" i="16"/>
  <c r="T168" i="16" s="1"/>
  <c r="U168" i="16" s="1"/>
  <c r="S169" i="16"/>
  <c r="T169" i="16" s="1"/>
  <c r="U169" i="16" s="1"/>
  <c r="S170" i="16"/>
  <c r="T170" i="16" s="1"/>
  <c r="U170" i="16" s="1"/>
  <c r="S171" i="16"/>
  <c r="T171" i="16" s="1"/>
  <c r="U171" i="16" s="1"/>
  <c r="S172" i="16"/>
  <c r="T172" i="16" s="1"/>
  <c r="U172" i="16" s="1"/>
  <c r="S173" i="16"/>
  <c r="T173" i="16" s="1"/>
  <c r="U173" i="16" s="1"/>
  <c r="S174" i="16"/>
  <c r="S175" i="16"/>
  <c r="S176" i="16"/>
  <c r="T176" i="16" s="1"/>
  <c r="U176" i="16" s="1"/>
  <c r="S177" i="16"/>
  <c r="T177" i="16" s="1"/>
  <c r="U177" i="16" s="1"/>
  <c r="S178" i="16"/>
  <c r="T178" i="16" s="1"/>
  <c r="U178" i="16" s="1"/>
  <c r="S179" i="16"/>
  <c r="T179" i="16" s="1"/>
  <c r="U179" i="16" s="1"/>
  <c r="S180" i="16"/>
  <c r="T180" i="16" s="1"/>
  <c r="U180" i="16" s="1"/>
  <c r="S181" i="16"/>
  <c r="S182" i="16"/>
  <c r="T182" i="16" s="1"/>
  <c r="U182" i="16" s="1"/>
  <c r="S183" i="16"/>
  <c r="T183" i="16" s="1"/>
  <c r="U183" i="16" s="1"/>
  <c r="S184" i="16"/>
  <c r="T184" i="16" s="1"/>
  <c r="U184" i="16" s="1"/>
  <c r="S185" i="16"/>
  <c r="T185" i="16" s="1"/>
  <c r="U185" i="16" s="1"/>
  <c r="S186" i="16"/>
  <c r="T186" i="16" s="1"/>
  <c r="U186" i="16" s="1"/>
  <c r="S187" i="16"/>
  <c r="T187" i="16" s="1"/>
  <c r="U187" i="16" s="1"/>
  <c r="S188" i="16"/>
  <c r="T188" i="16" s="1"/>
  <c r="U188" i="16" s="1"/>
  <c r="S189" i="16"/>
  <c r="T189" i="16" s="1"/>
  <c r="U189" i="16" s="1"/>
  <c r="S190" i="16"/>
  <c r="T190" i="16" s="1"/>
  <c r="U190" i="16" s="1"/>
  <c r="S193" i="16"/>
  <c r="T193" i="16" s="1"/>
  <c r="U193" i="16" s="1"/>
  <c r="S194" i="16"/>
  <c r="T194" i="16" s="1"/>
  <c r="U194" i="16" s="1"/>
  <c r="S195" i="16"/>
  <c r="AE159" i="16"/>
  <c r="AE160" i="16"/>
  <c r="AE119" i="16"/>
  <c r="AE37" i="16"/>
  <c r="AE29" i="16"/>
  <c r="AE30" i="16"/>
  <c r="AE45" i="16"/>
  <c r="AE60" i="16"/>
  <c r="AE167" i="16"/>
  <c r="AE38" i="16"/>
  <c r="AE49" i="16"/>
  <c r="AE154" i="16"/>
  <c r="AO17" i="16"/>
  <c r="AO16" i="16" s="1"/>
  <c r="X17" i="16"/>
  <c r="AE33" i="16"/>
  <c r="AE34" i="16"/>
  <c r="AE41" i="16"/>
  <c r="AE42" i="16"/>
  <c r="AE192" i="16"/>
  <c r="AE188" i="16"/>
  <c r="AE195" i="16"/>
  <c r="AE191" i="16"/>
  <c r="AE187" i="16"/>
  <c r="AE183" i="16"/>
  <c r="AE179" i="16"/>
  <c r="AE190" i="16"/>
  <c r="AE189" i="16"/>
  <c r="AE180" i="16"/>
  <c r="AE174" i="16"/>
  <c r="AE170" i="16"/>
  <c r="AE194" i="16"/>
  <c r="AE178" i="16"/>
  <c r="AE171" i="16"/>
  <c r="AE166" i="16"/>
  <c r="AE193" i="16"/>
  <c r="AE185" i="16"/>
  <c r="AE184" i="16"/>
  <c r="AE182" i="16"/>
  <c r="AE177" i="16"/>
  <c r="AE176" i="16"/>
  <c r="AE169" i="16"/>
  <c r="AE165" i="16"/>
  <c r="AE161" i="16"/>
  <c r="AE157" i="16"/>
  <c r="AE153" i="16"/>
  <c r="AE149" i="16"/>
  <c r="AE175" i="16"/>
  <c r="AE172" i="16"/>
  <c r="AE158" i="16"/>
  <c r="AE150" i="16"/>
  <c r="AE181" i="16"/>
  <c r="AE164" i="16"/>
  <c r="AE163" i="16"/>
  <c r="AE156" i="16"/>
  <c r="AE155" i="16"/>
  <c r="AE148" i="16"/>
  <c r="AE147" i="16"/>
  <c r="AE145" i="16"/>
  <c r="AE141" i="16"/>
  <c r="AE137" i="16"/>
  <c r="AE133" i="16"/>
  <c r="AE142" i="16"/>
  <c r="AE134" i="16"/>
  <c r="AE129" i="16"/>
  <c r="AE125" i="16"/>
  <c r="AE121" i="16"/>
  <c r="AE117" i="16"/>
  <c r="AE113" i="16"/>
  <c r="AE109" i="16"/>
  <c r="AE186" i="16"/>
  <c r="AE140" i="16"/>
  <c r="AE139" i="16"/>
  <c r="AE132" i="16"/>
  <c r="AE131" i="16"/>
  <c r="AE128" i="16"/>
  <c r="AE124" i="16"/>
  <c r="AE120" i="16"/>
  <c r="AE116" i="16"/>
  <c r="AE112" i="16"/>
  <c r="AE108" i="16"/>
  <c r="AE104" i="16"/>
  <c r="AE100" i="16"/>
  <c r="AE173" i="16"/>
  <c r="AE146" i="16"/>
  <c r="AE143" i="16"/>
  <c r="AE138" i="16"/>
  <c r="AE135" i="16"/>
  <c r="AE105" i="16"/>
  <c r="AE97" i="16"/>
  <c r="AE96" i="16"/>
  <c r="AE92" i="16"/>
  <c r="AE88" i="16"/>
  <c r="AE84" i="16"/>
  <c r="AE80" i="16"/>
  <c r="AE76" i="16"/>
  <c r="AE162" i="16"/>
  <c r="AE152" i="16"/>
  <c r="AE151" i="16"/>
  <c r="AE130" i="16"/>
  <c r="AE123" i="16"/>
  <c r="AE122" i="16"/>
  <c r="AE115" i="16"/>
  <c r="AE114" i="16"/>
  <c r="AE103" i="16"/>
  <c r="AE102" i="16"/>
  <c r="AE95" i="16"/>
  <c r="AE91" i="16"/>
  <c r="AE87" i="16"/>
  <c r="AE83" i="16"/>
  <c r="AE79" i="16"/>
  <c r="AE75" i="16"/>
  <c r="AE71" i="16"/>
  <c r="AE67" i="16"/>
  <c r="AE63" i="16"/>
  <c r="AE59" i="16"/>
  <c r="AE55" i="16"/>
  <c r="AE51" i="16"/>
  <c r="AE144" i="16"/>
  <c r="AE118" i="16"/>
  <c r="AE94" i="16"/>
  <c r="AE93" i="16"/>
  <c r="AE86" i="16"/>
  <c r="AE85" i="16"/>
  <c r="AE78" i="16"/>
  <c r="AE77" i="16"/>
  <c r="AE73" i="16"/>
  <c r="AE66" i="16"/>
  <c r="AE65" i="16"/>
  <c r="AE58" i="16"/>
  <c r="AE57" i="16"/>
  <c r="AE48" i="16"/>
  <c r="AE44" i="16"/>
  <c r="AE40" i="16"/>
  <c r="AE36" i="16"/>
  <c r="AE32" i="16"/>
  <c r="AE28" i="16"/>
  <c r="AE98" i="16"/>
  <c r="AE81" i="16"/>
  <c r="AE70" i="16"/>
  <c r="AE69" i="16"/>
  <c r="AE62" i="16"/>
  <c r="AE61" i="16"/>
  <c r="AE54" i="16"/>
  <c r="AE46" i="16"/>
  <c r="AE127" i="16"/>
  <c r="AE111" i="16"/>
  <c r="AE107" i="16"/>
  <c r="AE99" i="16"/>
  <c r="AE72" i="16"/>
  <c r="AE64" i="16"/>
  <c r="AE56" i="16"/>
  <c r="AE47" i="16"/>
  <c r="AE43" i="16"/>
  <c r="AE39" i="16"/>
  <c r="AE35" i="16"/>
  <c r="AE31" i="16"/>
  <c r="AE27" i="16"/>
  <c r="AE168" i="16"/>
  <c r="AE136" i="16"/>
  <c r="AE126" i="16"/>
  <c r="AE110" i="16"/>
  <c r="AE106" i="16"/>
  <c r="AE101" i="16"/>
  <c r="AE90" i="16"/>
  <c r="AE89" i="16"/>
  <c r="AE82" i="16"/>
  <c r="AE74" i="16"/>
  <c r="AE53" i="16"/>
  <c r="AE50" i="16"/>
  <c r="AB20" i="16"/>
  <c r="AC21" i="16" s="1"/>
  <c r="AC32" i="16" s="1"/>
  <c r="AE52" i="16"/>
  <c r="AE68" i="16"/>
  <c r="T175" i="16" l="1"/>
  <c r="U175" i="16" s="1"/>
  <c r="T138" i="16"/>
  <c r="U138" i="16" s="1"/>
  <c r="T121" i="16"/>
  <c r="U121" i="16" s="1"/>
  <c r="T113" i="16"/>
  <c r="U113" i="16" s="1"/>
  <c r="T63" i="16"/>
  <c r="U63" i="16" s="1"/>
  <c r="T174" i="16"/>
  <c r="U174" i="16" s="1"/>
  <c r="T137" i="16"/>
  <c r="U137" i="16" s="1"/>
  <c r="T33" i="16"/>
  <c r="U33" i="16" s="1"/>
  <c r="T104" i="16"/>
  <c r="U104" i="16" s="1"/>
  <c r="T195" i="16"/>
  <c r="U195" i="16" s="1"/>
  <c r="T181" i="16"/>
  <c r="U181" i="16" s="1"/>
  <c r="T100" i="16"/>
  <c r="U100" i="16" s="1"/>
  <c r="T147" i="16"/>
  <c r="U147" i="16" s="1"/>
  <c r="T122" i="16"/>
  <c r="U122" i="16" s="1"/>
  <c r="T114" i="16"/>
  <c r="U114" i="16" s="1"/>
  <c r="T55" i="16"/>
  <c r="U55" i="16" s="1"/>
  <c r="T44" i="16"/>
  <c r="U44" i="16" s="1"/>
  <c r="AC80" i="16"/>
  <c r="AC84" i="16"/>
  <c r="AC154" i="16"/>
  <c r="AC76" i="16"/>
  <c r="AC180" i="16"/>
  <c r="AC158" i="16"/>
  <c r="AC184" i="16"/>
  <c r="AC101" i="16"/>
  <c r="AC47" i="16"/>
  <c r="AC187" i="16"/>
  <c r="AC162" i="16"/>
  <c r="AC146" i="16"/>
  <c r="AC105" i="16"/>
  <c r="AC193" i="16"/>
  <c r="AC189" i="16"/>
  <c r="AC194" i="16"/>
  <c r="AC186" i="16"/>
  <c r="AC181" i="16"/>
  <c r="AC190" i="16"/>
  <c r="AC174" i="16"/>
  <c r="AC173" i="16"/>
  <c r="AC172" i="16"/>
  <c r="AC167" i="16"/>
  <c r="AC191" i="16"/>
  <c r="AC170" i="16"/>
  <c r="AC168" i="16"/>
  <c r="AC161" i="16"/>
  <c r="AC160" i="16"/>
  <c r="AC159" i="16"/>
  <c r="AC153" i="16"/>
  <c r="AC152" i="16"/>
  <c r="AC151" i="16"/>
  <c r="AC156" i="16"/>
  <c r="AC148" i="16"/>
  <c r="AC145" i="16"/>
  <c r="AC144" i="16"/>
  <c r="AC143" i="16"/>
  <c r="AC137" i="16"/>
  <c r="AC136" i="16"/>
  <c r="AC135" i="16"/>
  <c r="AC130" i="16"/>
  <c r="AC126" i="16"/>
  <c r="AC122" i="16"/>
  <c r="AC118" i="16"/>
  <c r="AC114" i="16"/>
  <c r="AC110" i="16"/>
  <c r="AC179" i="16"/>
  <c r="AC165" i="16"/>
  <c r="AC155" i="16"/>
  <c r="AC149" i="16"/>
  <c r="AC141" i="16"/>
  <c r="AC133" i="16"/>
  <c r="AC127" i="16"/>
  <c r="AC119" i="16"/>
  <c r="AC111" i="16"/>
  <c r="AC108" i="16"/>
  <c r="AC107" i="16"/>
  <c r="AC106" i="16"/>
  <c r="AC100" i="16"/>
  <c r="AC99" i="16"/>
  <c r="AC98" i="16"/>
  <c r="AC93" i="16"/>
  <c r="AC89" i="16"/>
  <c r="AC85" i="16"/>
  <c r="AC81" i="16"/>
  <c r="AC77" i="16"/>
  <c r="AC176" i="16"/>
  <c r="AC131" i="16"/>
  <c r="AC116" i="16"/>
  <c r="AC91" i="16"/>
  <c r="AC83" i="16"/>
  <c r="AC75" i="16"/>
  <c r="AC49" i="16"/>
  <c r="AC45" i="16"/>
  <c r="AC41" i="16"/>
  <c r="AC37" i="16"/>
  <c r="AC33" i="16"/>
  <c r="AC29" i="16"/>
  <c r="AC185" i="16"/>
  <c r="AC123" i="16"/>
  <c r="AC102" i="16"/>
  <c r="AC94" i="16"/>
  <c r="AC86" i="16"/>
  <c r="AC78" i="16"/>
  <c r="AC73" i="16"/>
  <c r="AC65" i="16"/>
  <c r="AC57" i="16"/>
  <c r="AC157" i="16"/>
  <c r="AC147" i="16"/>
  <c r="AC139" i="16"/>
  <c r="AC124" i="16"/>
  <c r="AC82" i="16"/>
  <c r="AC63" i="16"/>
  <c r="AC61" i="16"/>
  <c r="AC38" i="16"/>
  <c r="AC30" i="16"/>
  <c r="AC69" i="16"/>
  <c r="AC90" i="16"/>
  <c r="AC70" i="16"/>
  <c r="AC43" i="16"/>
  <c r="AC163" i="16"/>
  <c r="AC115" i="16"/>
  <c r="AC74" i="16"/>
  <c r="AC62" i="16"/>
  <c r="AC50" i="16"/>
  <c r="AC46" i="16"/>
  <c r="AC164" i="16"/>
  <c r="AC103" i="16"/>
  <c r="AC71" i="16"/>
  <c r="AC55" i="16"/>
  <c r="AC53" i="16"/>
  <c r="AC42" i="16"/>
  <c r="AC34" i="16"/>
  <c r="AC54" i="16"/>
  <c r="AC35" i="16"/>
  <c r="AC27" i="16"/>
  <c r="AC67" i="16"/>
  <c r="AC51" i="16"/>
  <c r="AC44" i="16"/>
  <c r="AC192" i="16"/>
  <c r="AC195" i="16"/>
  <c r="AC188" i="16"/>
  <c r="AC169" i="16"/>
  <c r="AC134" i="16"/>
  <c r="AC117" i="16"/>
  <c r="AC96" i="16"/>
  <c r="AC60" i="16"/>
  <c r="AC132" i="16"/>
  <c r="AC56" i="16"/>
  <c r="AC48" i="16"/>
  <c r="AC59" i="16"/>
  <c r="AC95" i="16"/>
  <c r="AC66" i="16"/>
  <c r="AC36" i="16"/>
  <c r="AC28" i="16"/>
  <c r="AC87" i="16"/>
  <c r="AC121" i="16"/>
  <c r="AC79" i="16"/>
  <c r="AC171" i="16"/>
  <c r="AC150" i="16"/>
  <c r="AC178" i="16"/>
  <c r="AC142" i="16"/>
  <c r="AC138" i="16"/>
  <c r="AC125" i="16"/>
  <c r="AC97" i="16"/>
  <c r="AC68" i="16"/>
  <c r="AC64" i="16"/>
  <c r="AC120" i="16"/>
  <c r="AC72" i="16"/>
  <c r="AC183" i="16"/>
  <c r="AC175" i="16"/>
  <c r="AC166" i="16"/>
  <c r="AC177" i="16"/>
  <c r="AC109" i="16"/>
  <c r="AC88" i="16"/>
  <c r="AC52" i="16"/>
  <c r="AC129" i="16"/>
  <c r="AC113" i="16"/>
  <c r="AC92" i="16"/>
  <c r="AC182" i="16"/>
  <c r="AC104" i="16"/>
  <c r="AC58" i="16"/>
  <c r="AC40" i="16"/>
  <c r="AC140" i="16"/>
  <c r="AC112" i="16"/>
  <c r="AC128" i="16"/>
  <c r="AC39" i="16"/>
  <c r="AC31" i="16"/>
  <c r="Y17" i="16" l="1"/>
  <c r="U17" i="16"/>
  <c r="AC17" i="16"/>
  <c r="AI40" i="16"/>
  <c r="AP40" i="16" s="1"/>
  <c r="AQ40" i="16" s="1"/>
  <c r="AI64" i="16"/>
  <c r="AP64" i="16" s="1"/>
  <c r="AQ64" i="16" s="1"/>
  <c r="AI95" i="16"/>
  <c r="AP95" i="16" s="1"/>
  <c r="AQ95" i="16" s="1"/>
  <c r="AI67" i="16"/>
  <c r="AP67" i="16" s="1"/>
  <c r="AQ67" i="16" s="1"/>
  <c r="AI163" i="16"/>
  <c r="AP163" i="16" s="1"/>
  <c r="AQ163" i="16" s="1"/>
  <c r="AI102" i="16"/>
  <c r="AP102" i="16" s="1"/>
  <c r="AQ102" i="16" s="1"/>
  <c r="AI107" i="16"/>
  <c r="AP107" i="16" s="1"/>
  <c r="AQ107" i="16" s="1"/>
  <c r="AI114" i="16"/>
  <c r="AI49" i="16"/>
  <c r="AP49" i="16" s="1"/>
  <c r="AQ49" i="16" s="1"/>
  <c r="AI98" i="16"/>
  <c r="AP98" i="16" s="1"/>
  <c r="AI84" i="16"/>
  <c r="AP84" i="16" s="1"/>
  <c r="AQ84" i="16" s="1"/>
  <c r="AI189" i="16"/>
  <c r="AP189" i="16" s="1"/>
  <c r="AQ189" i="16" s="1"/>
  <c r="AI162" i="16"/>
  <c r="AP162" i="16" s="1"/>
  <c r="AQ162" i="16" s="1"/>
  <c r="AI154" i="16"/>
  <c r="AP154" i="16" s="1"/>
  <c r="AQ154" i="16" s="1"/>
  <c r="AI39" i="16"/>
  <c r="AP39" i="16" s="1"/>
  <c r="AQ39" i="16" s="1"/>
  <c r="AI92" i="16"/>
  <c r="AP92" i="16" s="1"/>
  <c r="AQ92" i="16" s="1"/>
  <c r="AI132" i="16"/>
  <c r="AP132" i="16" s="1"/>
  <c r="AQ132" i="16" s="1"/>
  <c r="AI34" i="16"/>
  <c r="AP34" i="16" s="1"/>
  <c r="AQ34" i="16" s="1"/>
  <c r="AI50" i="16"/>
  <c r="AP50" i="16" s="1"/>
  <c r="AQ50" i="16" s="1"/>
  <c r="AI81" i="16"/>
  <c r="AP81" i="16" s="1"/>
  <c r="AI127" i="16"/>
  <c r="AP127" i="16" s="1"/>
  <c r="AQ127" i="16" s="1"/>
  <c r="AI159" i="16"/>
  <c r="AP159" i="16" s="1"/>
  <c r="AQ159" i="16" s="1"/>
  <c r="AI186" i="16"/>
  <c r="AP186" i="16" s="1"/>
  <c r="AQ186" i="16" s="1"/>
  <c r="AI180" i="16"/>
  <c r="AP180" i="16" s="1"/>
  <c r="AQ180" i="16" s="1"/>
  <c r="AI79" i="16"/>
  <c r="AP79" i="16" s="1"/>
  <c r="AQ79" i="16" s="1"/>
  <c r="AI169" i="16"/>
  <c r="AP169" i="16" s="1"/>
  <c r="AQ169" i="16" s="1"/>
  <c r="AI104" i="16"/>
  <c r="AP104" i="16" s="1"/>
  <c r="AQ104" i="16" s="1"/>
  <c r="AI177" i="16"/>
  <c r="AP177" i="16" s="1"/>
  <c r="AQ177" i="16" s="1"/>
  <c r="AI97" i="16"/>
  <c r="AP97" i="16" s="1"/>
  <c r="AQ97" i="16" s="1"/>
  <c r="AI178" i="16"/>
  <c r="AP178" i="16" s="1"/>
  <c r="AQ178" i="16" s="1"/>
  <c r="AI121" i="16"/>
  <c r="AP121" i="16" s="1"/>
  <c r="AQ121" i="16" s="1"/>
  <c r="AI96" i="16"/>
  <c r="AP96" i="16" s="1"/>
  <c r="AQ96" i="16" s="1"/>
  <c r="AI188" i="16"/>
  <c r="AP188" i="16" s="1"/>
  <c r="AQ188" i="16" s="1"/>
  <c r="AI35" i="16"/>
  <c r="AP35" i="16" s="1"/>
  <c r="AQ35" i="16" s="1"/>
  <c r="AI53" i="16"/>
  <c r="AP53" i="16" s="1"/>
  <c r="AQ53" i="16" s="1"/>
  <c r="AI38" i="16"/>
  <c r="AP38" i="16" s="1"/>
  <c r="AQ38" i="16" s="1"/>
  <c r="AI86" i="16"/>
  <c r="AP86" i="16" s="1"/>
  <c r="AQ86" i="16" s="1"/>
  <c r="AI185" i="16"/>
  <c r="AP185" i="16" s="1"/>
  <c r="AQ185" i="16" s="1"/>
  <c r="AI41" i="16"/>
  <c r="AP41" i="16" s="1"/>
  <c r="AQ41" i="16" s="1"/>
  <c r="AS41" i="16" s="1"/>
  <c r="AI176" i="16"/>
  <c r="AP176" i="16" s="1"/>
  <c r="AQ176" i="16" s="1"/>
  <c r="AI89" i="16"/>
  <c r="AP89" i="16" s="1"/>
  <c r="AQ89" i="16" s="1"/>
  <c r="AI100" i="16"/>
  <c r="AP100" i="16" s="1"/>
  <c r="AQ100" i="16" s="1"/>
  <c r="AI122" i="16"/>
  <c r="AP122" i="16" s="1"/>
  <c r="AQ122" i="16" s="1"/>
  <c r="AI145" i="16"/>
  <c r="AP145" i="16" s="1"/>
  <c r="AQ145" i="16" s="1"/>
  <c r="AI161" i="16"/>
  <c r="AP161" i="16" s="1"/>
  <c r="AQ161" i="16" s="1"/>
  <c r="AI167" i="16"/>
  <c r="AP167" i="16" s="1"/>
  <c r="AQ167" i="16" s="1"/>
  <c r="AI140" i="16"/>
  <c r="AP140" i="16" s="1"/>
  <c r="AQ140" i="16" s="1"/>
  <c r="AI182" i="16"/>
  <c r="AP182" i="16" s="1"/>
  <c r="AQ182" i="16" s="1"/>
  <c r="AI166" i="16"/>
  <c r="AP166" i="16" s="1"/>
  <c r="AQ166" i="16" s="1"/>
  <c r="AI120" i="16"/>
  <c r="AP120" i="16" s="1"/>
  <c r="AQ120" i="16" s="1"/>
  <c r="AI125" i="16"/>
  <c r="AP125" i="16" s="1"/>
  <c r="AQ125" i="16" s="1"/>
  <c r="AI66" i="16"/>
  <c r="AP66" i="16" s="1"/>
  <c r="AQ66" i="16" s="1"/>
  <c r="AI56" i="16"/>
  <c r="AP56" i="16" s="1"/>
  <c r="AQ56" i="16" s="1"/>
  <c r="AI195" i="16"/>
  <c r="AP195" i="16" s="1"/>
  <c r="AQ195" i="16" s="1"/>
  <c r="AI51" i="16"/>
  <c r="AP51" i="16" s="1"/>
  <c r="AQ51" i="16" s="1"/>
  <c r="AI54" i="16"/>
  <c r="AP54" i="16" s="1"/>
  <c r="AQ54" i="16" s="1"/>
  <c r="AI46" i="16"/>
  <c r="AP46" i="16" s="1"/>
  <c r="AQ46" i="16" s="1"/>
  <c r="AI115" i="16"/>
  <c r="AP115" i="16" s="1"/>
  <c r="AQ115" i="16" s="1"/>
  <c r="AI90" i="16"/>
  <c r="AP90" i="16" s="1"/>
  <c r="AQ90" i="16" s="1"/>
  <c r="AI139" i="16"/>
  <c r="AP139" i="16" s="1"/>
  <c r="AQ139" i="16" s="1"/>
  <c r="AI65" i="16"/>
  <c r="AP65" i="16" s="1"/>
  <c r="AQ65" i="16" s="1"/>
  <c r="AI94" i="16"/>
  <c r="AP94" i="16" s="1"/>
  <c r="AQ94" i="16" s="1"/>
  <c r="AI45" i="16"/>
  <c r="AP45" i="16" s="1"/>
  <c r="AQ45" i="16" s="1"/>
  <c r="AI91" i="16"/>
  <c r="AP91" i="16" s="1"/>
  <c r="AQ91" i="16" s="1"/>
  <c r="AI77" i="16"/>
  <c r="AP77" i="16" s="1"/>
  <c r="AQ77" i="16" s="1"/>
  <c r="AI106" i="16"/>
  <c r="AP106" i="16" s="1"/>
  <c r="AQ106" i="16" s="1"/>
  <c r="AI119" i="16"/>
  <c r="AP119" i="16" s="1"/>
  <c r="AQ119" i="16" s="1"/>
  <c r="AI149" i="16"/>
  <c r="AP149" i="16" s="1"/>
  <c r="AQ149" i="16" s="1"/>
  <c r="AI126" i="16"/>
  <c r="AP126" i="16" s="1"/>
  <c r="AQ126" i="16" s="1"/>
  <c r="AI137" i="16"/>
  <c r="AP137" i="16" s="1"/>
  <c r="AQ137" i="16" s="1"/>
  <c r="AI148" i="16"/>
  <c r="AP148" i="16" s="1"/>
  <c r="AQ148" i="16" s="1"/>
  <c r="AI168" i="16"/>
  <c r="AP168" i="16" s="1"/>
  <c r="AQ168" i="16" s="1"/>
  <c r="AI172" i="16"/>
  <c r="AP172" i="16" s="1"/>
  <c r="AQ172" i="16" s="1"/>
  <c r="AI181" i="16"/>
  <c r="AP181" i="16" s="1"/>
  <c r="AQ181" i="16" s="1"/>
  <c r="AI187" i="16"/>
  <c r="AP187" i="16" s="1"/>
  <c r="AQ187" i="16" s="1"/>
  <c r="AI158" i="16"/>
  <c r="AP158" i="16" s="1"/>
  <c r="AQ158" i="16" s="1"/>
  <c r="AI112" i="16"/>
  <c r="AP112" i="16" s="1"/>
  <c r="AQ112" i="16" s="1"/>
  <c r="AI36" i="16"/>
  <c r="AP36" i="16" s="1"/>
  <c r="AQ36" i="16" s="1"/>
  <c r="AI74" i="16"/>
  <c r="AP74" i="16" s="1"/>
  <c r="AQ74" i="16" s="1"/>
  <c r="AI124" i="16"/>
  <c r="AP124" i="16" s="1"/>
  <c r="AQ124" i="16" s="1"/>
  <c r="AI111" i="16"/>
  <c r="AP111" i="16" s="1"/>
  <c r="AQ111" i="16" s="1"/>
  <c r="AI152" i="16"/>
  <c r="AP152" i="16" s="1"/>
  <c r="AQ152" i="16" s="1"/>
  <c r="AI184" i="16"/>
  <c r="AP184" i="16" s="1"/>
  <c r="AQ184" i="16" s="1"/>
  <c r="AI31" i="16"/>
  <c r="AP31" i="16" s="1"/>
  <c r="AQ31" i="16" s="1"/>
  <c r="AI52" i="16"/>
  <c r="AP52" i="16" s="1"/>
  <c r="AQ52" i="16" s="1"/>
  <c r="AI150" i="16"/>
  <c r="AP150" i="16" s="1"/>
  <c r="AQ150" i="16" s="1"/>
  <c r="AI87" i="16"/>
  <c r="AP87" i="16" s="1"/>
  <c r="AQ87" i="16" s="1"/>
  <c r="AI117" i="16"/>
  <c r="AP117" i="16" s="1"/>
  <c r="AQ117" i="16" s="1"/>
  <c r="AI55" i="16"/>
  <c r="AP55" i="16" s="1"/>
  <c r="AQ55" i="16" s="1"/>
  <c r="AI61" i="16"/>
  <c r="AP61" i="16" s="1"/>
  <c r="AQ61" i="16" s="1"/>
  <c r="AI29" i="16"/>
  <c r="AP29" i="16" s="1"/>
  <c r="AQ29" i="16" s="1"/>
  <c r="AI93" i="16"/>
  <c r="AP93" i="16" s="1"/>
  <c r="AQ93" i="16" s="1"/>
  <c r="AI110" i="16"/>
  <c r="AP110" i="16" s="1"/>
  <c r="AQ110" i="16" s="1"/>
  <c r="AI153" i="16"/>
  <c r="AP153" i="16" s="1"/>
  <c r="AQ153" i="16" s="1"/>
  <c r="AI193" i="16"/>
  <c r="AP193" i="16" s="1"/>
  <c r="AQ193" i="16" s="1"/>
  <c r="AI72" i="16"/>
  <c r="AP72" i="16" s="1"/>
  <c r="AQ72" i="16" s="1"/>
  <c r="AI164" i="16"/>
  <c r="AP164" i="16" s="1"/>
  <c r="AQ164" i="16" s="1"/>
  <c r="AI83" i="16"/>
  <c r="AP83" i="16" s="1"/>
  <c r="AQ83" i="16" s="1"/>
  <c r="AI179" i="16"/>
  <c r="AP179" i="16" s="1"/>
  <c r="AQ179" i="16" s="1"/>
  <c r="AI88" i="16"/>
  <c r="AP88" i="16" s="1"/>
  <c r="AQ88" i="16" s="1"/>
  <c r="AI175" i="16"/>
  <c r="AP175" i="16" s="1"/>
  <c r="AQ175" i="16" s="1"/>
  <c r="AI138" i="16"/>
  <c r="AP138" i="16" s="1"/>
  <c r="AQ138" i="16" s="1"/>
  <c r="AI171" i="16"/>
  <c r="AP171" i="16" s="1"/>
  <c r="AQ171" i="16" s="1"/>
  <c r="AI32" i="16"/>
  <c r="AP32" i="16" s="1"/>
  <c r="AQ32" i="16" s="1"/>
  <c r="AI134" i="16"/>
  <c r="AP134" i="16" s="1"/>
  <c r="AQ134" i="16" s="1"/>
  <c r="AI192" i="16"/>
  <c r="AP192" i="16" s="1"/>
  <c r="AQ192" i="16" s="1"/>
  <c r="AI71" i="16"/>
  <c r="AP71" i="16" s="1"/>
  <c r="AQ71" i="16" s="1"/>
  <c r="AI69" i="16"/>
  <c r="AP69" i="16" s="1"/>
  <c r="AQ69" i="16" s="1"/>
  <c r="AI63" i="16"/>
  <c r="AP63" i="16" s="1"/>
  <c r="AQ63" i="16" s="1"/>
  <c r="AI147" i="16"/>
  <c r="AP147" i="16" s="1"/>
  <c r="AQ147" i="16" s="1"/>
  <c r="AI73" i="16"/>
  <c r="AP73" i="16" s="1"/>
  <c r="AQ73" i="16" s="1"/>
  <c r="AI33" i="16"/>
  <c r="AP33" i="16" s="1"/>
  <c r="AQ33" i="16" s="1"/>
  <c r="AI116" i="16"/>
  <c r="AP116" i="16" s="1"/>
  <c r="AQ116" i="16" s="1"/>
  <c r="AI155" i="16"/>
  <c r="AP155" i="16" s="1"/>
  <c r="AQ155" i="16" s="1"/>
  <c r="AI130" i="16"/>
  <c r="AP130" i="16" s="1"/>
  <c r="AQ130" i="16" s="1"/>
  <c r="AI143" i="16"/>
  <c r="AP143" i="16" s="1"/>
  <c r="AQ143" i="16" s="1"/>
  <c r="AI156" i="16"/>
  <c r="AP156" i="16" s="1"/>
  <c r="AQ156" i="16" s="1"/>
  <c r="AI170" i="16"/>
  <c r="AP170" i="16" s="1"/>
  <c r="AQ170" i="16" s="1"/>
  <c r="AI173" i="16"/>
  <c r="AP173" i="16" s="1"/>
  <c r="AQ173" i="16" s="1"/>
  <c r="AI105" i="16"/>
  <c r="AP105" i="16" s="1"/>
  <c r="AQ105" i="16" s="1"/>
  <c r="AI47" i="16"/>
  <c r="AP47" i="16" s="1"/>
  <c r="AQ47" i="16" s="1"/>
  <c r="AI129" i="16"/>
  <c r="AP129" i="16" s="1"/>
  <c r="AQ129" i="16" s="1"/>
  <c r="AI48" i="16"/>
  <c r="AP48" i="16" s="1"/>
  <c r="AQ48" i="16" s="1"/>
  <c r="AI70" i="16"/>
  <c r="AP70" i="16" s="1"/>
  <c r="AQ70" i="16" s="1"/>
  <c r="AI57" i="16"/>
  <c r="AP57" i="16" s="1"/>
  <c r="AQ57" i="16" s="1"/>
  <c r="AI141" i="16"/>
  <c r="AP141" i="16" s="1"/>
  <c r="AQ141" i="16" s="1"/>
  <c r="AI136" i="16"/>
  <c r="AP136" i="16" s="1"/>
  <c r="AQ136" i="16" s="1"/>
  <c r="AI190" i="16"/>
  <c r="AP190" i="16" s="1"/>
  <c r="AQ190" i="16" s="1"/>
  <c r="AI128" i="16"/>
  <c r="AP128" i="16" s="1"/>
  <c r="AQ128" i="16" s="1"/>
  <c r="AI58" i="16"/>
  <c r="AP58" i="16" s="1"/>
  <c r="AQ58" i="16" s="1"/>
  <c r="AI113" i="16"/>
  <c r="AP113" i="16" s="1"/>
  <c r="AQ113" i="16" s="1"/>
  <c r="AI109" i="16"/>
  <c r="AP109" i="16" s="1"/>
  <c r="AQ109" i="16" s="1"/>
  <c r="AI183" i="16"/>
  <c r="AP183" i="16" s="1"/>
  <c r="AQ183" i="16" s="1"/>
  <c r="AI68" i="16"/>
  <c r="AP68" i="16" s="1"/>
  <c r="AQ68" i="16" s="1"/>
  <c r="AI142" i="16"/>
  <c r="AP142" i="16" s="1"/>
  <c r="AQ142" i="16" s="1"/>
  <c r="AI28" i="16"/>
  <c r="AP28" i="16" s="1"/>
  <c r="AQ28" i="16" s="1"/>
  <c r="AI59" i="16"/>
  <c r="AP59" i="16" s="1"/>
  <c r="AQ59" i="16" s="1"/>
  <c r="AI60" i="16"/>
  <c r="AP60" i="16" s="1"/>
  <c r="AQ60" i="16" s="1"/>
  <c r="AI44" i="16"/>
  <c r="AP44" i="16" s="1"/>
  <c r="AQ44" i="16" s="1"/>
  <c r="AI42" i="16"/>
  <c r="AP42" i="16" s="1"/>
  <c r="AQ42" i="16" s="1"/>
  <c r="AI103" i="16"/>
  <c r="AP103" i="16" s="1"/>
  <c r="AQ103" i="16" s="1"/>
  <c r="AI62" i="16"/>
  <c r="AP62" i="16" s="1"/>
  <c r="AQ62" i="16" s="1"/>
  <c r="AI43" i="16"/>
  <c r="AP43" i="16" s="1"/>
  <c r="AQ43" i="16" s="1"/>
  <c r="AI30" i="16"/>
  <c r="AP30" i="16" s="1"/>
  <c r="AQ30" i="16" s="1"/>
  <c r="AI82" i="16"/>
  <c r="AP82" i="16" s="1"/>
  <c r="AQ82" i="16" s="1"/>
  <c r="AI157" i="16"/>
  <c r="AP157" i="16" s="1"/>
  <c r="AQ157" i="16" s="1"/>
  <c r="AI78" i="16"/>
  <c r="AP78" i="16" s="1"/>
  <c r="AQ78" i="16" s="1"/>
  <c r="AI123" i="16"/>
  <c r="AP123" i="16" s="1"/>
  <c r="AQ123" i="16" s="1"/>
  <c r="AI37" i="16"/>
  <c r="AP37" i="16" s="1"/>
  <c r="AQ37" i="16" s="1"/>
  <c r="AI75" i="16"/>
  <c r="AP75" i="16" s="1"/>
  <c r="AQ75" i="16" s="1"/>
  <c r="AI131" i="16"/>
  <c r="AP131" i="16" s="1"/>
  <c r="AQ131" i="16" s="1"/>
  <c r="AI85" i="16"/>
  <c r="AP85" i="16" s="1"/>
  <c r="AQ85" i="16" s="1"/>
  <c r="AI99" i="16"/>
  <c r="AP99" i="16" s="1"/>
  <c r="AQ99" i="16" s="1"/>
  <c r="AI108" i="16"/>
  <c r="AP108" i="16" s="1"/>
  <c r="AQ108" i="16" s="1"/>
  <c r="AI133" i="16"/>
  <c r="AP133" i="16" s="1"/>
  <c r="AQ133" i="16" s="1"/>
  <c r="AI165" i="16"/>
  <c r="AP165" i="16" s="1"/>
  <c r="AQ165" i="16" s="1"/>
  <c r="AI118" i="16"/>
  <c r="AP118" i="16" s="1"/>
  <c r="AQ118" i="16" s="1"/>
  <c r="AI135" i="16"/>
  <c r="AP135" i="16" s="1"/>
  <c r="AQ135" i="16" s="1"/>
  <c r="AI144" i="16"/>
  <c r="AP144" i="16" s="1"/>
  <c r="AQ144" i="16" s="1"/>
  <c r="AI151" i="16"/>
  <c r="AP151" i="16" s="1"/>
  <c r="AQ151" i="16" s="1"/>
  <c r="AI160" i="16"/>
  <c r="AP160" i="16" s="1"/>
  <c r="AQ160" i="16" s="1"/>
  <c r="AI191" i="16"/>
  <c r="AP191" i="16" s="1"/>
  <c r="AQ191" i="16" s="1"/>
  <c r="AI174" i="16"/>
  <c r="AP174" i="16" s="1"/>
  <c r="AQ174" i="16" s="1"/>
  <c r="AI194" i="16"/>
  <c r="AP194" i="16" s="1"/>
  <c r="AQ194" i="16" s="1"/>
  <c r="AI146" i="16"/>
  <c r="AP146" i="16" s="1"/>
  <c r="AQ146" i="16" s="1"/>
  <c r="AI101" i="16"/>
  <c r="AP101" i="16" s="1"/>
  <c r="AQ101" i="16" s="1"/>
  <c r="AI76" i="16"/>
  <c r="AP76" i="16" s="1"/>
  <c r="AQ76" i="16" s="1"/>
  <c r="AI80" i="16"/>
  <c r="AP80" i="16" s="1"/>
  <c r="AQ80" i="16" s="1"/>
  <c r="AF17" i="16"/>
  <c r="AI27" i="16"/>
  <c r="AT41" i="16" l="1"/>
  <c r="AP114" i="16"/>
  <c r="AQ114" i="16" s="1"/>
  <c r="AQ81" i="16"/>
  <c r="AT81" i="16" s="1"/>
  <c r="AQ98" i="16"/>
  <c r="AT98" i="16" s="1"/>
  <c r="AX41" i="16"/>
  <c r="AS123" i="16"/>
  <c r="AT123" i="16"/>
  <c r="AT68" i="16"/>
  <c r="AS68" i="16"/>
  <c r="AS141" i="16"/>
  <c r="AT141" i="16"/>
  <c r="AT178" i="16"/>
  <c r="AS178" i="16"/>
  <c r="AT180" i="16"/>
  <c r="AS180" i="16"/>
  <c r="AS143" i="16"/>
  <c r="AT143" i="16"/>
  <c r="AT102" i="16"/>
  <c r="AS102" i="16"/>
  <c r="AT34" i="16"/>
  <c r="AS34" i="16"/>
  <c r="AT138" i="16"/>
  <c r="AS138" i="16"/>
  <c r="AS161" i="16"/>
  <c r="AT161" i="16"/>
  <c r="AS51" i="16"/>
  <c r="AT51" i="16"/>
  <c r="AS181" i="16"/>
  <c r="AT181" i="16"/>
  <c r="AS149" i="16"/>
  <c r="AT149" i="16"/>
  <c r="AT94" i="16"/>
  <c r="AS94" i="16"/>
  <c r="AT54" i="16"/>
  <c r="AS54" i="16"/>
  <c r="AT56" i="16"/>
  <c r="AS56" i="16"/>
  <c r="AS125" i="16"/>
  <c r="AT125" i="16"/>
  <c r="AT182" i="16"/>
  <c r="AS182" i="16"/>
  <c r="AT184" i="16"/>
  <c r="AS184" i="16"/>
  <c r="AT122" i="16"/>
  <c r="AS122" i="16"/>
  <c r="AT124" i="16"/>
  <c r="AS124" i="16"/>
  <c r="AT36" i="16"/>
  <c r="AS36" i="16"/>
  <c r="AS101" i="16"/>
  <c r="AT101" i="16"/>
  <c r="AS135" i="16"/>
  <c r="AT135" i="16"/>
  <c r="AS75" i="16"/>
  <c r="AT75" i="16"/>
  <c r="AT62" i="16"/>
  <c r="AS62" i="16"/>
  <c r="AS79" i="16"/>
  <c r="AT79" i="16"/>
  <c r="AT190" i="16"/>
  <c r="AS190" i="16"/>
  <c r="AS129" i="16"/>
  <c r="AT129" i="16"/>
  <c r="AS159" i="16"/>
  <c r="AT159" i="16"/>
  <c r="AT49" i="16"/>
  <c r="AS49" i="16"/>
  <c r="AT50" i="16"/>
  <c r="AS50" i="16"/>
  <c r="AT32" i="16"/>
  <c r="AS32" i="16"/>
  <c r="AS39" i="16"/>
  <c r="AT39" i="16"/>
  <c r="AT38" i="16"/>
  <c r="AS38" i="16"/>
  <c r="AS187" i="16"/>
  <c r="AT187" i="16"/>
  <c r="AT126" i="16"/>
  <c r="AS126" i="16"/>
  <c r="AT45" i="16"/>
  <c r="AS45" i="16"/>
  <c r="AT46" i="16"/>
  <c r="AS46" i="16"/>
  <c r="AT66" i="16"/>
  <c r="AS66" i="16"/>
  <c r="AT120" i="16"/>
  <c r="AS120" i="16"/>
  <c r="AT140" i="16"/>
  <c r="AS140" i="16"/>
  <c r="AS189" i="16"/>
  <c r="AT189" i="16"/>
  <c r="AS111" i="16"/>
  <c r="AT111" i="16"/>
  <c r="AT74" i="16"/>
  <c r="AS74" i="16"/>
  <c r="AT97" i="16"/>
  <c r="AS97" i="16"/>
  <c r="AT194" i="16"/>
  <c r="AS194" i="16"/>
  <c r="AS85" i="16"/>
  <c r="AT85" i="16"/>
  <c r="AS59" i="16"/>
  <c r="AT59" i="16"/>
  <c r="AT48" i="16"/>
  <c r="AS48" i="16"/>
  <c r="AS69" i="16"/>
  <c r="AT69" i="16"/>
  <c r="AS83" i="16"/>
  <c r="AT83" i="16"/>
  <c r="AT166" i="16"/>
  <c r="AS166" i="16"/>
  <c r="AS165" i="16"/>
  <c r="AT165" i="16"/>
  <c r="AT42" i="16"/>
  <c r="AS42" i="16"/>
  <c r="AT80" i="16"/>
  <c r="AS80" i="16"/>
  <c r="AS151" i="16"/>
  <c r="AT151" i="16"/>
  <c r="AT30" i="16"/>
  <c r="AS30" i="16"/>
  <c r="AT58" i="16"/>
  <c r="AS58" i="16"/>
  <c r="AS53" i="16"/>
  <c r="AT53" i="16"/>
  <c r="AS173" i="16"/>
  <c r="AT173" i="16"/>
  <c r="AS107" i="16"/>
  <c r="AT107" i="16"/>
  <c r="AT132" i="16"/>
  <c r="AS132" i="16"/>
  <c r="AT92" i="16"/>
  <c r="AS92" i="16"/>
  <c r="AT104" i="16"/>
  <c r="AS104" i="16"/>
  <c r="AT148" i="16"/>
  <c r="AS148" i="16"/>
  <c r="AT77" i="16"/>
  <c r="AS77" i="16"/>
  <c r="AT90" i="16"/>
  <c r="AS90" i="16"/>
  <c r="AS195" i="16"/>
  <c r="AT195" i="16"/>
  <c r="AS87" i="16"/>
  <c r="AT87" i="16"/>
  <c r="AS31" i="16"/>
  <c r="AT31" i="16"/>
  <c r="AS167" i="16"/>
  <c r="AT167" i="16"/>
  <c r="AT176" i="16"/>
  <c r="AS176" i="16"/>
  <c r="AS35" i="16"/>
  <c r="AT35" i="16"/>
  <c r="AS177" i="16"/>
  <c r="AT177" i="16"/>
  <c r="AS191" i="16"/>
  <c r="AT191" i="16"/>
  <c r="AT108" i="16"/>
  <c r="AS108" i="16"/>
  <c r="AS157" i="16"/>
  <c r="AT157" i="16"/>
  <c r="AS169" i="16"/>
  <c r="AT169" i="16"/>
  <c r="AS109" i="16"/>
  <c r="AT109" i="16"/>
  <c r="AT57" i="16"/>
  <c r="AS57" i="16"/>
  <c r="AS105" i="16"/>
  <c r="AT105" i="16"/>
  <c r="AS155" i="16"/>
  <c r="AT155" i="16"/>
  <c r="AS147" i="16"/>
  <c r="AT147" i="16"/>
  <c r="AT192" i="16"/>
  <c r="AS192" i="16"/>
  <c r="AS175" i="16"/>
  <c r="AT175" i="16"/>
  <c r="AS179" i="16"/>
  <c r="AT179" i="16"/>
  <c r="AS121" i="16"/>
  <c r="AT121" i="16"/>
  <c r="AT168" i="16"/>
  <c r="AS168" i="16"/>
  <c r="AT106" i="16"/>
  <c r="AS106" i="16"/>
  <c r="AS139" i="16"/>
  <c r="AT139" i="16"/>
  <c r="AS117" i="16"/>
  <c r="AT117" i="16"/>
  <c r="AT150" i="16"/>
  <c r="AS150" i="16"/>
  <c r="AT52" i="16"/>
  <c r="AS52" i="16"/>
  <c r="AT154" i="16"/>
  <c r="AS154" i="16"/>
  <c r="AT152" i="16"/>
  <c r="AS152" i="16"/>
  <c r="AS185" i="16"/>
  <c r="AT185" i="16"/>
  <c r="AT188" i="16"/>
  <c r="AS188" i="16"/>
  <c r="AT112" i="16"/>
  <c r="AS112" i="16"/>
  <c r="AT84" i="16"/>
  <c r="AS84" i="16"/>
  <c r="AT156" i="16"/>
  <c r="AS156" i="16"/>
  <c r="AT134" i="16"/>
  <c r="AS134" i="16"/>
  <c r="AT64" i="16"/>
  <c r="AS64" i="16"/>
  <c r="AT162" i="16"/>
  <c r="AS162" i="16"/>
  <c r="AT86" i="16"/>
  <c r="AS86" i="16"/>
  <c r="AT96" i="16"/>
  <c r="AS96" i="16"/>
  <c r="AT158" i="16"/>
  <c r="AS158" i="16"/>
  <c r="AT172" i="16"/>
  <c r="AS172" i="16"/>
  <c r="AS137" i="16"/>
  <c r="AT137" i="16"/>
  <c r="AT93" i="16"/>
  <c r="AS93" i="16"/>
  <c r="AT29" i="16"/>
  <c r="AS29" i="16"/>
  <c r="AT65" i="16"/>
  <c r="AS65" i="16"/>
  <c r="AS115" i="16"/>
  <c r="AT115" i="16"/>
  <c r="AS67" i="16"/>
  <c r="AT67" i="16"/>
  <c r="AS47" i="16"/>
  <c r="AT47" i="16"/>
  <c r="AT170" i="16"/>
  <c r="AS170" i="16"/>
  <c r="AS127" i="16"/>
  <c r="AT127" i="16"/>
  <c r="AT33" i="16"/>
  <c r="AS33" i="16"/>
  <c r="AS63" i="16"/>
  <c r="AT63" i="16"/>
  <c r="AS71" i="16"/>
  <c r="AT71" i="16"/>
  <c r="AS95" i="16"/>
  <c r="AT95" i="16"/>
  <c r="AT88" i="16"/>
  <c r="AS88" i="16"/>
  <c r="AS145" i="16"/>
  <c r="AT145" i="16"/>
  <c r="AT164" i="16"/>
  <c r="AS164" i="16"/>
  <c r="AT72" i="16"/>
  <c r="AS72" i="16"/>
  <c r="AS193" i="16"/>
  <c r="AT193" i="16"/>
  <c r="AS153" i="16"/>
  <c r="AT153" i="16"/>
  <c r="AT110" i="16"/>
  <c r="AS110" i="16"/>
  <c r="AS91" i="16"/>
  <c r="AT91" i="16"/>
  <c r="AT61" i="16"/>
  <c r="AS61" i="16"/>
  <c r="AS55" i="16"/>
  <c r="AT55" i="16"/>
  <c r="AT186" i="16"/>
  <c r="AS186" i="16"/>
  <c r="AT130" i="16"/>
  <c r="AS130" i="16"/>
  <c r="AT116" i="16"/>
  <c r="AS116" i="16"/>
  <c r="AT73" i="16"/>
  <c r="AS73" i="16"/>
  <c r="AS163" i="16"/>
  <c r="AT163" i="16"/>
  <c r="AS171" i="16"/>
  <c r="AT171" i="16"/>
  <c r="AT40" i="16"/>
  <c r="AS40" i="16"/>
  <c r="AT100" i="16"/>
  <c r="AS100" i="16"/>
  <c r="AS119" i="16"/>
  <c r="AT119" i="16"/>
  <c r="AT76" i="16"/>
  <c r="AS76" i="16"/>
  <c r="AT146" i="16"/>
  <c r="AS146" i="16"/>
  <c r="AT174" i="16"/>
  <c r="AS174" i="16"/>
  <c r="AT160" i="16"/>
  <c r="AS160" i="16"/>
  <c r="AT144" i="16"/>
  <c r="AS144" i="16"/>
  <c r="AT118" i="16"/>
  <c r="AS118" i="16"/>
  <c r="AS133" i="16"/>
  <c r="AT133" i="16"/>
  <c r="AS99" i="16"/>
  <c r="AT99" i="16"/>
  <c r="AS131" i="16"/>
  <c r="AT131" i="16"/>
  <c r="AS37" i="16"/>
  <c r="AT37" i="16"/>
  <c r="AT78" i="16"/>
  <c r="AS78" i="16"/>
  <c r="AT82" i="16"/>
  <c r="AS82" i="16"/>
  <c r="AS43" i="16"/>
  <c r="AT43" i="16"/>
  <c r="AS103" i="16"/>
  <c r="AT103" i="16"/>
  <c r="AT44" i="16"/>
  <c r="AS44" i="16"/>
  <c r="AT60" i="16"/>
  <c r="AS60" i="16"/>
  <c r="AT28" i="16"/>
  <c r="AS28" i="16"/>
  <c r="AT142" i="16"/>
  <c r="AS142" i="16"/>
  <c r="AS183" i="16"/>
  <c r="AT183" i="16"/>
  <c r="AS113" i="16"/>
  <c r="AT113" i="16"/>
  <c r="AT128" i="16"/>
  <c r="AS128" i="16"/>
  <c r="AT136" i="16"/>
  <c r="AS136" i="16"/>
  <c r="AT89" i="16"/>
  <c r="AS89" i="16"/>
  <c r="AT70" i="16"/>
  <c r="AS70" i="16"/>
  <c r="AG17" i="16"/>
  <c r="AP27" i="16"/>
  <c r="AQ27" i="16" s="1"/>
  <c r="AS98" i="16" l="1"/>
  <c r="AT114" i="16"/>
  <c r="AS114" i="16"/>
  <c r="AX98" i="16"/>
  <c r="AS81" i="16"/>
  <c r="AX81" i="16" s="1"/>
  <c r="AX131" i="16"/>
  <c r="AX171" i="16"/>
  <c r="AX186" i="16"/>
  <c r="AX55" i="16"/>
  <c r="AX33" i="16"/>
  <c r="AX137" i="16"/>
  <c r="AX84" i="16"/>
  <c r="AX152" i="16"/>
  <c r="AX150" i="16"/>
  <c r="AX106" i="16"/>
  <c r="AX192" i="16"/>
  <c r="AX177" i="16"/>
  <c r="AX90" i="16"/>
  <c r="AX69" i="16"/>
  <c r="AX194" i="16"/>
  <c r="AX38" i="16"/>
  <c r="AX51" i="16"/>
  <c r="AX102" i="16"/>
  <c r="AX103" i="16"/>
  <c r="AX86" i="16"/>
  <c r="AX156" i="16"/>
  <c r="AX109" i="16"/>
  <c r="AX169" i="16"/>
  <c r="AX157" i="16"/>
  <c r="AX191" i="16"/>
  <c r="AX176" i="16"/>
  <c r="AX80" i="16"/>
  <c r="AX165" i="16"/>
  <c r="AX166" i="16"/>
  <c r="AX48" i="16"/>
  <c r="AX79" i="16"/>
  <c r="AX62" i="16"/>
  <c r="AX124" i="16"/>
  <c r="AX122" i="16"/>
  <c r="AX181" i="16"/>
  <c r="AX138" i="16"/>
  <c r="AX34" i="16"/>
  <c r="AX123" i="16"/>
  <c r="AX60" i="16"/>
  <c r="AX43" i="16"/>
  <c r="AX153" i="16"/>
  <c r="AX145" i="16"/>
  <c r="AX65" i="16"/>
  <c r="AX172" i="16"/>
  <c r="AX188" i="16"/>
  <c r="AX52" i="16"/>
  <c r="AX168" i="16"/>
  <c r="AX167" i="16"/>
  <c r="AX148" i="16"/>
  <c r="AX32" i="16"/>
  <c r="AX49" i="16"/>
  <c r="AX184" i="16"/>
  <c r="AX161" i="16"/>
  <c r="AX71" i="16"/>
  <c r="AX67" i="16"/>
  <c r="AX142" i="16"/>
  <c r="AX40" i="16"/>
  <c r="AX116" i="16"/>
  <c r="AX110" i="16"/>
  <c r="AX127" i="16"/>
  <c r="AX134" i="16"/>
  <c r="AX155" i="16"/>
  <c r="AX105" i="16"/>
  <c r="AX108" i="16"/>
  <c r="AX107" i="16"/>
  <c r="AX173" i="16"/>
  <c r="AX53" i="16"/>
  <c r="AX30" i="16"/>
  <c r="AX42" i="16"/>
  <c r="AX111" i="16"/>
  <c r="AX189" i="16"/>
  <c r="AX140" i="16"/>
  <c r="AX120" i="16"/>
  <c r="AX66" i="16"/>
  <c r="AX46" i="16"/>
  <c r="AX45" i="16"/>
  <c r="AX126" i="16"/>
  <c r="AX129" i="16"/>
  <c r="AX190" i="16"/>
  <c r="AX36" i="16"/>
  <c r="AX149" i="16"/>
  <c r="AX143" i="16"/>
  <c r="AX141" i="16"/>
  <c r="AX70" i="16"/>
  <c r="AX82" i="16"/>
  <c r="AX160" i="16"/>
  <c r="AX61" i="16"/>
  <c r="AX88" i="16"/>
  <c r="AX63" i="16"/>
  <c r="AX47" i="16"/>
  <c r="AX115" i="16"/>
  <c r="AX162" i="16"/>
  <c r="AX112" i="16"/>
  <c r="AX154" i="16"/>
  <c r="AX35" i="16"/>
  <c r="AX31" i="16"/>
  <c r="AX77" i="16"/>
  <c r="AX151" i="16"/>
  <c r="AX83" i="16"/>
  <c r="AX97" i="16"/>
  <c r="AX187" i="16"/>
  <c r="AX50" i="16"/>
  <c r="AX75" i="16"/>
  <c r="AX182" i="16"/>
  <c r="AX128" i="16"/>
  <c r="AX28" i="16"/>
  <c r="AX37" i="16"/>
  <c r="AX144" i="16"/>
  <c r="AX76" i="16"/>
  <c r="AX130" i="16"/>
  <c r="AX136" i="16"/>
  <c r="AX183" i="16"/>
  <c r="AX133" i="16"/>
  <c r="AX118" i="16"/>
  <c r="AX146" i="16"/>
  <c r="AX91" i="16"/>
  <c r="AX164" i="16"/>
  <c r="AX95" i="16"/>
  <c r="AX170" i="16"/>
  <c r="AX93" i="16"/>
  <c r="AX96" i="16"/>
  <c r="AX89" i="16"/>
  <c r="AX113" i="16"/>
  <c r="AX44" i="16"/>
  <c r="AX78" i="16"/>
  <c r="AX99" i="16"/>
  <c r="AX174" i="16"/>
  <c r="AX119" i="16"/>
  <c r="AX100" i="16"/>
  <c r="AX163" i="16"/>
  <c r="AX73" i="16"/>
  <c r="AX193" i="16"/>
  <c r="AX72" i="16"/>
  <c r="AX29" i="16"/>
  <c r="AX158" i="16"/>
  <c r="AX64" i="16"/>
  <c r="AX185" i="16"/>
  <c r="AX117" i="16"/>
  <c r="AX139" i="16"/>
  <c r="AX121" i="16"/>
  <c r="AX179" i="16"/>
  <c r="AX175" i="16"/>
  <c r="AX147" i="16"/>
  <c r="AX57" i="16"/>
  <c r="AX87" i="16"/>
  <c r="AX195" i="16"/>
  <c r="AX104" i="16"/>
  <c r="AX92" i="16"/>
  <c r="AX132" i="16"/>
  <c r="AX58" i="16"/>
  <c r="AX59" i="16"/>
  <c r="AX85" i="16"/>
  <c r="AX74" i="16"/>
  <c r="AX39" i="16"/>
  <c r="AX159" i="16"/>
  <c r="AX135" i="16"/>
  <c r="AX101" i="16"/>
  <c r="AX125" i="16"/>
  <c r="AX56" i="16"/>
  <c r="AX54" i="16"/>
  <c r="AX94" i="16"/>
  <c r="AX180" i="16"/>
  <c r="AX178" i="16"/>
  <c r="AX68" i="16"/>
  <c r="AP17" i="16"/>
  <c r="AX114" i="16" l="1"/>
  <c r="AS27" i="16"/>
  <c r="AS17" i="16" s="1"/>
  <c r="AT27" i="16"/>
  <c r="AQ17" i="16"/>
  <c r="AV17" i="16" l="1"/>
  <c r="AW27" i="16" l="1"/>
  <c r="AX27" i="16" l="1"/>
  <c r="AX17" i="16" s="1"/>
  <c r="AW17" i="16"/>
</calcChain>
</file>

<file path=xl/sharedStrings.xml><?xml version="1.0" encoding="utf-8"?>
<sst xmlns="http://schemas.openxmlformats.org/spreadsheetml/2006/main" count="583" uniqueCount="368">
  <si>
    <t>Need Weighting Factor for Col 3:</t>
  </si>
  <si>
    <t>ENGL per Capita and MHI Threshold Factor for Col 8 &amp; Col 10:</t>
  </si>
  <si>
    <t>ENGL per Capita Weight for Col 11:</t>
  </si>
  <si>
    <t>MHI Weight for Col 11:</t>
  </si>
  <si>
    <t>Non-Alliance District Minimum Aid Ratio for use in Column 12:</t>
  </si>
  <si>
    <t>Alliance District Minimum Aid Ratio for use in Column 12:</t>
  </si>
  <si>
    <t>Foundation for Column 17:</t>
  </si>
  <si>
    <t xml:space="preserve">K.  </t>
  </si>
  <si>
    <t>2014-15 Non-Alliance District Phase-In Rate for Col 24:</t>
  </si>
  <si>
    <t xml:space="preserve">L.  </t>
  </si>
  <si>
    <t>2014-15 Alliance District Phase-In Rate for Col 24:</t>
  </si>
  <si>
    <t xml:space="preserve">M.  </t>
  </si>
  <si>
    <t>2014-15 Reform District Phase-In Rate for Col 24:</t>
  </si>
  <si>
    <t xml:space="preserve">Totals  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</si>
  <si>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</si>
  <si>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</si>
  <si>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</si>
  <si>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</si>
  <si>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</si>
  <si>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</si>
  <si>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</si>
  <si>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</si>
  <si>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</si>
  <si>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</si>
  <si>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</si>
  <si>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</si>
  <si>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</si>
  <si>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</si>
  <si>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</si>
  <si>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</si>
  <si>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</si>
  <si>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</si>
  <si>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</si>
  <si>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Median:</t>
  </si>
  <si>
    <t>(EEPC</t>
  </si>
  <si>
    <t>(MHI</t>
  </si>
  <si>
    <t>Base Aid Ratio</t>
  </si>
  <si>
    <t>Foundation:</t>
  </si>
  <si>
    <t>Preliminary</t>
  </si>
  <si>
    <t>Threshold:</t>
  </si>
  <si>
    <t>Wealth</t>
  </si>
  <si>
    <t>(Non-Alliance Districts</t>
  </si>
  <si>
    <t>Regional</t>
  </si>
  <si>
    <t>(Item E)</t>
  </si>
  <si>
    <t>Free and</t>
  </si>
  <si>
    <t>Average</t>
  </si>
  <si>
    <t>Median</t>
  </si>
  <si>
    <t>Adjustment</t>
  </si>
  <si>
    <t>Greater of</t>
  </si>
  <si>
    <t>Students</t>
  </si>
  <si>
    <t>Number of</t>
  </si>
  <si>
    <t>District</t>
  </si>
  <si>
    <t>Reduced</t>
  </si>
  <si>
    <t>Free&amp;Reduced</t>
  </si>
  <si>
    <t>Need</t>
  </si>
  <si>
    <t>Equalized Net</t>
  </si>
  <si>
    <t>ECS ENGL</t>
  </si>
  <si>
    <t>Median x Item B)</t>
  </si>
  <si>
    <t>Household</t>
  </si>
  <si>
    <t>Factor</t>
  </si>
  <si>
    <t>Sent To</t>
  </si>
  <si>
    <t>Base Formula</t>
  </si>
  <si>
    <t>Fully Funded</t>
  </si>
  <si>
    <t>Alliance</t>
  </si>
  <si>
    <t>17 Town</t>
  </si>
  <si>
    <t>Resident</t>
  </si>
  <si>
    <t>Eligibility</t>
  </si>
  <si>
    <t>Weight</t>
  </si>
  <si>
    <t>Grand List</t>
  </si>
  <si>
    <t>Total</t>
  </si>
  <si>
    <t>per Capita</t>
  </si>
  <si>
    <t>ENGL Adjustment Factor</t>
  </si>
  <si>
    <t>Income</t>
  </si>
  <si>
    <t>MHI Adjustment Factor</t>
  </si>
  <si>
    <t>(Alliance Districts:</t>
  </si>
  <si>
    <t>Bonus</t>
  </si>
  <si>
    <t>Aid</t>
  </si>
  <si>
    <t>Grant</t>
  </si>
  <si>
    <t>2016-17</t>
  </si>
  <si>
    <t>PSD</t>
  </si>
  <si>
    <t>Non-</t>
  </si>
  <si>
    <t>Reform</t>
  </si>
  <si>
    <t>Town</t>
  </si>
  <si>
    <t>October</t>
  </si>
  <si>
    <t>ELL</t>
  </si>
  <si>
    <t>(Col 2 x</t>
  </si>
  <si>
    <t>(ECS ENGL)</t>
  </si>
  <si>
    <t>Population</t>
  </si>
  <si>
    <t>(EEPC)</t>
  </si>
  <si>
    <t>(MHI)</t>
  </si>
  <si>
    <t>Item C) +</t>
  </si>
  <si>
    <t>Grades</t>
  </si>
  <si>
    <t>ECS</t>
  </si>
  <si>
    <t>DRG</t>
  </si>
  <si>
    <t>Districts</t>
  </si>
  <si>
    <t>Decile</t>
  </si>
  <si>
    <t>Code</t>
  </si>
  <si>
    <t>Name</t>
  </si>
  <si>
    <t>Item A)</t>
  </si>
  <si>
    <t>Threshold)</t>
  </si>
  <si>
    <t>C</t>
  </si>
  <si>
    <t>Andover</t>
  </si>
  <si>
    <t>H</t>
  </si>
  <si>
    <t>Ansonia</t>
  </si>
  <si>
    <t>E</t>
  </si>
  <si>
    <t>Ashford</t>
  </si>
  <si>
    <t>B</t>
  </si>
  <si>
    <t>Avon</t>
  </si>
  <si>
    <t>Barkhamsted</t>
  </si>
  <si>
    <t>Beacon Falls</t>
  </si>
  <si>
    <t>D</t>
  </si>
  <si>
    <t>Berlin</t>
  </si>
  <si>
    <t>Bethany</t>
  </si>
  <si>
    <t>Bethel</t>
  </si>
  <si>
    <t>Bethlehem</t>
  </si>
  <si>
    <t>G</t>
  </si>
  <si>
    <t>Bloomfield</t>
  </si>
  <si>
    <t>Bolton</t>
  </si>
  <si>
    <t>Bozrah</t>
  </si>
  <si>
    <t>Branford</t>
  </si>
  <si>
    <t>I</t>
  </si>
  <si>
    <t>Bridgeport</t>
  </si>
  <si>
    <t>Bridgewater</t>
  </si>
  <si>
    <t>Bristol</t>
  </si>
  <si>
    <t>Brookfield</t>
  </si>
  <si>
    <t>Brooklyn</t>
  </si>
  <si>
    <t>Burlington</t>
  </si>
  <si>
    <t>Canaan</t>
  </si>
  <si>
    <t>F</t>
  </si>
  <si>
    <t>Canterbury</t>
  </si>
  <si>
    <t>Canton</t>
  </si>
  <si>
    <t>Chaplin</t>
  </si>
  <si>
    <t>Cheshire</t>
  </si>
  <si>
    <t>Chester</t>
  </si>
  <si>
    <t>Clinton</t>
  </si>
  <si>
    <t>Colchester</t>
  </si>
  <si>
    <t>Colebrook</t>
  </si>
  <si>
    <t>Columbia</t>
  </si>
  <si>
    <t>Cornwall</t>
  </si>
  <si>
    <t>Coventry</t>
  </si>
  <si>
    <t>Cromwell</t>
  </si>
  <si>
    <t>Danbury</t>
  </si>
  <si>
    <t>A</t>
  </si>
  <si>
    <t>Darien</t>
  </si>
  <si>
    <t>Deep River</t>
  </si>
  <si>
    <t>Derby</t>
  </si>
  <si>
    <t>Durham</t>
  </si>
  <si>
    <t>Eastford</t>
  </si>
  <si>
    <t>East Granby</t>
  </si>
  <si>
    <t>East Haddam</t>
  </si>
  <si>
    <t>East Hampton</t>
  </si>
  <si>
    <t>East Hartford</t>
  </si>
  <si>
    <t>East Haven</t>
  </si>
  <si>
    <t>East Lyme</t>
  </si>
  <si>
    <t>Easton</t>
  </si>
  <si>
    <t>East Windsor</t>
  </si>
  <si>
    <t>Ellington</t>
  </si>
  <si>
    <t>Enfield</t>
  </si>
  <si>
    <t>Essex</t>
  </si>
  <si>
    <t>Fairfield</t>
  </si>
  <si>
    <t>Farmington</t>
  </si>
  <si>
    <t>Franklin</t>
  </si>
  <si>
    <t>Glastonbury</t>
  </si>
  <si>
    <t>Goshen</t>
  </si>
  <si>
    <t>Granby</t>
  </si>
  <si>
    <t>Greenwich</t>
  </si>
  <si>
    <t>Griswold</t>
  </si>
  <si>
    <t>Groton</t>
  </si>
  <si>
    <t>Guilford</t>
  </si>
  <si>
    <t>Haddam</t>
  </si>
  <si>
    <t>Hamden</t>
  </si>
  <si>
    <t>Hampton</t>
  </si>
  <si>
    <t>Hartford</t>
  </si>
  <si>
    <t>Hartland</t>
  </si>
  <si>
    <t>Harwinton</t>
  </si>
  <si>
    <t>Hebron</t>
  </si>
  <si>
    <t>Kent</t>
  </si>
  <si>
    <t>Killingly</t>
  </si>
  <si>
    <t>Killingworth</t>
  </si>
  <si>
    <t>Lebanon</t>
  </si>
  <si>
    <t>Ledyard</t>
  </si>
  <si>
    <t>Lisbon</t>
  </si>
  <si>
    <t>Litchfield</t>
  </si>
  <si>
    <t>Lyme</t>
  </si>
  <si>
    <t>Madison</t>
  </si>
  <si>
    <t>Manchester</t>
  </si>
  <si>
    <t>Mansfield</t>
  </si>
  <si>
    <t>Marlborough</t>
  </si>
  <si>
    <t>Meriden</t>
  </si>
  <si>
    <t>Middlebury</t>
  </si>
  <si>
    <t>Middlefield</t>
  </si>
  <si>
    <t>Middletown</t>
  </si>
  <si>
    <t>Milford</t>
  </si>
  <si>
    <t>Monroe</t>
  </si>
  <si>
    <t>Montville</t>
  </si>
  <si>
    <t>Morris</t>
  </si>
  <si>
    <t>Naugatuck</t>
  </si>
  <si>
    <t>New Britain</t>
  </si>
  <si>
    <t>New Canaan</t>
  </si>
  <si>
    <t>New Fairfield</t>
  </si>
  <si>
    <t>New Hartford</t>
  </si>
  <si>
    <t>New Haven</t>
  </si>
  <si>
    <t>Newington</t>
  </si>
  <si>
    <t>New London</t>
  </si>
  <si>
    <t>New Milford</t>
  </si>
  <si>
    <t>Newtown</t>
  </si>
  <si>
    <t>Norfolk</t>
  </si>
  <si>
    <t>North Branford</t>
  </si>
  <si>
    <t>North Canaan</t>
  </si>
  <si>
    <t>North Haven</t>
  </si>
  <si>
    <t>North Stonington</t>
  </si>
  <si>
    <t>Norwalk</t>
  </si>
  <si>
    <t>Norwich</t>
  </si>
  <si>
    <t>Old Lyme</t>
  </si>
  <si>
    <t>Old Saybrook</t>
  </si>
  <si>
    <t>Orange</t>
  </si>
  <si>
    <t>Oxford</t>
  </si>
  <si>
    <t>Plainfield</t>
  </si>
  <si>
    <t>Plainville</t>
  </si>
  <si>
    <t>Plymouth</t>
  </si>
  <si>
    <t>Pomfret</t>
  </si>
  <si>
    <t>Portland</t>
  </si>
  <si>
    <t>Preston</t>
  </si>
  <si>
    <t>Prospect</t>
  </si>
  <si>
    <t>Putnam</t>
  </si>
  <si>
    <t>Redding</t>
  </si>
  <si>
    <t>Ridgefield</t>
  </si>
  <si>
    <t>Rocky Hill</t>
  </si>
  <si>
    <t>Roxbury</t>
  </si>
  <si>
    <t>Salem</t>
  </si>
  <si>
    <t>Salisbury</t>
  </si>
  <si>
    <t>Scotland</t>
  </si>
  <si>
    <t>Seymour</t>
  </si>
  <si>
    <t>Sharon</t>
  </si>
  <si>
    <t>Shelton</t>
  </si>
  <si>
    <t>Sherman</t>
  </si>
  <si>
    <t>Simsbury</t>
  </si>
  <si>
    <t>Somers</t>
  </si>
  <si>
    <t>Southbury</t>
  </si>
  <si>
    <t>Southington</t>
  </si>
  <si>
    <t>South Windsor</t>
  </si>
  <si>
    <t>Sprague</t>
  </si>
  <si>
    <t>Stafford</t>
  </si>
  <si>
    <t>Stamford</t>
  </si>
  <si>
    <t>Sterling</t>
  </si>
  <si>
    <t>Stonington</t>
  </si>
  <si>
    <t>Stratford</t>
  </si>
  <si>
    <t>Suffield</t>
  </si>
  <si>
    <t>Thomaston</t>
  </si>
  <si>
    <t>Thompson</t>
  </si>
  <si>
    <t>Tolland</t>
  </si>
  <si>
    <t>Torrington</t>
  </si>
  <si>
    <t>Trumbull</t>
  </si>
  <si>
    <t>Union</t>
  </si>
  <si>
    <t>Vernon</t>
  </si>
  <si>
    <t>Voluntown</t>
  </si>
  <si>
    <t>Wallingford</t>
  </si>
  <si>
    <t>Warren</t>
  </si>
  <si>
    <t>Washington</t>
  </si>
  <si>
    <t>Waterbury</t>
  </si>
  <si>
    <t>Waterford</t>
  </si>
  <si>
    <t>Watertown</t>
  </si>
  <si>
    <t>Westbrook</t>
  </si>
  <si>
    <t>West Hartford</t>
  </si>
  <si>
    <t>West Haven</t>
  </si>
  <si>
    <t>Weston</t>
  </si>
  <si>
    <t>Westport</t>
  </si>
  <si>
    <t>Wethersfield</t>
  </si>
  <si>
    <t>Willington</t>
  </si>
  <si>
    <t>Wilton</t>
  </si>
  <si>
    <t>Winchester</t>
  </si>
  <si>
    <t>Windham</t>
  </si>
  <si>
    <t>Windsor</t>
  </si>
  <si>
    <t>Windsor Locks</t>
  </si>
  <si>
    <t>Wolcott</t>
  </si>
  <si>
    <t>Woodbridge</t>
  </si>
  <si>
    <t>Woodbury</t>
  </si>
  <si>
    <t>Woodstock</t>
  </si>
  <si>
    <t>Concentrated</t>
  </si>
  <si>
    <t>PIC</t>
  </si>
  <si>
    <t>Poverty</t>
  </si>
  <si>
    <t>ACTUAL</t>
  </si>
  <si>
    <t>Entitlement</t>
  </si>
  <si>
    <t xml:space="preserve">Grant </t>
  </si>
  <si>
    <t>(Absolute</t>
  </si>
  <si>
    <t>Greater</t>
  </si>
  <si>
    <t>Than Base</t>
  </si>
  <si>
    <t>(Yes/No)</t>
  </si>
  <si>
    <t>H.</t>
  </si>
  <si>
    <t>G.</t>
  </si>
  <si>
    <t>A.</t>
  </si>
  <si>
    <t>B.</t>
  </si>
  <si>
    <t>C.</t>
  </si>
  <si>
    <t>D.</t>
  </si>
  <si>
    <t>E.</t>
  </si>
  <si>
    <t>F.</t>
  </si>
  <si>
    <t>I.</t>
  </si>
  <si>
    <t>Adjustment % for Districts who are Fully Funded:</t>
  </si>
  <si>
    <t>Adjustment % for Districts who are not Fully Funded:</t>
  </si>
  <si>
    <t>Phase-In</t>
  </si>
  <si>
    <t>Amount</t>
  </si>
  <si>
    <t>2020-2021</t>
  </si>
  <si>
    <t>Fixed ECS</t>
  </si>
  <si>
    <t>Without</t>
  </si>
  <si>
    <t>Alliance HH</t>
  </si>
  <si>
    <t>(10/2020)</t>
  </si>
  <si>
    <t>FY 21</t>
  </si>
  <si>
    <t>(2016/17/18)</t>
  </si>
  <si>
    <t>2021-2022</t>
  </si>
  <si>
    <t>If FRPL % above 60%,</t>
  </si>
  <si>
    <t>% above 60%</t>
  </si>
  <si>
    <t>at 60%</t>
  </si>
  <si>
    <t>(# students above 60%)</t>
  </si>
  <si>
    <t>(20)</t>
  </si>
  <si>
    <t>Endowed</t>
  </si>
  <si>
    <t>Academies</t>
  </si>
  <si>
    <t>Total Bonus &gt;&gt;&gt;</t>
  </si>
  <si>
    <t>x Foundation)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</si>
  <si>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</si>
  <si>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</si>
  <si>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</si>
  <si>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</si>
  <si>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</si>
  <si>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</si>
  <si>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</si>
  <si>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</si>
  <si>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</si>
  <si>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Portion of</t>
  </si>
  <si>
    <t>Need Students</t>
  </si>
  <si>
    <t xml:space="preserve">Portion of </t>
  </si>
  <si>
    <t>Free &amp;</t>
  </si>
  <si>
    <t>(Col 2 x .30)</t>
  </si>
  <si>
    <t xml:space="preserve">Net </t>
  </si>
  <si>
    <t>(Col 1 x .60)</t>
  </si>
  <si>
    <t>Excess</t>
  </si>
  <si>
    <t>(Greater of</t>
  </si>
  <si>
    <t>Col 1 - Col 4</t>
  </si>
  <si>
    <t>or 0)</t>
  </si>
  <si>
    <t>Total Need</t>
  </si>
  <si>
    <t>(Col 5 x .15)</t>
  </si>
  <si>
    <t>(Col 7 x .25)</t>
  </si>
  <si>
    <t>(Col 1 + Col 3</t>
  </si>
  <si>
    <t>+ Col 6 + Col 8)</t>
  </si>
  <si>
    <t xml:space="preserve">Base Aid </t>
  </si>
  <si>
    <t>Ratio Adjustment</t>
  </si>
  <si>
    <t>Ratio</t>
  </si>
  <si>
    <t>(30)</t>
  </si>
  <si>
    <t>(31)</t>
  </si>
  <si>
    <t>(32)</t>
  </si>
  <si>
    <t>(33)</t>
  </si>
  <si>
    <t>(34)</t>
  </si>
  <si>
    <t>(Col 10 / Col 11)</t>
  </si>
  <si>
    <t>(Col 12 /</t>
  </si>
  <si>
    <t>(Col 14 /</t>
  </si>
  <si>
    <t>(1 - ((Col 13 x</t>
  </si>
  <si>
    <t>Col 15 x Item D))</t>
  </si>
  <si>
    <t>Item E or Col 16),</t>
  </si>
  <si>
    <t>Item F or Col 16)</t>
  </si>
  <si>
    <t>(Col 17 + Col 18)</t>
  </si>
  <si>
    <t>(Col 20 x</t>
  </si>
  <si>
    <t>Col 21) x $100</t>
  </si>
  <si>
    <t>(Col 23 x</t>
  </si>
  <si>
    <t>Col 24) x $100</t>
  </si>
  <si>
    <t>(Col 9 x Col 19</t>
  </si>
  <si>
    <t>(Col 22 +</t>
  </si>
  <si>
    <t>Col 25 + Col 26)</t>
  </si>
  <si>
    <t>Value of Col 28</t>
  </si>
  <si>
    <t>- Col 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</si>
</sst>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164" formatCode="#,##0.000000_);[Red]\(#,##0.000000\)"/>
    <numFmt numFmtId="165" formatCode="#,##0.000_);\(#,##0.000\)"/>
    <numFmt numFmtId="166" formatCode="0.000000%"/>
    <numFmt numFmtId="167" formatCode="#,##0.000000_);\(#,##0.000000\)"/>
    <numFmt numFmtId="168" formatCode="0.0%"/>
    <numFmt numFmtId="169" formatCode="_(* #,##0_);[Red]_(* \(#,##0\);_(* \-_);_(@_)"/>
    <numFmt numFmtId="170" formatCode="0.000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9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9" fontId="1" fillId="0" borderId="0" applyFont="0" applyFill="0" applyBorder="0" applyAlignment="0" applyProtection="0"/>
    <xf numFmtId="0" fontId="8" fillId="0" borderId="0" applyFill="0" applyBorder="0">
      <alignment horizontal="center" wrapText="1"/>
    </xf>
    <xf numFmtId="169" fontId="9" fillId="0" borderId="1" applyFill="0"/>
    <xf numFmtId="0" fontId="9" fillId="0" borderId="1" applyFill="0"/>
    <xf numFmtId="0" fontId="8" fillId="0" borderId="0" applyNumberFormat="0" applyFill="0" applyBorder="0">
      <alignment horizontal="left" wrapText="1"/>
    </xf>
    <xf numFmtId="0" fontId="10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6" applyNumberFormat="0" applyAlignment="0" applyProtection="0"/>
    <xf numFmtId="0" fontId="18" fillId="11" borderId="7" applyNumberFormat="0" applyAlignment="0" applyProtection="0"/>
    <xf numFmtId="0" fontId="19" fillId="11" borderId="6" applyNumberFormat="0" applyAlignment="0" applyProtection="0"/>
    <xf numFmtId="0" fontId="20" fillId="0" borderId="8" applyNumberFormat="0" applyFill="0" applyAlignment="0" applyProtection="0"/>
    <xf numFmtId="0" fontId="21" fillId="12" borderId="9" applyNumberFormat="0" applyAlignment="0" applyProtection="0"/>
    <xf numFmtId="0" fontId="22" fillId="0" borderId="0" applyNumberFormat="0" applyFill="0" applyBorder="0" applyAlignment="0" applyProtection="0"/>
    <xf numFmtId="0" fontId="1" fillId="13" borderId="10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5" fillId="33" borderId="0" applyNumberFormat="0" applyBorder="0" applyAlignment="0" applyProtection="0"/>
    <xf numFmtId="0" fontId="25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5" fillId="37" borderId="0" applyNumberFormat="0" applyBorder="0" applyAlignment="0" applyProtection="0"/>
    <xf numFmtId="0" fontId="26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15" fontId="3" fillId="0" borderId="0" xfId="0" quotePrefix="1" applyNumberFormat="1" applyFont="1" applyFill="1"/>
    <xf numFmtId="0" fontId="2" fillId="0" borderId="0" xfId="0" applyNumberFormat="1" applyFont="1" applyFill="1"/>
    <xf numFmtId="0" fontId="2" fillId="0" borderId="0" xfId="0" applyNumberFormat="1" applyFont="1" applyFill="1" applyAlignment="1">
      <alignment horizontal="right"/>
    </xf>
    <xf numFmtId="0" fontId="3" fillId="0" borderId="0" xfId="0" applyNumberFormat="1" applyFont="1" applyFill="1"/>
    <xf numFmtId="10" fontId="2" fillId="0" borderId="0" xfId="0" applyNumberFormat="1" applyFont="1" applyFill="1"/>
    <xf numFmtId="164" fontId="2" fillId="0" borderId="0" xfId="0" applyNumberFormat="1" applyFont="1"/>
    <xf numFmtId="0" fontId="2" fillId="0" borderId="0" xfId="0" applyNumberFormat="1" applyFont="1" applyFill="1" applyAlignment="1">
      <alignment horizontal="center"/>
    </xf>
    <xf numFmtId="39" fontId="2" fillId="0" borderId="0" xfId="0" applyNumberFormat="1" applyFont="1" applyFill="1"/>
    <xf numFmtId="165" fontId="2" fillId="0" borderId="0" xfId="0" applyNumberFormat="1" applyFont="1" applyFill="1"/>
    <xf numFmtId="37" fontId="2" fillId="0" borderId="0" xfId="0" applyNumberFormat="1" applyFont="1" applyFill="1"/>
    <xf numFmtId="5" fontId="2" fillId="0" borderId="0" xfId="0" applyNumberFormat="1" applyFont="1" applyFill="1"/>
    <xf numFmtId="166" fontId="2" fillId="0" borderId="0" xfId="0" applyNumberFormat="1" applyFont="1" applyFill="1"/>
    <xf numFmtId="0" fontId="2" fillId="0" borderId="0" xfId="0" applyFont="1" applyAlignment="1">
      <alignment horizontal="right"/>
    </xf>
    <xf numFmtId="0" fontId="2" fillId="0" borderId="0" xfId="0" quotePrefix="1" applyNumberFormat="1" applyFont="1" applyFill="1"/>
    <xf numFmtId="37" fontId="3" fillId="0" borderId="0" xfId="0" applyNumberFormat="1" applyFont="1" applyFill="1"/>
    <xf numFmtId="40" fontId="2" fillId="0" borderId="0" xfId="0" applyNumberFormat="1" applyFont="1" applyFill="1"/>
    <xf numFmtId="164" fontId="2" fillId="0" borderId="0" xfId="0" applyNumberFormat="1" applyFont="1" applyFill="1" applyAlignment="1">
      <alignment horizontal="center"/>
    </xf>
    <xf numFmtId="0" fontId="4" fillId="0" borderId="0" xfId="0" applyNumberFormat="1" applyFont="1" applyFill="1" applyAlignment="1">
      <alignment horizontal="right"/>
    </xf>
    <xf numFmtId="167" fontId="2" fillId="0" borderId="0" xfId="0" applyNumberFormat="1" applyFont="1" applyFill="1"/>
    <xf numFmtId="3" fontId="2" fillId="0" borderId="0" xfId="0" applyNumberFormat="1" applyFont="1"/>
    <xf numFmtId="0" fontId="2" fillId="0" borderId="0" xfId="0" quotePrefix="1" applyFont="1" applyAlignment="1">
      <alignment horizontal="center"/>
    </xf>
    <xf numFmtId="0" fontId="3" fillId="0" borderId="0" xfId="0" quotePrefix="1" applyNumberFormat="1" applyFont="1" applyFill="1" applyAlignment="1">
      <alignment horizontal="center"/>
    </xf>
    <xf numFmtId="0" fontId="5" fillId="0" borderId="0" xfId="0" applyNumberFormat="1" applyFont="1" applyFill="1" applyAlignment="1">
      <alignment horizontal="center"/>
    </xf>
    <xf numFmtId="0" fontId="3" fillId="0" borderId="0" xfId="0" applyNumberFormat="1" applyFont="1" applyFill="1" applyAlignment="1">
      <alignment horizontal="center"/>
    </xf>
    <xf numFmtId="40" fontId="5" fillId="0" borderId="0" xfId="0" applyNumberFormat="1" applyFont="1" applyFill="1"/>
    <xf numFmtId="6" fontId="5" fillId="0" borderId="0" xfId="0" applyNumberFormat="1" applyFont="1" applyFill="1" applyAlignment="1">
      <alignment horizontal="center"/>
    </xf>
    <xf numFmtId="0" fontId="4" fillId="0" borderId="0" xfId="0" quotePrefix="1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8" fontId="5" fillId="0" borderId="0" xfId="0" applyNumberFormat="1" applyFont="1" applyFill="1" applyAlignment="1">
      <alignment horizontal="center"/>
    </xf>
    <xf numFmtId="5" fontId="5" fillId="0" borderId="0" xfId="0" applyNumberFormat="1" applyFont="1" applyFill="1"/>
    <xf numFmtId="0" fontId="2" fillId="0" borderId="0" xfId="0" applyFont="1" applyAlignment="1">
      <alignment horizontal="center"/>
    </xf>
    <xf numFmtId="0" fontId="2" fillId="0" borderId="0" xfId="0" quotePrefix="1" applyNumberFormat="1" applyFont="1" applyFill="1" applyAlignment="1">
      <alignment horizontal="center"/>
    </xf>
    <xf numFmtId="4" fontId="6" fillId="0" borderId="0" xfId="0" applyNumberFormat="1" applyFont="1"/>
    <xf numFmtId="3" fontId="6" fillId="0" borderId="0" xfId="0" applyNumberFormat="1" applyFont="1"/>
    <xf numFmtId="40" fontId="2" fillId="0" borderId="0" xfId="0" applyNumberFormat="1" applyFont="1"/>
    <xf numFmtId="164" fontId="2" fillId="0" borderId="0" xfId="0" applyNumberFormat="1" applyFont="1" applyFill="1"/>
    <xf numFmtId="168" fontId="2" fillId="0" borderId="0" xfId="0" applyNumberFormat="1" applyFont="1" applyFill="1"/>
    <xf numFmtId="0" fontId="6" fillId="0" borderId="0" xfId="0" applyFont="1"/>
    <xf numFmtId="0" fontId="7" fillId="0" borderId="0" xfId="0" applyNumberFormat="1" applyFont="1" applyFill="1" applyAlignment="1">
      <alignment horizontal="center"/>
    </xf>
    <xf numFmtId="0" fontId="2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  <xf numFmtId="37" fontId="2" fillId="3" borderId="0" xfId="0" applyNumberFormat="1" applyFont="1" applyFill="1"/>
    <xf numFmtId="37" fontId="2" fillId="2" borderId="0" xfId="0" applyNumberFormat="1" applyFont="1" applyFill="1"/>
    <xf numFmtId="37" fontId="2" fillId="4" borderId="0" xfId="0" applyNumberFormat="1" applyFont="1" applyFill="1"/>
    <xf numFmtId="9" fontId="2" fillId="4" borderId="0" xfId="1" applyFont="1" applyFill="1"/>
    <xf numFmtId="0" fontId="3" fillId="2" borderId="0" xfId="0" quotePrefix="1" applyNumberFormat="1" applyFont="1" applyFill="1" applyAlignment="1">
      <alignment horizontal="center"/>
    </xf>
    <xf numFmtId="3" fontId="3" fillId="4" borderId="0" xfId="0" quotePrefix="1" applyNumberFormat="1" applyFont="1" applyFill="1" applyAlignment="1">
      <alignment horizontal="center"/>
    </xf>
    <xf numFmtId="9" fontId="3" fillId="4" borderId="0" xfId="1" quotePrefix="1" applyFont="1" applyFill="1" applyAlignment="1">
      <alignment horizontal="center"/>
    </xf>
    <xf numFmtId="37" fontId="2" fillId="0" borderId="0" xfId="0" applyNumberFormat="1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2" borderId="0" xfId="0" applyNumberFormat="1" applyFont="1" applyFill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2" fillId="4" borderId="0" xfId="0" applyNumberFormat="1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3" fillId="2" borderId="0" xfId="0" applyNumberFormat="1" applyFont="1" applyFill="1" applyAlignment="1">
      <alignment horizontal="center"/>
    </xf>
    <xf numFmtId="0" fontId="3" fillId="3" borderId="0" xfId="0" applyNumberFormat="1" applyFont="1" applyFill="1" applyAlignment="1">
      <alignment horizontal="center"/>
    </xf>
    <xf numFmtId="0" fontId="3" fillId="4" borderId="0" xfId="0" applyNumberFormat="1" applyFont="1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2" fillId="3" borderId="0" xfId="0" quotePrefix="1" applyFont="1" applyFill="1" applyAlignment="1">
      <alignment horizontal="center"/>
    </xf>
    <xf numFmtId="0" fontId="2" fillId="4" borderId="0" xfId="0" quotePrefix="1" applyFont="1" applyFill="1" applyAlignment="1">
      <alignment horizontal="center"/>
    </xf>
    <xf numFmtId="168" fontId="6" fillId="0" borderId="0" xfId="0" applyNumberFormat="1" applyFont="1"/>
    <xf numFmtId="3" fontId="6" fillId="2" borderId="0" xfId="0" applyNumberFormat="1" applyFont="1" applyFill="1"/>
    <xf numFmtId="3" fontId="6" fillId="3" borderId="0" xfId="0" applyNumberFormat="1" applyFont="1" applyFill="1"/>
    <xf numFmtId="9" fontId="6" fillId="0" borderId="0" xfId="1" applyFont="1"/>
    <xf numFmtId="37" fontId="3" fillId="6" borderId="0" xfId="0" quotePrefix="1" applyNumberFormat="1" applyFont="1" applyFill="1" applyAlignment="1">
      <alignment horizontal="center"/>
    </xf>
    <xf numFmtId="4" fontId="2" fillId="0" borderId="0" xfId="0" applyNumberFormat="1" applyFont="1" applyFill="1"/>
    <xf numFmtId="170" fontId="2" fillId="0" borderId="0" xfId="0" applyNumberFormat="1" applyFont="1" applyFill="1"/>
    <xf numFmtId="37" fontId="2" fillId="0" borderId="0" xfId="0" applyNumberFormat="1" applyFont="1" applyFill="1" applyAlignment="1">
      <alignment horizontal="center"/>
    </xf>
    <xf numFmtId="10" fontId="2" fillId="0" borderId="0" xfId="0" applyNumberFormat="1" applyFont="1"/>
    <xf numFmtId="170" fontId="6" fillId="0" borderId="0" xfId="0" applyNumberFormat="1" applyFont="1"/>
    <xf numFmtId="4" fontId="4" fillId="5" borderId="2" xfId="0" applyNumberFormat="1" applyFont="1" applyFill="1" applyBorder="1" applyAlignment="1">
      <alignment horizontal="right"/>
    </xf>
    <xf numFmtId="4" fontId="0" fillId="0" borderId="0" xfId="0" applyNumberFormat="1"/>
    <xf numFmtId="3" fontId="0" fillId="0" borderId="0" xfId="0" applyNumberFormat="1"/>
    <xf numFmtId="0" fontId="27" fillId="0" borderId="2" xfId="0" applyFont="1" applyFill="1" applyBorder="1"/>
    <xf numFmtId="0" fontId="27" fillId="38" borderId="2" xfId="0" applyFont="1" applyFill="1" applyBorder="1"/>
    <xf numFmtId="0" fontId="27" fillId="39" borderId="2" xfId="0" applyFont="1" applyFill="1" applyBorder="1"/>
    <xf numFmtId="3" fontId="24" fillId="0" borderId="0" xfId="0" applyNumberFormat="1" applyFont="1"/>
    <xf numFmtId="37" fontId="5" fillId="0" borderId="0" xfId="0" applyNumberFormat="1" applyFont="1" applyFill="1"/>
    <xf numFmtId="0" fontId="0" fillId="0" borderId="0" xfId="0" applyNumberFormat="1"/>
    <xf numFmtId="0" fontId="0" fillId="0" borderId="0" xfId="0" applyNumberFormat="1"/>
    <xf numFmtId="0" fontId="3" fillId="0" borderId="0" xfId="0" quotePrefix="1" applyFont="1" applyAlignment="1">
      <alignment horizontal="center"/>
    </xf>
  </cellXfs>
  <cellStyles count="48">
    <cellStyle name="20% - Accent1" xfId="24" builtinId="30" customBuiltin="1"/>
    <cellStyle name="20% - Accent2" xfId="28" builtinId="34" customBuiltin="1"/>
    <cellStyle name="20% - Accent3" xfId="32" builtinId="38" customBuiltin="1"/>
    <cellStyle name="20% - Accent4" xfId="36" builtinId="42" customBuiltin="1"/>
    <cellStyle name="20% - Accent5" xfId="40" builtinId="46" customBuiltin="1"/>
    <cellStyle name="20% - Accent6" xfId="44" builtinId="50" customBuilti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/>
    <cellStyle name="Note" xfId="20" builtinId="10" customBuiltin="1"/>
    <cellStyle name="Number Headers" xfId="2"/>
    <cellStyle name="Numbers" xfId="3"/>
    <cellStyle name="Output" xfId="15" builtinId="21" customBuiltin="1"/>
    <cellStyle name="Percent" xfId="1" builtinId="5"/>
    <cellStyle name="Text" xfId="4"/>
    <cellStyle name="Text Headers" xfId="5"/>
    <cellStyle name="Title" xfId="6" builtinId="15" customBuiltin="1"/>
    <cellStyle name="Title 2" xfId="47"/>
    <cellStyle name="Total" xfId="22" builtinId="25" customBuiltin="1"/>
    <cellStyle name="Warning Text" xfId="1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63"/>
  <sheetViews>
    <sheetView tabSelected="1" topLeftCell="AK15" workbookViewId="0">
      <selection activeCell="AR27" sqref="AR27"/>
    </sheetView>
  </sheetViews>
  <sheetFormatPr defaultColWidth="8.87890625" defaultRowHeight="13.7" x14ac:dyDescent="0.4"/>
  <cols>
    <col min="1" max="7" width="9.1171875" style="3" customWidth="1"/>
    <col min="8" max="8" width="8.87890625" style="3"/>
    <col min="9" max="10" width="19.41015625" style="3" customWidth="1"/>
    <col min="11" max="12" width="16.87890625" style="3" customWidth="1"/>
    <col min="13" max="17" width="15.87890625" style="3" customWidth="1"/>
    <col min="18" max="21" width="15.87890625" style="3" hidden="1" customWidth="1"/>
    <col min="22" max="23" width="15.87890625" style="3" customWidth="1"/>
    <col min="24" max="24" width="15.87890625" style="3" hidden="1" customWidth="1"/>
    <col min="25" max="25" width="16.87890625" style="3" customWidth="1"/>
    <col min="26" max="26" width="25.46875" style="3" customWidth="1"/>
    <col min="27" max="27" width="17.1171875" style="3" customWidth="1"/>
    <col min="28" max="28" width="26.703125" style="3" customWidth="1"/>
    <col min="29" max="29" width="22.41015625" style="3" customWidth="1"/>
    <col min="30" max="30" width="18.41015625" style="3" customWidth="1"/>
    <col min="31" max="31" width="21.703125" style="3" customWidth="1"/>
    <col min="32" max="32" width="18" style="3" customWidth="1"/>
    <col min="33" max="35" width="20.29296875" style="3" customWidth="1"/>
    <col min="36" max="36" width="15.41015625" style="3" customWidth="1"/>
    <col min="37" max="40" width="16.41015625" style="3" customWidth="1"/>
    <col min="41" max="41" width="19.703125" style="3" customWidth="1"/>
    <col min="42" max="42" width="23.1171875" style="3" customWidth="1"/>
    <col min="43" max="50" width="17.87890625" style="3" customWidth="1"/>
    <col min="51" max="51" width="20.41015625" style="41" customWidth="1"/>
    <col min="52" max="52" width="36.41015625" style="42" customWidth="1"/>
    <col min="53" max="55" width="17.87890625" style="3" customWidth="1"/>
    <col min="56" max="56" width="17.1171875" style="1" customWidth="1"/>
    <col min="57" max="57" width="8.87890625" style="1"/>
    <col min="58" max="58" width="15.29296875" style="1" customWidth="1"/>
    <col min="59" max="59" width="13.703125" style="1" customWidth="1"/>
    <col min="60" max="62" width="8.87890625" style="1"/>
    <col min="63" max="67" width="15" style="1" bestFit="1" customWidth="1"/>
    <col min="68" max="16384" width="8.87890625" style="1"/>
  </cols>
  <sheetData>
    <row r="1" spans="1:55" x14ac:dyDescent="0.4">
      <c r="A1" s="1"/>
      <c r="B1" s="2"/>
      <c r="BA1" s="43"/>
      <c r="BB1" s="43"/>
    </row>
    <row r="2" spans="1:55" x14ac:dyDescent="0.4">
      <c r="A2" s="1"/>
      <c r="B2" s="1"/>
      <c r="C2" s="2"/>
      <c r="D2" s="2"/>
      <c r="E2" s="2"/>
      <c r="F2" s="8" t="s">
        <v>290</v>
      </c>
      <c r="G2" s="4"/>
      <c r="H2" s="5" t="s">
        <v>0</v>
      </c>
      <c r="K2" s="1"/>
      <c r="L2" s="6">
        <v>0.3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>
        <v>0.3</v>
      </c>
      <c r="Y2" s="7"/>
      <c r="Z2" s="8"/>
      <c r="BA2" s="43"/>
      <c r="BB2" s="43"/>
    </row>
    <row r="3" spans="1:55" x14ac:dyDescent="0.4">
      <c r="A3" s="1"/>
      <c r="B3" s="1"/>
      <c r="C3" s="2"/>
      <c r="D3" s="2"/>
      <c r="E3" s="2"/>
      <c r="F3" s="8" t="s">
        <v>291</v>
      </c>
      <c r="G3" s="4"/>
      <c r="H3" s="5" t="s">
        <v>1</v>
      </c>
      <c r="L3" s="9">
        <v>1.35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>
        <v>1.35</v>
      </c>
      <c r="Y3" s="7"/>
      <c r="Z3" s="8"/>
      <c r="BA3" s="43"/>
      <c r="BB3" s="43"/>
    </row>
    <row r="4" spans="1:55" x14ac:dyDescent="0.4">
      <c r="A4" s="1"/>
      <c r="B4" s="1"/>
      <c r="C4" s="2"/>
      <c r="D4" s="2"/>
      <c r="E4" s="2"/>
      <c r="F4" s="8" t="s">
        <v>292</v>
      </c>
      <c r="G4" s="4"/>
      <c r="H4" s="5" t="s">
        <v>2</v>
      </c>
      <c r="K4" s="1"/>
      <c r="L4" s="6">
        <v>0.7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>
        <v>0.7</v>
      </c>
      <c r="Y4" s="7"/>
      <c r="Z4" s="8"/>
      <c r="BA4" s="43"/>
      <c r="BB4" s="43"/>
    </row>
    <row r="5" spans="1:55" x14ac:dyDescent="0.4">
      <c r="F5" s="8" t="s">
        <v>293</v>
      </c>
      <c r="G5" s="4"/>
      <c r="H5" s="1" t="s">
        <v>3</v>
      </c>
      <c r="I5" s="1"/>
      <c r="J5" s="1"/>
      <c r="K5" s="1"/>
      <c r="L5" s="6">
        <v>0.3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6">
        <v>0.3</v>
      </c>
      <c r="Y5" s="10"/>
      <c r="AA5" s="8"/>
      <c r="AD5" s="8"/>
      <c r="AE5" s="8"/>
      <c r="AF5" s="8"/>
      <c r="AG5" s="8"/>
      <c r="AH5" s="8"/>
      <c r="AI5" s="8"/>
      <c r="BA5" s="43"/>
      <c r="BB5" s="43"/>
    </row>
    <row r="6" spans="1:55" x14ac:dyDescent="0.4">
      <c r="F6" s="8" t="s">
        <v>294</v>
      </c>
      <c r="G6" s="4"/>
      <c r="H6" s="5" t="s">
        <v>4</v>
      </c>
      <c r="L6" s="6">
        <v>0.01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>
        <v>0.01</v>
      </c>
      <c r="Y6" s="6"/>
      <c r="AA6" s="8"/>
      <c r="AD6" s="8"/>
      <c r="AE6" s="8"/>
      <c r="AF6" s="8"/>
      <c r="AG6" s="8"/>
      <c r="AH6" s="8"/>
      <c r="AI6" s="8"/>
      <c r="BA6" s="43"/>
      <c r="BB6" s="43"/>
    </row>
    <row r="7" spans="1:55" x14ac:dyDescent="0.4">
      <c r="F7" s="8" t="s">
        <v>295</v>
      </c>
      <c r="G7" s="4"/>
      <c r="H7" s="5" t="s">
        <v>5</v>
      </c>
      <c r="L7" s="6">
        <v>0.1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>
        <v>0.1</v>
      </c>
      <c r="Y7" s="6"/>
      <c r="AA7" s="8"/>
      <c r="AD7" s="8"/>
      <c r="AE7" s="8"/>
      <c r="AF7" s="8"/>
      <c r="AG7" s="8"/>
      <c r="AH7" s="8"/>
      <c r="AI7" s="8"/>
      <c r="BA7" s="43"/>
      <c r="BB7" s="43"/>
    </row>
    <row r="8" spans="1:55" x14ac:dyDescent="0.4">
      <c r="F8" s="8" t="s">
        <v>289</v>
      </c>
      <c r="G8" s="4"/>
      <c r="H8" s="5" t="s">
        <v>6</v>
      </c>
      <c r="K8" s="1"/>
      <c r="L8" s="12">
        <v>11525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>
        <v>11525</v>
      </c>
      <c r="AA8" s="8"/>
      <c r="AD8" s="8"/>
      <c r="AE8" s="8"/>
      <c r="AF8" s="8"/>
      <c r="AG8" s="8"/>
      <c r="AH8" s="8"/>
      <c r="AI8" s="8"/>
      <c r="BA8" s="43"/>
      <c r="BB8" s="43"/>
    </row>
    <row r="9" spans="1:55" x14ac:dyDescent="0.4">
      <c r="F9" s="8" t="s">
        <v>288</v>
      </c>
      <c r="G9" s="4"/>
      <c r="H9" s="3" t="s">
        <v>297</v>
      </c>
      <c r="L9" s="6">
        <v>0.1066</v>
      </c>
      <c r="X9" s="6"/>
      <c r="Y9" s="6"/>
      <c r="Z9" s="13"/>
      <c r="AA9" s="8"/>
      <c r="AD9" s="8"/>
      <c r="AE9" s="8"/>
      <c r="AF9" s="8"/>
      <c r="AG9" s="8"/>
      <c r="AH9" s="8"/>
      <c r="AI9" s="8"/>
      <c r="BA9" s="43"/>
      <c r="BB9" s="43"/>
    </row>
    <row r="10" spans="1:55" x14ac:dyDescent="0.4">
      <c r="F10" s="32" t="s">
        <v>296</v>
      </c>
      <c r="G10" s="14"/>
      <c r="H10" s="3" t="s">
        <v>298</v>
      </c>
      <c r="I10" s="1"/>
      <c r="J10" s="1"/>
      <c r="K10" s="1"/>
      <c r="L10" s="73">
        <v>8.3299999999999999E-2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6"/>
      <c r="Y10" s="6"/>
      <c r="Z10" s="13"/>
      <c r="AA10" s="8"/>
      <c r="AD10" s="8"/>
      <c r="AE10" s="8"/>
      <c r="AF10" s="8"/>
      <c r="AG10" s="8"/>
      <c r="AH10" s="8"/>
      <c r="AI10" s="8"/>
      <c r="BA10" s="43"/>
      <c r="BB10" s="43"/>
    </row>
    <row r="11" spans="1:55" x14ac:dyDescent="0.4">
      <c r="F11" s="14"/>
      <c r="G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6"/>
      <c r="Y11" s="6"/>
      <c r="Z11" s="13"/>
      <c r="AA11" s="8"/>
      <c r="AD11" s="8"/>
      <c r="AE11" s="8"/>
      <c r="AF11" s="8"/>
      <c r="AG11" s="8"/>
      <c r="AH11" s="8"/>
      <c r="AI11" s="8"/>
      <c r="AZ11" s="44"/>
      <c r="BA11" s="43"/>
      <c r="BB11" s="43"/>
    </row>
    <row r="12" spans="1:55" hidden="1" x14ac:dyDescent="0.4">
      <c r="F12" s="4" t="s">
        <v>7</v>
      </c>
      <c r="G12" s="4"/>
      <c r="H12" s="3" t="s">
        <v>8</v>
      </c>
      <c r="X12" s="6">
        <v>1.7999999999999999E-2</v>
      </c>
      <c r="AA12" s="8"/>
      <c r="AD12" s="8"/>
      <c r="AE12" s="8"/>
      <c r="AF12" s="8"/>
      <c r="AG12" s="8"/>
      <c r="AH12" s="8"/>
      <c r="AI12" s="8"/>
      <c r="BA12" s="43"/>
      <c r="BB12" s="43"/>
    </row>
    <row r="13" spans="1:55" hidden="1" x14ac:dyDescent="0.4">
      <c r="F13" s="14" t="s">
        <v>9</v>
      </c>
      <c r="G13" s="14"/>
      <c r="H13" s="3" t="s">
        <v>10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6">
        <v>0.14399999999999999</v>
      </c>
      <c r="AA13" s="8"/>
      <c r="AD13" s="8"/>
      <c r="AE13" s="8"/>
      <c r="AF13" s="8"/>
      <c r="AG13" s="8"/>
      <c r="AH13" s="8"/>
      <c r="AI13" s="8"/>
      <c r="BA13" s="43"/>
      <c r="BB13" s="43"/>
    </row>
    <row r="14" spans="1:55" hidden="1" x14ac:dyDescent="0.4">
      <c r="F14" s="14" t="s">
        <v>11</v>
      </c>
      <c r="G14" s="14"/>
      <c r="H14" s="3" t="s">
        <v>12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6">
        <v>0.216</v>
      </c>
      <c r="AA14" s="8"/>
      <c r="AD14" s="8"/>
      <c r="AE14" s="8"/>
      <c r="AF14" s="8"/>
      <c r="AG14" s="8"/>
      <c r="AH14" s="8"/>
      <c r="AI14" s="8"/>
      <c r="BA14" s="43"/>
      <c r="BB14" s="43"/>
    </row>
    <row r="15" spans="1:55" x14ac:dyDescent="0.4">
      <c r="F15" s="14"/>
      <c r="G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6"/>
      <c r="AA15" s="8"/>
      <c r="AD15" s="8"/>
      <c r="AE15" s="8"/>
      <c r="AF15" s="8"/>
      <c r="AG15" s="8"/>
      <c r="AH15" s="8"/>
      <c r="AI15" s="8"/>
      <c r="BA15" s="43"/>
      <c r="BB15" s="43"/>
    </row>
    <row r="16" spans="1:55" x14ac:dyDescent="0.4">
      <c r="H16" s="15"/>
      <c r="K16" s="16"/>
      <c r="L16" s="16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8"/>
      <c r="AA16" s="11"/>
      <c r="AB16" s="8"/>
      <c r="AC16" s="17"/>
      <c r="AD16" s="8"/>
      <c r="AE16" s="8"/>
      <c r="AF16" s="8"/>
      <c r="AG16" s="18"/>
      <c r="AH16" s="18"/>
      <c r="AI16" s="18"/>
      <c r="AJ16" s="11"/>
      <c r="AN16" s="3" t="s">
        <v>316</v>
      </c>
      <c r="AO16" s="82">
        <f>+AO17+AL17</f>
        <v>25189500</v>
      </c>
      <c r="AP16" s="11"/>
      <c r="AQ16" s="11"/>
      <c r="AR16" s="11"/>
      <c r="AS16" s="11"/>
      <c r="AT16" s="11"/>
      <c r="AU16" s="11"/>
      <c r="AV16" s="11"/>
      <c r="AW16" s="11"/>
      <c r="AX16" s="11"/>
      <c r="AY16" s="45"/>
      <c r="AZ16" s="44"/>
      <c r="BA16" s="46"/>
      <c r="BB16" s="47"/>
      <c r="BC16" s="11"/>
    </row>
    <row r="17" spans="1:67" x14ac:dyDescent="0.4">
      <c r="C17" s="11">
        <f>SUM(C27:C195)</f>
        <v>33</v>
      </c>
      <c r="D17" s="11">
        <f>SUM(D27:D195)</f>
        <v>20</v>
      </c>
      <c r="E17" s="11">
        <f>SUM(E27:E195)</f>
        <v>10</v>
      </c>
      <c r="I17" s="19" t="s">
        <v>13</v>
      </c>
      <c r="J17" s="11"/>
      <c r="K17" s="9">
        <f t="shared" ref="K17:AB17" si="0">SUM(K27:K195)</f>
        <v>485403.62000000005</v>
      </c>
      <c r="L17" s="9">
        <f>SUM(L27:L195)</f>
        <v>0</v>
      </c>
      <c r="M17" s="11">
        <f>SUM(M27:M195)</f>
        <v>203961</v>
      </c>
      <c r="N17" s="9">
        <f>SUM(N27:N195)</f>
        <v>61188.299999999974</v>
      </c>
      <c r="O17" s="9">
        <f>SUM(O27:O195)</f>
        <v>291242.12</v>
      </c>
      <c r="P17" s="9">
        <f>SUM(P27:P195)</f>
        <v>18266.560000000001</v>
      </c>
      <c r="Q17" s="9">
        <f>SUM(Q27:Q195)</f>
        <v>2739.9900000000011</v>
      </c>
      <c r="R17" s="11"/>
      <c r="S17" s="11"/>
      <c r="T17" s="11"/>
      <c r="U17" s="9">
        <f t="shared" si="0"/>
        <v>2764.2</v>
      </c>
      <c r="V17" s="11">
        <f t="shared" si="0"/>
        <v>41203</v>
      </c>
      <c r="W17" s="11"/>
      <c r="X17" s="9">
        <f t="shared" si="0"/>
        <v>61188.299999999974</v>
      </c>
      <c r="Y17" s="9">
        <f t="shared" si="0"/>
        <v>559632.6599999998</v>
      </c>
      <c r="Z17" s="9">
        <f t="shared" si="0"/>
        <v>560940019828.7002</v>
      </c>
      <c r="AA17" s="11">
        <f t="shared" si="0"/>
        <v>3569637</v>
      </c>
      <c r="AB17" s="9">
        <f t="shared" si="0"/>
        <v>29182593.820000004</v>
      </c>
      <c r="AC17" s="20">
        <f>SUM(AC27:AC195)</f>
        <v>151.57679299999998</v>
      </c>
      <c r="AD17" s="11">
        <f>SUM(AD27:AD195)</f>
        <v>15510635</v>
      </c>
      <c r="AE17" s="11"/>
      <c r="AF17" s="20">
        <f>SUM(AF27:AF195)</f>
        <v>24.278716000000003</v>
      </c>
      <c r="AG17" s="20">
        <f>SUM(AG27:AG195)</f>
        <v>42.490847000000009</v>
      </c>
      <c r="AH17" s="20"/>
      <c r="AI17" s="20"/>
      <c r="AJ17" s="11">
        <f>SUM(AJ27:AJ195)</f>
        <v>22636</v>
      </c>
      <c r="AL17" s="11">
        <f>SUM(AL27:AL195)</f>
        <v>23720700</v>
      </c>
      <c r="AM17" s="11">
        <f>SUM(AM27:AM195)</f>
        <v>3457</v>
      </c>
      <c r="AO17" s="11">
        <f>SUM(AO27:AO195)</f>
        <v>1468800</v>
      </c>
      <c r="AP17" s="11">
        <f>SUM(AP27:AP195)</f>
        <v>2318162712</v>
      </c>
      <c r="AQ17" s="11">
        <f>SUM(AQ27:AQ195)</f>
        <v>2343352212</v>
      </c>
      <c r="AR17" s="11">
        <f t="shared" ref="AR17:AS17" si="1">SUM(AR27:AR195)</f>
        <v>2017587098</v>
      </c>
      <c r="AS17" s="11">
        <f t="shared" si="1"/>
        <v>529789424</v>
      </c>
      <c r="AT17" s="11"/>
      <c r="AU17" s="11">
        <f>SUM(AU27:AU195)</f>
        <v>2093587133</v>
      </c>
      <c r="AV17" s="11">
        <f t="shared" ref="AV17:AX17" si="2">SUM(AV27:AV195)</f>
        <v>45601056.875399999</v>
      </c>
      <c r="AW17" s="11">
        <f t="shared" si="2"/>
        <v>2139188189.8753998</v>
      </c>
      <c r="AX17" s="11">
        <f t="shared" si="2"/>
        <v>2139188189.8753998</v>
      </c>
      <c r="AY17" s="45"/>
      <c r="AZ17" s="44"/>
      <c r="BA17" s="46"/>
      <c r="BB17" s="46"/>
      <c r="BC17" s="11"/>
      <c r="BD17" s="11"/>
      <c r="BF17" s="11"/>
      <c r="BG17" s="11"/>
      <c r="BK17" s="11"/>
      <c r="BL17" s="11"/>
      <c r="BM17" s="11"/>
      <c r="BN17" s="11"/>
      <c r="BO17" s="11"/>
    </row>
    <row r="18" spans="1:67" x14ac:dyDescent="0.4">
      <c r="I18" s="11"/>
      <c r="J18" s="11"/>
      <c r="K18" s="8" t="s">
        <v>14</v>
      </c>
      <c r="L18" s="8"/>
      <c r="M18" s="22" t="s">
        <v>15</v>
      </c>
      <c r="N18" s="22" t="s">
        <v>16</v>
      </c>
      <c r="O18" s="22" t="s">
        <v>17</v>
      </c>
      <c r="P18" s="22" t="s">
        <v>18</v>
      </c>
      <c r="Q18" s="22" t="s">
        <v>19</v>
      </c>
      <c r="R18" s="22"/>
      <c r="S18" s="22"/>
      <c r="T18" s="22"/>
      <c r="U18" s="22"/>
      <c r="V18" s="22" t="s">
        <v>20</v>
      </c>
      <c r="W18" s="22" t="s">
        <v>21</v>
      </c>
      <c r="X18" s="23" t="s">
        <v>16</v>
      </c>
      <c r="Y18" s="23" t="s">
        <v>22</v>
      </c>
      <c r="Z18" s="23" t="s">
        <v>23</v>
      </c>
      <c r="AA18" s="23" t="s">
        <v>24</v>
      </c>
      <c r="AB18" s="23" t="s">
        <v>25</v>
      </c>
      <c r="AC18" s="23" t="s">
        <v>26</v>
      </c>
      <c r="AD18" s="22" t="s">
        <v>27</v>
      </c>
      <c r="AE18" s="22" t="s">
        <v>28</v>
      </c>
      <c r="AF18" s="22" t="s">
        <v>29</v>
      </c>
      <c r="AG18" s="22" t="s">
        <v>30</v>
      </c>
      <c r="AH18" s="22" t="s">
        <v>31</v>
      </c>
      <c r="AI18" s="22" t="s">
        <v>32</v>
      </c>
      <c r="AJ18" s="23" t="s">
        <v>313</v>
      </c>
      <c r="AK18" s="23" t="s">
        <v>318</v>
      </c>
      <c r="AL18" s="23" t="s">
        <v>319</v>
      </c>
      <c r="AM18" s="23" t="s">
        <v>320</v>
      </c>
      <c r="AN18" s="23" t="s">
        <v>321</v>
      </c>
      <c r="AO18" s="23" t="s">
        <v>322</v>
      </c>
      <c r="AP18" s="23" t="s">
        <v>323</v>
      </c>
      <c r="AQ18" s="23" t="s">
        <v>324</v>
      </c>
      <c r="AR18" s="23" t="s">
        <v>325</v>
      </c>
      <c r="AS18" s="23" t="s">
        <v>326</v>
      </c>
      <c r="AT18" s="23" t="s">
        <v>346</v>
      </c>
      <c r="AU18" s="33" t="s">
        <v>347</v>
      </c>
      <c r="AV18" s="23" t="s">
        <v>348</v>
      </c>
      <c r="AW18" s="23" t="s">
        <v>349</v>
      </c>
      <c r="AX18" s="23" t="s">
        <v>350</v>
      </c>
      <c r="AY18" s="48"/>
      <c r="AZ18" s="69"/>
      <c r="BA18" s="49"/>
      <c r="BB18" s="50"/>
      <c r="BC18" s="23"/>
      <c r="BL18" s="51"/>
      <c r="BM18" s="51"/>
      <c r="BN18" s="51"/>
      <c r="BO18" s="51"/>
    </row>
    <row r="19" spans="1:67" x14ac:dyDescent="0.4">
      <c r="I19" s="11"/>
      <c r="J19" s="11"/>
      <c r="Y19" s="1"/>
      <c r="AB19" s="24" t="s">
        <v>33</v>
      </c>
      <c r="AC19" s="24" t="s">
        <v>34</v>
      </c>
      <c r="AD19" s="24" t="s">
        <v>33</v>
      </c>
      <c r="AE19" s="24" t="s">
        <v>35</v>
      </c>
      <c r="AF19" s="24"/>
      <c r="AG19" s="25" t="s">
        <v>36</v>
      </c>
      <c r="AH19" s="25"/>
      <c r="AI19" s="25"/>
      <c r="AP19" s="24" t="s">
        <v>37</v>
      </c>
      <c r="AQ19" s="1"/>
      <c r="AR19" s="1"/>
      <c r="AS19" s="1"/>
      <c r="AT19" s="1"/>
      <c r="AU19" s="1"/>
      <c r="AV19" s="1"/>
      <c r="AW19" s="1"/>
      <c r="AX19" s="1"/>
      <c r="AY19" s="52"/>
      <c r="AZ19" s="53"/>
      <c r="BA19" s="54"/>
      <c r="BB19" s="54"/>
      <c r="BC19" s="1"/>
    </row>
    <row r="20" spans="1:67" x14ac:dyDescent="0.4">
      <c r="I20" s="11"/>
      <c r="J20" s="11"/>
      <c r="M20" s="25" t="s">
        <v>38</v>
      </c>
      <c r="N20" s="25"/>
      <c r="O20" s="25"/>
      <c r="P20" s="25"/>
      <c r="Q20" s="29" t="s">
        <v>334</v>
      </c>
      <c r="R20" s="25"/>
      <c r="S20" s="25"/>
      <c r="T20" s="25"/>
      <c r="U20" s="25"/>
      <c r="V20" s="25"/>
      <c r="W20" s="25"/>
      <c r="AB20" s="26">
        <f>MEDIAN(AB27:AB195)</f>
        <v>142612.44</v>
      </c>
      <c r="AC20" s="24" t="s">
        <v>39</v>
      </c>
      <c r="AD20" s="27">
        <f>MEDIAN(AD27:AD195)</f>
        <v>89255</v>
      </c>
      <c r="AE20" s="24" t="s">
        <v>39</v>
      </c>
      <c r="AF20" s="8" t="s">
        <v>40</v>
      </c>
      <c r="AG20" s="8" t="s">
        <v>41</v>
      </c>
      <c r="AH20" s="8"/>
      <c r="AI20" s="8"/>
      <c r="AP20" s="28" t="s">
        <v>43</v>
      </c>
      <c r="AQ20" s="8"/>
      <c r="AR20" s="8"/>
      <c r="AS20" s="8"/>
      <c r="AT20" s="8"/>
      <c r="AU20" s="8"/>
      <c r="AV20" s="8"/>
      <c r="AW20" s="8"/>
      <c r="AX20" s="8"/>
      <c r="AY20" s="55"/>
      <c r="AZ20" s="56"/>
      <c r="BA20" s="57"/>
      <c r="BB20" s="57"/>
      <c r="BC20" s="8"/>
    </row>
    <row r="21" spans="1:67" x14ac:dyDescent="0.4">
      <c r="K21" s="8"/>
      <c r="L21" s="8"/>
      <c r="M21" s="29" t="s">
        <v>44</v>
      </c>
      <c r="N21" s="29" t="s">
        <v>280</v>
      </c>
      <c r="O21" s="29"/>
      <c r="P21" s="29" t="s">
        <v>334</v>
      </c>
      <c r="Q21" s="29" t="s">
        <v>65</v>
      </c>
      <c r="R21" s="29"/>
      <c r="S21" s="29"/>
      <c r="T21" s="29"/>
      <c r="U21" s="29"/>
      <c r="V21" s="29"/>
      <c r="W21" s="29" t="s">
        <v>84</v>
      </c>
      <c r="X21" s="1"/>
      <c r="Z21" s="8" t="s">
        <v>45</v>
      </c>
      <c r="AB21" s="8"/>
      <c r="AC21" s="30">
        <f>ROUND(AB20*$X$3,2)</f>
        <v>192526.79</v>
      </c>
      <c r="AD21" s="8" t="s">
        <v>46</v>
      </c>
      <c r="AE21" s="30">
        <f>ROUND(AD20*$X$3,2)</f>
        <v>120494.25</v>
      </c>
      <c r="AF21" s="8" t="s">
        <v>47</v>
      </c>
      <c r="AG21" s="8" t="s">
        <v>48</v>
      </c>
      <c r="AH21" s="8"/>
      <c r="AI21" s="8"/>
      <c r="AJ21" s="8" t="s">
        <v>49</v>
      </c>
      <c r="AK21" s="8" t="s">
        <v>50</v>
      </c>
      <c r="AL21" s="8" t="s">
        <v>42</v>
      </c>
      <c r="AM21" s="8" t="s">
        <v>49</v>
      </c>
      <c r="AN21" s="8" t="s">
        <v>50</v>
      </c>
      <c r="AO21" s="8" t="s">
        <v>314</v>
      </c>
      <c r="AP21" s="31">
        <f>X8</f>
        <v>11525</v>
      </c>
      <c r="AS21" s="8" t="s">
        <v>283</v>
      </c>
      <c r="AW21" s="23" t="s">
        <v>308</v>
      </c>
      <c r="AX21" s="23"/>
      <c r="BA21" s="43"/>
      <c r="BB21" s="43"/>
    </row>
    <row r="22" spans="1:67" x14ac:dyDescent="0.4">
      <c r="K22" s="25" t="s">
        <v>38</v>
      </c>
      <c r="L22" s="25"/>
      <c r="M22" s="29" t="s">
        <v>52</v>
      </c>
      <c r="N22" s="29" t="s">
        <v>329</v>
      </c>
      <c r="O22" s="29" t="s">
        <v>332</v>
      </c>
      <c r="P22" s="29" t="s">
        <v>65</v>
      </c>
      <c r="Q22" s="29" t="s">
        <v>49</v>
      </c>
      <c r="R22" s="29"/>
      <c r="S22" s="29" t="s">
        <v>309</v>
      </c>
      <c r="T22" s="29"/>
      <c r="U22" s="29"/>
      <c r="V22" s="29"/>
      <c r="W22" s="29" t="s">
        <v>327</v>
      </c>
      <c r="X22" s="32" t="s">
        <v>53</v>
      </c>
      <c r="Y22" s="8" t="s">
        <v>54</v>
      </c>
      <c r="Z22" s="8" t="s">
        <v>55</v>
      </c>
      <c r="AB22" s="8" t="s">
        <v>56</v>
      </c>
      <c r="AC22" s="24" t="s">
        <v>57</v>
      </c>
      <c r="AD22" s="8" t="s">
        <v>58</v>
      </c>
      <c r="AE22" s="24" t="s">
        <v>57</v>
      </c>
      <c r="AF22" s="8" t="s">
        <v>59</v>
      </c>
      <c r="AG22" s="8" t="s">
        <v>356</v>
      </c>
      <c r="AH22" s="8" t="s">
        <v>343</v>
      </c>
      <c r="AI22" s="8" t="s">
        <v>343</v>
      </c>
      <c r="AJ22" s="8" t="s">
        <v>60</v>
      </c>
      <c r="AK22" s="8" t="s">
        <v>42</v>
      </c>
      <c r="AL22" s="8" t="s">
        <v>51</v>
      </c>
      <c r="AM22" s="8" t="s">
        <v>60</v>
      </c>
      <c r="AN22" s="8" t="s">
        <v>314</v>
      </c>
      <c r="AO22" s="8" t="s">
        <v>315</v>
      </c>
      <c r="AP22" s="8" t="s">
        <v>61</v>
      </c>
      <c r="AQ22" s="8" t="s">
        <v>62</v>
      </c>
      <c r="AR22" s="8"/>
      <c r="AS22" s="25" t="s">
        <v>47</v>
      </c>
      <c r="AT22" s="8" t="s">
        <v>62</v>
      </c>
      <c r="AU22" s="1"/>
      <c r="AV22" s="1"/>
      <c r="AW22" s="22" t="s">
        <v>302</v>
      </c>
      <c r="AX22" s="22"/>
      <c r="AY22" s="52"/>
      <c r="AZ22" s="58"/>
      <c r="BA22" s="54"/>
      <c r="BB22" s="54"/>
      <c r="BC22" s="1"/>
    </row>
    <row r="23" spans="1:67" x14ac:dyDescent="0.4">
      <c r="A23" s="1"/>
      <c r="B23" s="32"/>
      <c r="C23" s="8"/>
      <c r="D23" s="8" t="s">
        <v>63</v>
      </c>
      <c r="E23" s="8"/>
      <c r="F23" s="8" t="s">
        <v>64</v>
      </c>
      <c r="G23" s="8"/>
      <c r="K23" s="8" t="s">
        <v>65</v>
      </c>
      <c r="L23" s="8"/>
      <c r="M23" s="29" t="s">
        <v>66</v>
      </c>
      <c r="N23" s="29" t="s">
        <v>330</v>
      </c>
      <c r="O23" s="29" t="s">
        <v>65</v>
      </c>
      <c r="P23" s="29" t="s">
        <v>49</v>
      </c>
      <c r="Q23" s="29" t="s">
        <v>327</v>
      </c>
      <c r="R23" s="29"/>
      <c r="S23" s="29" t="s">
        <v>310</v>
      </c>
      <c r="T23" s="29" t="s">
        <v>278</v>
      </c>
      <c r="U23" s="29"/>
      <c r="V23" s="29" t="s">
        <v>84</v>
      </c>
      <c r="W23" s="29" t="s">
        <v>69</v>
      </c>
      <c r="X23" s="8" t="s">
        <v>67</v>
      </c>
      <c r="Y23" s="8" t="s">
        <v>49</v>
      </c>
      <c r="Z23" s="8" t="s">
        <v>68</v>
      </c>
      <c r="AA23" s="8" t="s">
        <v>69</v>
      </c>
      <c r="AB23" s="8" t="s">
        <v>70</v>
      </c>
      <c r="AC23" s="8" t="s">
        <v>71</v>
      </c>
      <c r="AD23" s="8" t="s">
        <v>72</v>
      </c>
      <c r="AE23" s="8" t="s">
        <v>73</v>
      </c>
      <c r="AF23" s="22" t="s">
        <v>354</v>
      </c>
      <c r="AG23" s="25" t="s">
        <v>74</v>
      </c>
      <c r="AH23" s="25" t="s">
        <v>344</v>
      </c>
      <c r="AI23" s="25" t="s">
        <v>345</v>
      </c>
      <c r="AJ23" s="8" t="s">
        <v>42</v>
      </c>
      <c r="AK23" s="8" t="s">
        <v>51</v>
      </c>
      <c r="AL23" s="8" t="s">
        <v>75</v>
      </c>
      <c r="AM23" s="8" t="s">
        <v>314</v>
      </c>
      <c r="AN23" s="8" t="s">
        <v>315</v>
      </c>
      <c r="AO23" s="8" t="s">
        <v>75</v>
      </c>
      <c r="AP23" s="8" t="s">
        <v>76</v>
      </c>
      <c r="AQ23" s="25" t="s">
        <v>77</v>
      </c>
      <c r="AR23" s="25" t="s">
        <v>78</v>
      </c>
      <c r="AS23" s="22" t="s">
        <v>284</v>
      </c>
      <c r="AT23" s="25" t="s">
        <v>285</v>
      </c>
      <c r="AU23" s="25" t="s">
        <v>301</v>
      </c>
      <c r="AV23" s="25"/>
      <c r="AW23" s="25" t="s">
        <v>282</v>
      </c>
      <c r="AX23" s="23" t="s">
        <v>308</v>
      </c>
      <c r="AY23" s="59"/>
      <c r="AZ23" s="60"/>
      <c r="BA23" s="61"/>
      <c r="BB23" s="61"/>
      <c r="BC23" s="25"/>
    </row>
    <row r="24" spans="1:67" x14ac:dyDescent="0.4">
      <c r="B24" s="8" t="s">
        <v>79</v>
      </c>
      <c r="C24" s="25" t="s">
        <v>63</v>
      </c>
      <c r="D24" s="25" t="s">
        <v>80</v>
      </c>
      <c r="E24" s="25" t="s">
        <v>81</v>
      </c>
      <c r="F24" s="25" t="s">
        <v>40</v>
      </c>
      <c r="G24" s="25" t="s">
        <v>279</v>
      </c>
      <c r="H24" s="8" t="s">
        <v>82</v>
      </c>
      <c r="I24" s="3" t="s">
        <v>82</v>
      </c>
      <c r="K24" s="8" t="s">
        <v>49</v>
      </c>
      <c r="L24" s="8"/>
      <c r="M24" s="29" t="s">
        <v>83</v>
      </c>
      <c r="N24" s="29" t="s">
        <v>52</v>
      </c>
      <c r="O24" s="29" t="s">
        <v>49</v>
      </c>
      <c r="P24" s="85" t="s">
        <v>335</v>
      </c>
      <c r="Q24" s="85" t="s">
        <v>338</v>
      </c>
      <c r="R24" s="29"/>
      <c r="S24" s="29"/>
      <c r="T24" s="29" t="s">
        <v>280</v>
      </c>
      <c r="U24" s="29"/>
      <c r="V24" s="8" t="s">
        <v>49</v>
      </c>
      <c r="W24" s="8" t="s">
        <v>328</v>
      </c>
      <c r="X24" s="25" t="s">
        <v>85</v>
      </c>
      <c r="Y24" s="8" t="s">
        <v>341</v>
      </c>
      <c r="Z24" s="8" t="s">
        <v>86</v>
      </c>
      <c r="AA24" s="8" t="s">
        <v>87</v>
      </c>
      <c r="AB24" s="22" t="s">
        <v>88</v>
      </c>
      <c r="AC24" s="8" t="s">
        <v>352</v>
      </c>
      <c r="AD24" s="8" t="s">
        <v>89</v>
      </c>
      <c r="AE24" s="8" t="s">
        <v>353</v>
      </c>
      <c r="AF24" s="33" t="s">
        <v>90</v>
      </c>
      <c r="AG24" s="8" t="s">
        <v>48</v>
      </c>
      <c r="AH24" s="8" t="s">
        <v>59</v>
      </c>
      <c r="AI24" s="33" t="s">
        <v>358</v>
      </c>
      <c r="AJ24" s="8" t="s">
        <v>51</v>
      </c>
      <c r="AK24" s="8" t="s">
        <v>91</v>
      </c>
      <c r="AL24" s="25" t="s">
        <v>359</v>
      </c>
      <c r="AM24" s="8" t="s">
        <v>315</v>
      </c>
      <c r="AN24" s="8" t="s">
        <v>91</v>
      </c>
      <c r="AO24" s="25" t="s">
        <v>361</v>
      </c>
      <c r="AP24" s="25" t="s">
        <v>363</v>
      </c>
      <c r="AQ24" s="22" t="s">
        <v>364</v>
      </c>
      <c r="AR24" s="22" t="s">
        <v>92</v>
      </c>
      <c r="AS24" s="25" t="s">
        <v>366</v>
      </c>
      <c r="AT24" s="22" t="s">
        <v>286</v>
      </c>
      <c r="AU24" s="22" t="s">
        <v>92</v>
      </c>
      <c r="AV24" s="22" t="s">
        <v>299</v>
      </c>
      <c r="AW24" s="22" t="s">
        <v>303</v>
      </c>
      <c r="AX24" s="22" t="s">
        <v>302</v>
      </c>
      <c r="AY24" s="62"/>
      <c r="AZ24" s="63"/>
      <c r="BA24" s="64"/>
      <c r="BB24" s="64"/>
      <c r="BC24" s="22"/>
    </row>
    <row r="25" spans="1:67" x14ac:dyDescent="0.4">
      <c r="A25" s="8" t="s">
        <v>93</v>
      </c>
      <c r="B25" s="8" t="s">
        <v>94</v>
      </c>
      <c r="C25" s="25" t="s">
        <v>94</v>
      </c>
      <c r="D25" s="25" t="s">
        <v>81</v>
      </c>
      <c r="E25" s="25" t="s">
        <v>94</v>
      </c>
      <c r="F25" s="8" t="s">
        <v>95</v>
      </c>
      <c r="G25" s="8" t="s">
        <v>306</v>
      </c>
      <c r="H25" s="8" t="s">
        <v>96</v>
      </c>
      <c r="I25" s="3" t="s">
        <v>97</v>
      </c>
      <c r="K25" s="25" t="s">
        <v>305</v>
      </c>
      <c r="L25" s="25"/>
      <c r="M25" s="29">
        <v>2020</v>
      </c>
      <c r="N25" s="85" t="s">
        <v>331</v>
      </c>
      <c r="O25" s="85" t="s">
        <v>333</v>
      </c>
      <c r="P25" s="85" t="s">
        <v>336</v>
      </c>
      <c r="Q25" s="85" t="s">
        <v>49</v>
      </c>
      <c r="R25" s="29"/>
      <c r="S25" s="29"/>
      <c r="T25" s="29" t="s">
        <v>311</v>
      </c>
      <c r="U25" s="29"/>
      <c r="V25" s="29">
        <v>2020</v>
      </c>
      <c r="W25" s="33" t="s">
        <v>340</v>
      </c>
      <c r="X25" s="8" t="s">
        <v>98</v>
      </c>
      <c r="Y25" s="33" t="s">
        <v>342</v>
      </c>
      <c r="Z25" s="25" t="s">
        <v>307</v>
      </c>
      <c r="AA25" s="8">
        <v>2018</v>
      </c>
      <c r="AB25" s="25" t="s">
        <v>351</v>
      </c>
      <c r="AC25" s="25" t="s">
        <v>99</v>
      </c>
      <c r="AD25" s="8">
        <v>2018</v>
      </c>
      <c r="AE25" s="25" t="s">
        <v>99</v>
      </c>
      <c r="AF25" s="25" t="s">
        <v>355</v>
      </c>
      <c r="AG25" s="8" t="s">
        <v>357</v>
      </c>
      <c r="AH25" s="8"/>
      <c r="AI25" s="8"/>
      <c r="AJ25" s="25" t="s">
        <v>305</v>
      </c>
      <c r="AK25" s="25" t="s">
        <v>305</v>
      </c>
      <c r="AL25" s="25" t="s">
        <v>360</v>
      </c>
      <c r="AM25" s="25" t="s">
        <v>305</v>
      </c>
      <c r="AN25" s="25" t="s">
        <v>305</v>
      </c>
      <c r="AO25" s="25" t="s">
        <v>362</v>
      </c>
      <c r="AP25" s="8" t="s">
        <v>317</v>
      </c>
      <c r="AQ25" s="25" t="s">
        <v>365</v>
      </c>
      <c r="AR25" s="25" t="s">
        <v>281</v>
      </c>
      <c r="AS25" s="33" t="s">
        <v>367</v>
      </c>
      <c r="AT25" s="23" t="s">
        <v>287</v>
      </c>
      <c r="AU25" s="25" t="s">
        <v>282</v>
      </c>
      <c r="AV25" s="25" t="s">
        <v>300</v>
      </c>
      <c r="AW25" s="25" t="s">
        <v>304</v>
      </c>
      <c r="AX25" s="25" t="s">
        <v>282</v>
      </c>
      <c r="AY25" s="59"/>
      <c r="AZ25" s="60"/>
      <c r="BA25" s="61"/>
      <c r="BB25" s="61"/>
      <c r="BC25" s="25"/>
    </row>
    <row r="26" spans="1:67" x14ac:dyDescent="0.4">
      <c r="C26" s="5"/>
      <c r="D26" s="5"/>
      <c r="E26" s="5"/>
      <c r="F26" s="5"/>
      <c r="G26" s="5"/>
      <c r="P26" s="8" t="s">
        <v>337</v>
      </c>
      <c r="Q26" s="33" t="s">
        <v>339</v>
      </c>
      <c r="T26" s="3" t="s">
        <v>312</v>
      </c>
      <c r="BA26" s="43"/>
      <c r="BB26" s="43"/>
    </row>
    <row r="27" spans="1:67" ht="14.35" x14ac:dyDescent="0.5">
      <c r="A27" s="8" t="s">
        <v>100</v>
      </c>
      <c r="B27" s="8"/>
      <c r="C27" s="25"/>
      <c r="D27" s="25"/>
      <c r="E27" s="25"/>
      <c r="F27" s="1">
        <v>7</v>
      </c>
      <c r="G27" s="78">
        <v>63</v>
      </c>
      <c r="H27" s="8">
        <v>1</v>
      </c>
      <c r="I27" s="3" t="s">
        <v>101</v>
      </c>
      <c r="J27" s="70"/>
      <c r="K27" s="76">
        <v>386.97</v>
      </c>
      <c r="L27" s="78"/>
      <c r="M27" s="77">
        <v>92</v>
      </c>
      <c r="N27" s="76">
        <f>ROUND(M27*0.3,2)</f>
        <v>27.6</v>
      </c>
      <c r="O27" s="76">
        <f>ROUND(K27*0.6,2)</f>
        <v>232.18</v>
      </c>
      <c r="P27" s="76">
        <f>MAX(M27-O27,0)</f>
        <v>0</v>
      </c>
      <c r="Q27" s="76">
        <f>ROUND(P27*0.15,2)</f>
        <v>0</v>
      </c>
      <c r="R27" s="65">
        <f>ROUND(M27/K27,2)</f>
        <v>0.24</v>
      </c>
      <c r="S27" s="65">
        <f>IF(R27&gt;0.6,+R27-0.6,0)</f>
        <v>0</v>
      </c>
      <c r="T27" s="34">
        <f>ROUND(S27*K27,2)</f>
        <v>0</v>
      </c>
      <c r="U27" s="34">
        <f>ROUND(T27*0.15,2)</f>
        <v>0</v>
      </c>
      <c r="V27" s="77">
        <v>3</v>
      </c>
      <c r="W27" s="76">
        <f>ROUND(V27*0.25,2)</f>
        <v>0.75</v>
      </c>
      <c r="X27" s="36">
        <f>ROUND(M27*$X$2,2)</f>
        <v>27.6</v>
      </c>
      <c r="Y27" s="9">
        <f>+K27+N27+Q27+W27</f>
        <v>415.32000000000005</v>
      </c>
      <c r="Z27" s="76">
        <v>384616220</v>
      </c>
      <c r="AA27" s="77">
        <v>3223</v>
      </c>
      <c r="AB27" s="17">
        <f t="shared" ref="AB27:AB90" si="3">ROUND(Z27/AA27,2)</f>
        <v>119334.85</v>
      </c>
      <c r="AC27" s="37">
        <f t="shared" ref="AC27:AC90" si="4">(ROUND(AB27/$AC$21,6))</f>
        <v>0.61983500000000002</v>
      </c>
      <c r="AD27" s="77">
        <v>101098</v>
      </c>
      <c r="AE27" s="37">
        <f t="shared" ref="AE27:AE90" si="5">(ROUND(AD27/$AE$21,6))</f>
        <v>0.839028</v>
      </c>
      <c r="AF27" s="37">
        <f>ROUND(1-((AC27*$L$4)+(AE27*$L$5)),6)</f>
        <v>0.31440699999999999</v>
      </c>
      <c r="AG27" s="71">
        <f>IF(C27=1,MAX($L$7,AF27),MAX($L$6,AF27))</f>
        <v>0.31440699999999999</v>
      </c>
      <c r="AH27" s="38">
        <f>IF(G27&gt;=1,IF(G27&lt;=5,0.06,IF(G27&lt;=10,0.05,IF(G27&lt;=15,0.04,IF(G27&lt;=19,0.03,0)))),0)</f>
        <v>0</v>
      </c>
      <c r="AI27" s="74">
        <f>+AH27+AG27</f>
        <v>0.31440699999999999</v>
      </c>
      <c r="AJ27" s="77">
        <v>234</v>
      </c>
      <c r="AK27" s="77">
        <v>6</v>
      </c>
      <c r="AL27" s="11">
        <f>ROUND(AJ27*AK27*100,0)</f>
        <v>140400</v>
      </c>
      <c r="AM27" s="83">
        <v>1</v>
      </c>
      <c r="AN27" s="84">
        <v>4</v>
      </c>
      <c r="AO27" s="11">
        <f>ROUND(AM27*AN27*100,0)</f>
        <v>400</v>
      </c>
      <c r="AP27" s="11">
        <f>ROUND(Y27*AI27*$AP$21,0)</f>
        <v>1504929</v>
      </c>
      <c r="AQ27" s="11">
        <f>SUM(AL27+AO27+AP27)</f>
        <v>1645729</v>
      </c>
      <c r="AR27" s="35">
        <v>2331185</v>
      </c>
      <c r="AS27" s="11">
        <f>ABS(SUM(AR27,-AQ27))</f>
        <v>685456</v>
      </c>
      <c r="AT27" s="72" t="str">
        <f>IF(AQ27&gt;AR27,"Yes","No")</f>
        <v>No</v>
      </c>
      <c r="AU27" s="77">
        <v>2004782</v>
      </c>
      <c r="AV27" s="35">
        <f>IF(AT27="Yes",+AS27*$L$9,0)</f>
        <v>0</v>
      </c>
      <c r="AW27" s="35">
        <f t="shared" ref="AW27:AW90" si="6">IF(AT27="Yes",+AU27+AV27,+AU27-AV27)</f>
        <v>2004782</v>
      </c>
      <c r="AX27" s="35">
        <f>IF(C27=1,MAX(AW27,AR27),AW27)</f>
        <v>2004782</v>
      </c>
      <c r="AY27" s="66"/>
      <c r="AZ27" s="67"/>
      <c r="BA27" s="35"/>
      <c r="BB27" s="68"/>
      <c r="BC27" s="35"/>
      <c r="BD27" s="21"/>
      <c r="BF27" s="21"/>
      <c r="BG27" s="21"/>
      <c r="BK27" s="21"/>
      <c r="BL27" s="21"/>
      <c r="BM27" s="21"/>
      <c r="BN27" s="21"/>
      <c r="BO27" s="21"/>
    </row>
    <row r="28" spans="1:67" ht="14.35" x14ac:dyDescent="0.5">
      <c r="A28" s="8" t="s">
        <v>102</v>
      </c>
      <c r="B28" s="40"/>
      <c r="C28" s="25">
        <v>1</v>
      </c>
      <c r="D28" s="25">
        <v>1</v>
      </c>
      <c r="E28" s="25"/>
      <c r="F28" s="1">
        <v>10</v>
      </c>
      <c r="G28" s="79">
        <v>10</v>
      </c>
      <c r="H28" s="8">
        <v>2</v>
      </c>
      <c r="I28" s="3" t="s">
        <v>103</v>
      </c>
      <c r="J28" s="70"/>
      <c r="K28" s="76">
        <v>2388.0700000000002</v>
      </c>
      <c r="L28" s="79"/>
      <c r="M28" s="77">
        <v>1585</v>
      </c>
      <c r="N28" s="76">
        <f t="shared" ref="N28:N91" si="7">ROUND(M28*0.3,2)</f>
        <v>475.5</v>
      </c>
      <c r="O28" s="76">
        <f t="shared" ref="O28:O91" si="8">ROUND(K28*0.6,2)</f>
        <v>1432.84</v>
      </c>
      <c r="P28" s="76">
        <f t="shared" ref="P28:P91" si="9">MAX(M28-O28,0)</f>
        <v>152.16000000000008</v>
      </c>
      <c r="Q28" s="76">
        <f t="shared" ref="Q28:Q91" si="10">ROUND(P28*0.15,2)</f>
        <v>22.82</v>
      </c>
      <c r="R28" s="65">
        <f t="shared" ref="R28:R91" si="11">ROUND(M28/K28,2)</f>
        <v>0.66</v>
      </c>
      <c r="S28" s="65">
        <f>IF(R28&gt;0.6,+R28-0.6,0)</f>
        <v>6.0000000000000053E-2</v>
      </c>
      <c r="T28" s="34">
        <f>ROUND(S28*K28,2)</f>
        <v>143.28</v>
      </c>
      <c r="U28" s="34">
        <f t="shared" ref="U28:U91" si="12">ROUND(T28*0.15,2)</f>
        <v>21.49</v>
      </c>
      <c r="V28" s="77">
        <v>133</v>
      </c>
      <c r="W28" s="76">
        <f t="shared" ref="W28:W91" si="13">ROUND(V28*0.25,2)</f>
        <v>33.25</v>
      </c>
      <c r="X28" s="36">
        <f>ROUND(M28*$X$2,2)</f>
        <v>475.5</v>
      </c>
      <c r="Y28" s="9">
        <f t="shared" ref="Y28:Y91" si="14">+K28+N28+Q28+W28</f>
        <v>2919.6400000000003</v>
      </c>
      <c r="Z28" s="76">
        <v>1478593672.6700001</v>
      </c>
      <c r="AA28" s="77">
        <v>18860</v>
      </c>
      <c r="AB28" s="17">
        <f t="shared" si="3"/>
        <v>78398.39</v>
      </c>
      <c r="AC28" s="37">
        <f t="shared" si="4"/>
        <v>0.40720800000000001</v>
      </c>
      <c r="AD28" s="77">
        <v>53540</v>
      </c>
      <c r="AE28" s="37">
        <f t="shared" si="5"/>
        <v>0.44433699999999998</v>
      </c>
      <c r="AF28" s="37">
        <f>ROUND(1-((AC28*$L$4)+(AE28*$L$5)),6)</f>
        <v>0.58165299999999998</v>
      </c>
      <c r="AG28" s="71">
        <f t="shared" ref="AG28:AG91" si="15">IF(C28=1,MAX($L$7,AF28),MAX($L$6,AF28))</f>
        <v>0.58165299999999998</v>
      </c>
      <c r="AH28" s="38">
        <f>IF(G28&gt;=1,IF(G28&lt;=5,0.06,IF(G28&lt;=10,0.05,IF(G28&lt;=15,0.04,IF(G28&lt;=19,0.03,0)))),0)</f>
        <v>0.05</v>
      </c>
      <c r="AI28" s="74">
        <f t="shared" ref="AI28:AI91" si="16">+AH28+AG28</f>
        <v>0.63165300000000002</v>
      </c>
      <c r="AJ28" s="77">
        <v>0</v>
      </c>
      <c r="AK28" s="77">
        <v>0</v>
      </c>
      <c r="AL28" s="11">
        <f t="shared" ref="AL28:AL91" si="17">ROUND(AJ28*AK28*100,0)</f>
        <v>0</v>
      </c>
      <c r="AM28" s="83"/>
      <c r="AN28" s="84"/>
      <c r="AO28" s="11">
        <f t="shared" ref="AO28:AO91" si="18">ROUND(AM28*AN28*100,0)</f>
        <v>0</v>
      </c>
      <c r="AP28" s="11">
        <f>ROUND(Y28*AI28*$AP$21,0)</f>
        <v>21254398</v>
      </c>
      <c r="AQ28" s="11">
        <f t="shared" ref="AQ28:AQ91" si="19">SUM(AL28+AO28+AP28)</f>
        <v>21254398</v>
      </c>
      <c r="AR28" s="35">
        <v>16473543</v>
      </c>
      <c r="AS28" s="11">
        <f t="shared" ref="AS28:AS91" si="20">ABS(SUM(AR28,-AQ28))</f>
        <v>4780855</v>
      </c>
      <c r="AT28" s="72" t="str">
        <f t="shared" ref="AT28:AT91" si="21">IF(AQ28&gt;AR28,"Yes","No")</f>
        <v>Yes</v>
      </c>
      <c r="AU28" s="77">
        <v>17938428</v>
      </c>
      <c r="AV28" s="35">
        <f t="shared" ref="AV28:AV91" si="22">IF(AT28="Yes",+AS28*$L$9,0)</f>
        <v>509639.14299999998</v>
      </c>
      <c r="AW28" s="35">
        <f t="shared" si="6"/>
        <v>18448067.142999999</v>
      </c>
      <c r="AX28" s="35">
        <f>IF(C28=1,MAX(AW28,AR28),AW28)</f>
        <v>18448067.142999999</v>
      </c>
      <c r="AY28" s="66"/>
      <c r="AZ28" s="67"/>
      <c r="BA28" s="35"/>
      <c r="BB28" s="68"/>
      <c r="BC28" s="35"/>
      <c r="BD28" s="21"/>
      <c r="BF28" s="21"/>
      <c r="BG28" s="21"/>
      <c r="BK28" s="21"/>
      <c r="BL28" s="21"/>
      <c r="BM28" s="21"/>
      <c r="BN28" s="21"/>
      <c r="BO28" s="21"/>
    </row>
    <row r="29" spans="1:67" ht="14.35" x14ac:dyDescent="0.5">
      <c r="A29" s="8" t="s">
        <v>104</v>
      </c>
      <c r="B29" s="8"/>
      <c r="C29" s="25"/>
      <c r="D29" s="25"/>
      <c r="E29" s="25"/>
      <c r="F29" s="1">
        <v>8</v>
      </c>
      <c r="G29" s="78">
        <v>46</v>
      </c>
      <c r="H29" s="8">
        <v>3</v>
      </c>
      <c r="I29" s="3" t="s">
        <v>105</v>
      </c>
      <c r="J29" s="70"/>
      <c r="K29" s="76">
        <v>517.82000000000005</v>
      </c>
      <c r="L29" s="78"/>
      <c r="M29" s="77">
        <v>190</v>
      </c>
      <c r="N29" s="76">
        <f t="shared" si="7"/>
        <v>57</v>
      </c>
      <c r="O29" s="76">
        <f t="shared" si="8"/>
        <v>310.69</v>
      </c>
      <c r="P29" s="76">
        <f t="shared" si="9"/>
        <v>0</v>
      </c>
      <c r="Q29" s="76">
        <f t="shared" si="10"/>
        <v>0</v>
      </c>
      <c r="R29" s="65">
        <f t="shared" si="11"/>
        <v>0.37</v>
      </c>
      <c r="S29" s="65">
        <f>IF(R29&gt;0.6,+R29-0.6,0)</f>
        <v>0</v>
      </c>
      <c r="T29" s="34">
        <f>ROUND(S29*K29,2)</f>
        <v>0</v>
      </c>
      <c r="U29" s="34">
        <f t="shared" si="12"/>
        <v>0</v>
      </c>
      <c r="V29" s="77">
        <v>6</v>
      </c>
      <c r="W29" s="76">
        <f t="shared" si="13"/>
        <v>1.5</v>
      </c>
      <c r="X29" s="36">
        <f>ROUND(M29*$X$2,2)</f>
        <v>57</v>
      </c>
      <c r="Y29" s="9">
        <f t="shared" si="14"/>
        <v>576.32000000000005</v>
      </c>
      <c r="Z29" s="76">
        <v>454121204.32999998</v>
      </c>
      <c r="AA29" s="77">
        <v>4234</v>
      </c>
      <c r="AB29" s="17">
        <f t="shared" si="3"/>
        <v>107255.83</v>
      </c>
      <c r="AC29" s="37">
        <f t="shared" si="4"/>
        <v>0.55709600000000004</v>
      </c>
      <c r="AD29" s="77">
        <v>68269</v>
      </c>
      <c r="AE29" s="37">
        <f t="shared" si="5"/>
        <v>0.56657500000000005</v>
      </c>
      <c r="AF29" s="37">
        <f t="shared" ref="AF29:AF92" si="23">ROUND(1-((AC29*$L$4)+(AE29*$L$5)),6)</f>
        <v>0.44006000000000001</v>
      </c>
      <c r="AG29" s="71">
        <f t="shared" si="15"/>
        <v>0.44006000000000001</v>
      </c>
      <c r="AH29" s="38">
        <f>IF(G29&gt;=1,IF(G29&lt;=5,0.06,IF(G29&lt;=10,0.05,IF(G29&lt;=15,0.04,IF(G29&lt;=19,0.03,0)))),0)</f>
        <v>0</v>
      </c>
      <c r="AI29" s="74">
        <f t="shared" si="16"/>
        <v>0.44006000000000001</v>
      </c>
      <c r="AJ29" s="77">
        <v>165</v>
      </c>
      <c r="AK29" s="77">
        <v>4</v>
      </c>
      <c r="AL29" s="11">
        <f t="shared" si="17"/>
        <v>66000</v>
      </c>
      <c r="AM29" s="83"/>
      <c r="AN29" s="84"/>
      <c r="AO29" s="11">
        <f t="shared" si="18"/>
        <v>0</v>
      </c>
      <c r="AP29" s="11">
        <f>ROUND(Y29*AI29*$AP$21,0)</f>
        <v>2922917</v>
      </c>
      <c r="AQ29" s="11">
        <f t="shared" si="19"/>
        <v>2988917</v>
      </c>
      <c r="AR29" s="35">
        <v>3859564</v>
      </c>
      <c r="AS29" s="11">
        <f t="shared" si="20"/>
        <v>870647</v>
      </c>
      <c r="AT29" s="72" t="str">
        <f t="shared" si="21"/>
        <v>No</v>
      </c>
      <c r="AU29" s="77">
        <v>3459062</v>
      </c>
      <c r="AV29" s="35">
        <f t="shared" si="22"/>
        <v>0</v>
      </c>
      <c r="AW29" s="35">
        <f t="shared" si="6"/>
        <v>3459062</v>
      </c>
      <c r="AX29" s="35">
        <f>IF(C29=1,MAX(AW29,AR29),AW29)</f>
        <v>3459062</v>
      </c>
      <c r="AY29" s="66"/>
      <c r="AZ29" s="67"/>
      <c r="BA29" s="35"/>
      <c r="BB29" s="68"/>
      <c r="BC29" s="35"/>
      <c r="BD29" s="21"/>
      <c r="BF29" s="21"/>
      <c r="BG29" s="21"/>
      <c r="BK29" s="21"/>
      <c r="BL29" s="21"/>
      <c r="BM29" s="21"/>
      <c r="BN29" s="21"/>
      <c r="BO29" s="21"/>
    </row>
    <row r="30" spans="1:67" ht="14.35" x14ac:dyDescent="0.5">
      <c r="A30" s="8" t="s">
        <v>106</v>
      </c>
      <c r="B30" s="8"/>
      <c r="C30" s="25"/>
      <c r="D30" s="25"/>
      <c r="E30" s="25"/>
      <c r="F30" s="1">
        <v>2</v>
      </c>
      <c r="G30" s="78">
        <v>153</v>
      </c>
      <c r="H30" s="8">
        <v>4</v>
      </c>
      <c r="I30" s="3" t="s">
        <v>107</v>
      </c>
      <c r="J30" s="70"/>
      <c r="K30" s="76">
        <v>3133.65</v>
      </c>
      <c r="L30" s="78"/>
      <c r="M30" s="77">
        <v>179</v>
      </c>
      <c r="N30" s="76">
        <f t="shared" si="7"/>
        <v>53.7</v>
      </c>
      <c r="O30" s="76">
        <f t="shared" si="8"/>
        <v>1880.19</v>
      </c>
      <c r="P30" s="76">
        <f t="shared" si="9"/>
        <v>0</v>
      </c>
      <c r="Q30" s="76">
        <f t="shared" si="10"/>
        <v>0</v>
      </c>
      <c r="R30" s="65">
        <f t="shared" si="11"/>
        <v>0.06</v>
      </c>
      <c r="S30" s="65">
        <f>IF(R30&gt;0.6,+R30-0.6,0)</f>
        <v>0</v>
      </c>
      <c r="T30" s="34">
        <f>ROUND(S30*K30,2)</f>
        <v>0</v>
      </c>
      <c r="U30" s="34">
        <f t="shared" si="12"/>
        <v>0</v>
      </c>
      <c r="V30" s="77">
        <v>92</v>
      </c>
      <c r="W30" s="76">
        <f t="shared" si="13"/>
        <v>23</v>
      </c>
      <c r="X30" s="36">
        <f>ROUND(M30*$X$2,2)</f>
        <v>53.7</v>
      </c>
      <c r="Y30" s="9">
        <f t="shared" si="14"/>
        <v>3210.35</v>
      </c>
      <c r="Z30" s="76">
        <v>3689662670.6700001</v>
      </c>
      <c r="AA30" s="77">
        <v>18338</v>
      </c>
      <c r="AB30" s="17">
        <f t="shared" si="3"/>
        <v>201203.11</v>
      </c>
      <c r="AC30" s="37">
        <f t="shared" si="4"/>
        <v>1.0450660000000001</v>
      </c>
      <c r="AD30" s="77">
        <v>132500</v>
      </c>
      <c r="AE30" s="37">
        <f t="shared" si="5"/>
        <v>1.0996379999999999</v>
      </c>
      <c r="AF30" s="37">
        <f t="shared" si="23"/>
        <v>-6.1438E-2</v>
      </c>
      <c r="AG30" s="71">
        <f t="shared" si="15"/>
        <v>0.01</v>
      </c>
      <c r="AH30" s="38">
        <f>IF(G30&gt;=1,IF(G30&lt;=5,0.06,IF(G30&lt;=10,0.05,IF(G30&lt;=15,0.04,IF(G30&lt;=19,0.03,0)))),0)</f>
        <v>0</v>
      </c>
      <c r="AI30" s="74">
        <f t="shared" si="16"/>
        <v>0.01</v>
      </c>
      <c r="AJ30" s="77">
        <v>0</v>
      </c>
      <c r="AK30" s="77">
        <v>0</v>
      </c>
      <c r="AL30" s="11">
        <f t="shared" si="17"/>
        <v>0</v>
      </c>
      <c r="AM30" s="83"/>
      <c r="AN30" s="84"/>
      <c r="AO30" s="11">
        <f t="shared" si="18"/>
        <v>0</v>
      </c>
      <c r="AP30" s="11">
        <f>ROUND(Y30*AI30*$AP$21,0)</f>
        <v>369993</v>
      </c>
      <c r="AQ30" s="11">
        <f t="shared" si="19"/>
        <v>369993</v>
      </c>
      <c r="AR30" s="35">
        <v>731456</v>
      </c>
      <c r="AS30" s="11">
        <f t="shared" si="20"/>
        <v>361463</v>
      </c>
      <c r="AT30" s="72" t="str">
        <f t="shared" si="21"/>
        <v>No</v>
      </c>
      <c r="AU30" s="77">
        <v>584016</v>
      </c>
      <c r="AV30" s="35">
        <f t="shared" si="22"/>
        <v>0</v>
      </c>
      <c r="AW30" s="35">
        <f t="shared" si="6"/>
        <v>584016</v>
      </c>
      <c r="AX30" s="35">
        <f>IF(C30=1,MAX(AW30,AR30),AW30)</f>
        <v>584016</v>
      </c>
      <c r="AY30" s="66"/>
      <c r="AZ30" s="67"/>
      <c r="BA30" s="35"/>
      <c r="BB30" s="68"/>
      <c r="BC30" s="35"/>
      <c r="BD30" s="21"/>
      <c r="BF30" s="21"/>
      <c r="BG30" s="21"/>
      <c r="BK30" s="21"/>
      <c r="BL30" s="21"/>
      <c r="BM30" s="21"/>
      <c r="BN30" s="21"/>
      <c r="BO30" s="21"/>
    </row>
    <row r="31" spans="1:67" ht="14.35" x14ac:dyDescent="0.5">
      <c r="A31" s="8" t="s">
        <v>100</v>
      </c>
      <c r="B31" s="8"/>
      <c r="C31" s="25"/>
      <c r="D31" s="25"/>
      <c r="E31" s="25"/>
      <c r="F31" s="1">
        <v>5</v>
      </c>
      <c r="G31" s="78">
        <v>91</v>
      </c>
      <c r="H31" s="8">
        <v>5</v>
      </c>
      <c r="I31" s="3" t="s">
        <v>108</v>
      </c>
      <c r="J31" s="70"/>
      <c r="K31" s="76">
        <v>476.42</v>
      </c>
      <c r="L31" s="78"/>
      <c r="M31" s="77">
        <v>94</v>
      </c>
      <c r="N31" s="76">
        <f t="shared" si="7"/>
        <v>28.2</v>
      </c>
      <c r="O31" s="76">
        <f t="shared" si="8"/>
        <v>285.85000000000002</v>
      </c>
      <c r="P31" s="76">
        <f t="shared" si="9"/>
        <v>0</v>
      </c>
      <c r="Q31" s="76">
        <f t="shared" si="10"/>
        <v>0</v>
      </c>
      <c r="R31" s="65">
        <f t="shared" si="11"/>
        <v>0.2</v>
      </c>
      <c r="S31" s="65">
        <f>IF(R31&gt;0.6,+R31-0.6,0)</f>
        <v>0</v>
      </c>
      <c r="T31" s="34">
        <f>ROUND(S31*K31,2)</f>
        <v>0</v>
      </c>
      <c r="U31" s="34">
        <f t="shared" si="12"/>
        <v>0</v>
      </c>
      <c r="V31" s="77">
        <v>1</v>
      </c>
      <c r="W31" s="76">
        <f t="shared" si="13"/>
        <v>0.25</v>
      </c>
      <c r="X31" s="36">
        <f>ROUND(M31*$X$2,2)</f>
        <v>28.2</v>
      </c>
      <c r="Y31" s="9">
        <f t="shared" si="14"/>
        <v>504.87</v>
      </c>
      <c r="Z31" s="76">
        <v>524371704</v>
      </c>
      <c r="AA31" s="77">
        <v>3671</v>
      </c>
      <c r="AB31" s="17">
        <f t="shared" si="3"/>
        <v>142841.65</v>
      </c>
      <c r="AC31" s="37">
        <f t="shared" si="4"/>
        <v>0.74193100000000001</v>
      </c>
      <c r="AD31" s="77">
        <v>111071</v>
      </c>
      <c r="AE31" s="37">
        <f t="shared" si="5"/>
        <v>0.92179500000000003</v>
      </c>
      <c r="AF31" s="37">
        <f t="shared" si="23"/>
        <v>0.20411000000000001</v>
      </c>
      <c r="AG31" s="71">
        <f t="shared" si="15"/>
        <v>0.20411000000000001</v>
      </c>
      <c r="AH31" s="38">
        <f>IF(G31&gt;=1,IF(G31&lt;=5,0.06,IF(G31&lt;=10,0.05,IF(G31&lt;=15,0.04,IF(G31&lt;=19,0.03,0)))),0)</f>
        <v>0</v>
      </c>
      <c r="AI31" s="74">
        <f t="shared" si="16"/>
        <v>0.20411000000000001</v>
      </c>
      <c r="AJ31" s="77">
        <v>279</v>
      </c>
      <c r="AK31" s="77">
        <v>6</v>
      </c>
      <c r="AL31" s="11">
        <f t="shared" si="17"/>
        <v>167400</v>
      </c>
      <c r="AM31" s="83"/>
      <c r="AN31" s="84"/>
      <c r="AO31" s="11">
        <f t="shared" si="18"/>
        <v>0</v>
      </c>
      <c r="AP31" s="11">
        <f>ROUND(Y31*AI31*$AP$21,0)</f>
        <v>1187640</v>
      </c>
      <c r="AQ31" s="11">
        <f t="shared" si="19"/>
        <v>1355040</v>
      </c>
      <c r="AR31" s="35">
        <v>1633686</v>
      </c>
      <c r="AS31" s="11">
        <f t="shared" si="20"/>
        <v>278646</v>
      </c>
      <c r="AT31" s="72" t="str">
        <f t="shared" si="21"/>
        <v>No</v>
      </c>
      <c r="AU31" s="77">
        <v>1494242</v>
      </c>
      <c r="AV31" s="35">
        <f t="shared" si="22"/>
        <v>0</v>
      </c>
      <c r="AW31" s="35">
        <f t="shared" si="6"/>
        <v>1494242</v>
      </c>
      <c r="AX31" s="35">
        <f>IF(C31=1,MAX(AW31,AR31),AW31)</f>
        <v>1494242</v>
      </c>
      <c r="AY31" s="66"/>
      <c r="AZ31" s="67"/>
      <c r="BA31" s="35"/>
      <c r="BB31" s="68"/>
      <c r="BC31" s="35"/>
      <c r="BD31" s="21"/>
      <c r="BF31" s="21"/>
      <c r="BG31" s="21"/>
      <c r="BK31" s="21"/>
      <c r="BL31" s="21"/>
      <c r="BM31" s="21"/>
      <c r="BN31" s="21"/>
      <c r="BO31" s="21"/>
    </row>
    <row r="32" spans="1:67" ht="14.35" x14ac:dyDescent="0.5">
      <c r="A32" s="8" t="s">
        <v>104</v>
      </c>
      <c r="B32" s="8"/>
      <c r="C32" s="25"/>
      <c r="D32" s="25"/>
      <c r="E32" s="25"/>
      <c r="F32" s="1">
        <v>7</v>
      </c>
      <c r="G32" s="80">
        <v>48</v>
      </c>
      <c r="H32" s="8">
        <v>6</v>
      </c>
      <c r="I32" s="3" t="s">
        <v>109</v>
      </c>
      <c r="J32" s="70"/>
      <c r="K32" s="76">
        <v>724.27</v>
      </c>
      <c r="L32" s="80"/>
      <c r="M32" s="77">
        <v>190</v>
      </c>
      <c r="N32" s="76">
        <f t="shared" si="7"/>
        <v>57</v>
      </c>
      <c r="O32" s="76">
        <f t="shared" si="8"/>
        <v>434.56</v>
      </c>
      <c r="P32" s="76">
        <f t="shared" si="9"/>
        <v>0</v>
      </c>
      <c r="Q32" s="76">
        <f t="shared" si="10"/>
        <v>0</v>
      </c>
      <c r="R32" s="65">
        <f t="shared" si="11"/>
        <v>0.26</v>
      </c>
      <c r="S32" s="65">
        <f>IF(R32&gt;0.6,+R32-0.6,0)</f>
        <v>0</v>
      </c>
      <c r="T32" s="34">
        <f>ROUND(S32*K32,2)</f>
        <v>0</v>
      </c>
      <c r="U32" s="34">
        <f t="shared" si="12"/>
        <v>0</v>
      </c>
      <c r="V32" s="77">
        <v>11</v>
      </c>
      <c r="W32" s="76">
        <f t="shared" si="13"/>
        <v>2.75</v>
      </c>
      <c r="X32" s="36">
        <f>ROUND(M32*$X$2,2)</f>
        <v>57</v>
      </c>
      <c r="Y32" s="9">
        <f t="shared" si="14"/>
        <v>784.02</v>
      </c>
      <c r="Z32" s="76">
        <v>713944682.33000004</v>
      </c>
      <c r="AA32" s="77">
        <v>6115</v>
      </c>
      <c r="AB32" s="17">
        <f t="shared" si="3"/>
        <v>116753.01</v>
      </c>
      <c r="AC32" s="37">
        <f t="shared" si="4"/>
        <v>0.60642499999999999</v>
      </c>
      <c r="AD32" s="77">
        <v>86842</v>
      </c>
      <c r="AE32" s="37">
        <f t="shared" si="5"/>
        <v>0.72071499999999999</v>
      </c>
      <c r="AF32" s="37">
        <f t="shared" si="23"/>
        <v>0.359288</v>
      </c>
      <c r="AG32" s="71">
        <f t="shared" si="15"/>
        <v>0.359288</v>
      </c>
      <c r="AH32" s="38">
        <f>IF(G32&gt;=1,IF(G32&lt;=5,0.06,IF(G32&lt;=10,0.05,IF(G32&lt;=15,0.04,IF(G32&lt;=19,0.03,0)))),0)</f>
        <v>0</v>
      </c>
      <c r="AI32" s="74">
        <f t="shared" si="16"/>
        <v>0.359288</v>
      </c>
      <c r="AJ32" s="77">
        <v>725</v>
      </c>
      <c r="AK32" s="77">
        <v>13</v>
      </c>
      <c r="AL32" s="11">
        <f t="shared" si="17"/>
        <v>942500</v>
      </c>
      <c r="AM32" s="83"/>
      <c r="AN32" s="84"/>
      <c r="AO32" s="11">
        <f t="shared" si="18"/>
        <v>0</v>
      </c>
      <c r="AP32" s="11">
        <f>ROUND(Y32*AI32*$AP$21,0)</f>
        <v>3246465</v>
      </c>
      <c r="AQ32" s="11">
        <f t="shared" si="19"/>
        <v>4188965</v>
      </c>
      <c r="AR32" s="35">
        <v>4067920</v>
      </c>
      <c r="AS32" s="11">
        <f t="shared" si="20"/>
        <v>121045</v>
      </c>
      <c r="AT32" s="72" t="str">
        <f t="shared" si="21"/>
        <v>Yes</v>
      </c>
      <c r="AU32" s="77">
        <v>3946560</v>
      </c>
      <c r="AV32" s="35">
        <f t="shared" si="22"/>
        <v>12903.397000000001</v>
      </c>
      <c r="AW32" s="35">
        <f t="shared" si="6"/>
        <v>3959463.3969999999</v>
      </c>
      <c r="AX32" s="35">
        <f>IF(C32=1,MAX(AW32,AR32),AW32)</f>
        <v>3959463.3969999999</v>
      </c>
      <c r="AY32" s="66"/>
      <c r="AZ32" s="67"/>
      <c r="BA32" s="35"/>
      <c r="BB32" s="68"/>
      <c r="BC32" s="35"/>
      <c r="BD32" s="21"/>
      <c r="BF32" s="21"/>
      <c r="BG32" s="21"/>
      <c r="BK32" s="21"/>
      <c r="BL32" s="21"/>
      <c r="BM32" s="21"/>
      <c r="BN32" s="21"/>
      <c r="BO32" s="21"/>
    </row>
    <row r="33" spans="1:67" ht="14.35" x14ac:dyDescent="0.5">
      <c r="A33" s="8" t="s">
        <v>110</v>
      </c>
      <c r="B33" s="8"/>
      <c r="C33" s="25"/>
      <c r="D33" s="25"/>
      <c r="E33" s="25"/>
      <c r="F33" s="1">
        <v>4</v>
      </c>
      <c r="G33" s="78">
        <v>100</v>
      </c>
      <c r="H33" s="8">
        <v>7</v>
      </c>
      <c r="I33" s="3" t="s">
        <v>111</v>
      </c>
      <c r="J33" s="70"/>
      <c r="K33" s="76">
        <v>2741.09</v>
      </c>
      <c r="L33" s="78"/>
      <c r="M33" s="77">
        <v>565</v>
      </c>
      <c r="N33" s="76">
        <f t="shared" si="7"/>
        <v>169.5</v>
      </c>
      <c r="O33" s="76">
        <f t="shared" si="8"/>
        <v>1644.65</v>
      </c>
      <c r="P33" s="76">
        <f t="shared" si="9"/>
        <v>0</v>
      </c>
      <c r="Q33" s="76">
        <f t="shared" si="10"/>
        <v>0</v>
      </c>
      <c r="R33" s="65">
        <f t="shared" si="11"/>
        <v>0.21</v>
      </c>
      <c r="S33" s="65">
        <f>IF(R33&gt;0.6,+R33-0.6,0)</f>
        <v>0</v>
      </c>
      <c r="T33" s="34">
        <f>ROUND(S33*K33,2)</f>
        <v>0</v>
      </c>
      <c r="U33" s="34">
        <f t="shared" si="12"/>
        <v>0</v>
      </c>
      <c r="V33" s="77">
        <v>94</v>
      </c>
      <c r="W33" s="76">
        <f t="shared" si="13"/>
        <v>23.5</v>
      </c>
      <c r="X33" s="36">
        <f>ROUND(M33*$X$2,2)</f>
        <v>169.5</v>
      </c>
      <c r="Y33" s="9">
        <f t="shared" si="14"/>
        <v>2934.09</v>
      </c>
      <c r="Z33" s="76">
        <v>3349698440.6700001</v>
      </c>
      <c r="AA33" s="77">
        <v>20519</v>
      </c>
      <c r="AB33" s="17">
        <f t="shared" si="3"/>
        <v>163248.62</v>
      </c>
      <c r="AC33" s="37">
        <f t="shared" si="4"/>
        <v>0.84792699999999999</v>
      </c>
      <c r="AD33" s="77">
        <v>95996</v>
      </c>
      <c r="AE33" s="37">
        <f t="shared" si="5"/>
        <v>0.79668499999999998</v>
      </c>
      <c r="AF33" s="37">
        <f t="shared" si="23"/>
        <v>0.16744600000000001</v>
      </c>
      <c r="AG33" s="71">
        <f t="shared" si="15"/>
        <v>0.16744600000000001</v>
      </c>
      <c r="AH33" s="38">
        <f>IF(G33&gt;=1,IF(G33&lt;=5,0.06,IF(G33&lt;=10,0.05,IF(G33&lt;=15,0.04,IF(G33&lt;=19,0.03,0)))),0)</f>
        <v>0</v>
      </c>
      <c r="AI33" s="74">
        <f t="shared" si="16"/>
        <v>0.16744600000000001</v>
      </c>
      <c r="AJ33" s="77">
        <v>0</v>
      </c>
      <c r="AK33" s="77">
        <v>0</v>
      </c>
      <c r="AL33" s="11">
        <f t="shared" si="17"/>
        <v>0</v>
      </c>
      <c r="AM33" s="83"/>
      <c r="AN33" s="84"/>
      <c r="AO33" s="11">
        <f t="shared" si="18"/>
        <v>0</v>
      </c>
      <c r="AP33" s="11">
        <f>ROUND(Y33*AI33*$AP$21,0)</f>
        <v>5662251</v>
      </c>
      <c r="AQ33" s="11">
        <f t="shared" si="19"/>
        <v>5662251</v>
      </c>
      <c r="AR33" s="35">
        <v>6215712</v>
      </c>
      <c r="AS33" s="11">
        <f t="shared" si="20"/>
        <v>553461</v>
      </c>
      <c r="AT33" s="72" t="str">
        <f t="shared" si="21"/>
        <v>No</v>
      </c>
      <c r="AU33" s="77">
        <v>5870600</v>
      </c>
      <c r="AV33" s="35">
        <f t="shared" si="22"/>
        <v>0</v>
      </c>
      <c r="AW33" s="35">
        <f t="shared" si="6"/>
        <v>5870600</v>
      </c>
      <c r="AX33" s="35">
        <f>IF(C33=1,MAX(AW33,AR33),AW33)</f>
        <v>5870600</v>
      </c>
      <c r="AY33" s="66"/>
      <c r="AZ33" s="67"/>
      <c r="BA33" s="35"/>
      <c r="BB33" s="68"/>
      <c r="BC33" s="35"/>
      <c r="BD33" s="21"/>
      <c r="BF33" s="21"/>
      <c r="BG33" s="21"/>
      <c r="BK33" s="21"/>
      <c r="BL33" s="21"/>
      <c r="BM33" s="21"/>
      <c r="BN33" s="21"/>
      <c r="BO33" s="21"/>
    </row>
    <row r="34" spans="1:67" ht="14.35" x14ac:dyDescent="0.5">
      <c r="A34" s="8" t="s">
        <v>100</v>
      </c>
      <c r="B34" s="8"/>
      <c r="C34" s="25"/>
      <c r="D34" s="25"/>
      <c r="E34" s="25"/>
      <c r="F34" s="1">
        <v>3</v>
      </c>
      <c r="G34" s="78">
        <v>119</v>
      </c>
      <c r="H34" s="8">
        <v>8</v>
      </c>
      <c r="I34" s="3" t="s">
        <v>112</v>
      </c>
      <c r="J34" s="70"/>
      <c r="K34" s="76">
        <v>755.64</v>
      </c>
      <c r="L34" s="78"/>
      <c r="M34" s="77">
        <v>83</v>
      </c>
      <c r="N34" s="76">
        <f t="shared" si="7"/>
        <v>24.9</v>
      </c>
      <c r="O34" s="76">
        <f t="shared" si="8"/>
        <v>453.38</v>
      </c>
      <c r="P34" s="76">
        <f t="shared" si="9"/>
        <v>0</v>
      </c>
      <c r="Q34" s="76">
        <f t="shared" si="10"/>
        <v>0</v>
      </c>
      <c r="R34" s="65">
        <f t="shared" si="11"/>
        <v>0.11</v>
      </c>
      <c r="S34" s="65">
        <f>IF(R34&gt;0.6,+R34-0.6,0)</f>
        <v>0</v>
      </c>
      <c r="T34" s="34">
        <f>ROUND(S34*K34,2)</f>
        <v>0</v>
      </c>
      <c r="U34" s="34">
        <f t="shared" si="12"/>
        <v>0</v>
      </c>
      <c r="V34" s="77">
        <v>11</v>
      </c>
      <c r="W34" s="76">
        <f t="shared" si="13"/>
        <v>2.75</v>
      </c>
      <c r="X34" s="36">
        <f>ROUND(M34*$X$2,2)</f>
        <v>24.9</v>
      </c>
      <c r="Y34" s="9">
        <f t="shared" si="14"/>
        <v>783.29</v>
      </c>
      <c r="Z34" s="76">
        <v>824860372.66999996</v>
      </c>
      <c r="AA34" s="77">
        <v>5504</v>
      </c>
      <c r="AB34" s="17">
        <f t="shared" si="3"/>
        <v>149865.62</v>
      </c>
      <c r="AC34" s="37">
        <f t="shared" si="4"/>
        <v>0.77841400000000005</v>
      </c>
      <c r="AD34" s="77">
        <v>119653</v>
      </c>
      <c r="AE34" s="37">
        <f t="shared" si="5"/>
        <v>0.99301799999999996</v>
      </c>
      <c r="AF34" s="37">
        <f t="shared" si="23"/>
        <v>0.15720500000000001</v>
      </c>
      <c r="AG34" s="71">
        <f t="shared" si="15"/>
        <v>0.15720500000000001</v>
      </c>
      <c r="AH34" s="38">
        <f>IF(G34&gt;=1,IF(G34&lt;=5,0.06,IF(G34&lt;=10,0.05,IF(G34&lt;=15,0.04,IF(G34&lt;=19,0.03,0)))),0)</f>
        <v>0</v>
      </c>
      <c r="AI34" s="74">
        <f t="shared" si="16"/>
        <v>0.15720500000000001</v>
      </c>
      <c r="AJ34" s="77">
        <v>390</v>
      </c>
      <c r="AK34" s="77">
        <v>6</v>
      </c>
      <c r="AL34" s="11">
        <f t="shared" si="17"/>
        <v>234000</v>
      </c>
      <c r="AM34" s="83"/>
      <c r="AN34" s="84"/>
      <c r="AO34" s="11">
        <f t="shared" si="18"/>
        <v>0</v>
      </c>
      <c r="AP34" s="11">
        <f>ROUND(Y34*AI34*$AP$21,0)</f>
        <v>1419155</v>
      </c>
      <c r="AQ34" s="11">
        <f t="shared" si="19"/>
        <v>1653155</v>
      </c>
      <c r="AR34" s="35">
        <v>2000209</v>
      </c>
      <c r="AS34" s="11">
        <f t="shared" si="20"/>
        <v>347054</v>
      </c>
      <c r="AT34" s="72" t="str">
        <f t="shared" si="21"/>
        <v>No</v>
      </c>
      <c r="AU34" s="77">
        <v>1764574</v>
      </c>
      <c r="AV34" s="35">
        <f t="shared" si="22"/>
        <v>0</v>
      </c>
      <c r="AW34" s="35">
        <f t="shared" si="6"/>
        <v>1764574</v>
      </c>
      <c r="AX34" s="35">
        <f>IF(C34=1,MAX(AW34,AR34),AW34)</f>
        <v>1764574</v>
      </c>
      <c r="AY34" s="66"/>
      <c r="AZ34" s="67"/>
      <c r="BA34" s="35"/>
      <c r="BB34" s="68"/>
      <c r="BC34" s="35"/>
      <c r="BD34" s="21"/>
      <c r="BF34" s="21"/>
      <c r="BG34" s="21"/>
      <c r="BK34" s="21"/>
      <c r="BL34" s="21"/>
      <c r="BM34" s="21"/>
      <c r="BN34" s="21"/>
      <c r="BO34" s="21"/>
    </row>
    <row r="35" spans="1:67" ht="14.35" x14ac:dyDescent="0.5">
      <c r="A35" s="8" t="s">
        <v>110</v>
      </c>
      <c r="B35" s="8"/>
      <c r="C35" s="25"/>
      <c r="D35" s="25"/>
      <c r="E35" s="25"/>
      <c r="F35" s="1">
        <v>4</v>
      </c>
      <c r="G35" s="78">
        <v>73</v>
      </c>
      <c r="H35" s="8">
        <v>9</v>
      </c>
      <c r="I35" s="3" t="s">
        <v>113</v>
      </c>
      <c r="J35" s="70"/>
      <c r="K35" s="76">
        <v>3056.47</v>
      </c>
      <c r="L35" s="78"/>
      <c r="M35" s="77">
        <v>991</v>
      </c>
      <c r="N35" s="76">
        <f t="shared" si="7"/>
        <v>297.3</v>
      </c>
      <c r="O35" s="76">
        <f t="shared" si="8"/>
        <v>1833.88</v>
      </c>
      <c r="P35" s="76">
        <f t="shared" si="9"/>
        <v>0</v>
      </c>
      <c r="Q35" s="76">
        <f t="shared" si="10"/>
        <v>0</v>
      </c>
      <c r="R35" s="65">
        <f t="shared" si="11"/>
        <v>0.32</v>
      </c>
      <c r="S35" s="65">
        <f>IF(R35&gt;0.6,+R35-0.6,0)</f>
        <v>0</v>
      </c>
      <c r="T35" s="34">
        <f>ROUND(S35*K35,2)</f>
        <v>0</v>
      </c>
      <c r="U35" s="34">
        <f t="shared" si="12"/>
        <v>0</v>
      </c>
      <c r="V35" s="77">
        <v>183</v>
      </c>
      <c r="W35" s="76">
        <f t="shared" si="13"/>
        <v>45.75</v>
      </c>
      <c r="X35" s="36">
        <f>ROUND(M35*$X$2,2)</f>
        <v>297.3</v>
      </c>
      <c r="Y35" s="9">
        <f t="shared" si="14"/>
        <v>3399.52</v>
      </c>
      <c r="Z35" s="76">
        <v>2974067644.6700001</v>
      </c>
      <c r="AA35" s="77">
        <v>19551</v>
      </c>
      <c r="AB35" s="17">
        <f t="shared" si="3"/>
        <v>152118.44</v>
      </c>
      <c r="AC35" s="37">
        <f t="shared" si="4"/>
        <v>0.79011600000000004</v>
      </c>
      <c r="AD35" s="77">
        <v>101473</v>
      </c>
      <c r="AE35" s="37">
        <f t="shared" si="5"/>
        <v>0.84214</v>
      </c>
      <c r="AF35" s="37">
        <f t="shared" si="23"/>
        <v>0.19427700000000001</v>
      </c>
      <c r="AG35" s="71">
        <f t="shared" si="15"/>
        <v>0.19427700000000001</v>
      </c>
      <c r="AH35" s="38">
        <f>IF(G35&gt;=1,IF(G35&lt;=5,0.06,IF(G35&lt;=10,0.05,IF(G35&lt;=15,0.04,IF(G35&lt;=19,0.03,0)))),0)</f>
        <v>0</v>
      </c>
      <c r="AI35" s="74">
        <f t="shared" si="16"/>
        <v>0.19427700000000001</v>
      </c>
      <c r="AJ35" s="77">
        <v>0</v>
      </c>
      <c r="AK35" s="77">
        <v>0</v>
      </c>
      <c r="AL35" s="11">
        <f t="shared" si="17"/>
        <v>0</v>
      </c>
      <c r="AM35" s="83"/>
      <c r="AN35" s="84"/>
      <c r="AO35" s="11">
        <f t="shared" si="18"/>
        <v>0</v>
      </c>
      <c r="AP35" s="11">
        <f>ROUND(Y35*AI35*$AP$21,0)</f>
        <v>7611670</v>
      </c>
      <c r="AQ35" s="11">
        <f t="shared" si="19"/>
        <v>7611670</v>
      </c>
      <c r="AR35" s="35">
        <v>8087732</v>
      </c>
      <c r="AS35" s="11">
        <f t="shared" si="20"/>
        <v>476062</v>
      </c>
      <c r="AT35" s="72" t="str">
        <f t="shared" si="21"/>
        <v>No</v>
      </c>
      <c r="AU35" s="77">
        <v>7880729</v>
      </c>
      <c r="AV35" s="35">
        <f t="shared" si="22"/>
        <v>0</v>
      </c>
      <c r="AW35" s="35">
        <f t="shared" si="6"/>
        <v>7880729</v>
      </c>
      <c r="AX35" s="35">
        <f>IF(C35=1,MAX(AW35,AR35),AW35)</f>
        <v>7880729</v>
      </c>
      <c r="AY35" s="66"/>
      <c r="AZ35" s="67"/>
      <c r="BA35" s="35"/>
      <c r="BB35" s="68"/>
      <c r="BC35" s="35"/>
      <c r="BD35" s="21"/>
      <c r="BF35" s="21"/>
      <c r="BG35" s="21"/>
      <c r="BK35" s="21"/>
      <c r="BL35" s="21"/>
      <c r="BM35" s="21"/>
      <c r="BN35" s="21"/>
      <c r="BO35" s="21"/>
    </row>
    <row r="36" spans="1:67" ht="14.35" x14ac:dyDescent="0.5">
      <c r="A36" s="8" t="s">
        <v>100</v>
      </c>
      <c r="B36" s="8"/>
      <c r="C36" s="25"/>
      <c r="D36" s="25"/>
      <c r="E36" s="25"/>
      <c r="F36" s="1">
        <v>5</v>
      </c>
      <c r="G36" s="78">
        <v>102</v>
      </c>
      <c r="H36" s="8">
        <v>10</v>
      </c>
      <c r="I36" s="3" t="s">
        <v>114</v>
      </c>
      <c r="J36" s="70"/>
      <c r="K36" s="76">
        <v>363.14</v>
      </c>
      <c r="L36" s="78"/>
      <c r="M36" s="77">
        <v>100</v>
      </c>
      <c r="N36" s="76">
        <f t="shared" si="7"/>
        <v>30</v>
      </c>
      <c r="O36" s="76">
        <f t="shared" si="8"/>
        <v>217.88</v>
      </c>
      <c r="P36" s="76">
        <f t="shared" si="9"/>
        <v>0</v>
      </c>
      <c r="Q36" s="76">
        <f t="shared" si="10"/>
        <v>0</v>
      </c>
      <c r="R36" s="65">
        <f t="shared" si="11"/>
        <v>0.28000000000000003</v>
      </c>
      <c r="S36" s="65">
        <f>IF(R36&gt;0.6,+R36-0.6,0)</f>
        <v>0</v>
      </c>
      <c r="T36" s="34">
        <f>ROUND(S36*K36,2)</f>
        <v>0</v>
      </c>
      <c r="U36" s="34">
        <f t="shared" si="12"/>
        <v>0</v>
      </c>
      <c r="V36" s="77">
        <v>3</v>
      </c>
      <c r="W36" s="76">
        <f t="shared" si="13"/>
        <v>0.75</v>
      </c>
      <c r="X36" s="36">
        <f>ROUND(M36*$X$2,2)</f>
        <v>30</v>
      </c>
      <c r="Y36" s="9">
        <f t="shared" si="14"/>
        <v>393.89</v>
      </c>
      <c r="Z36" s="76">
        <v>523151700.67000002</v>
      </c>
      <c r="AA36" s="77">
        <v>3452</v>
      </c>
      <c r="AB36" s="17">
        <f t="shared" si="3"/>
        <v>151550.32</v>
      </c>
      <c r="AC36" s="37">
        <f t="shared" si="4"/>
        <v>0.787165</v>
      </c>
      <c r="AD36" s="77">
        <v>93750</v>
      </c>
      <c r="AE36" s="37">
        <f t="shared" si="5"/>
        <v>0.77804499999999999</v>
      </c>
      <c r="AF36" s="37">
        <f t="shared" si="23"/>
        <v>0.21557100000000001</v>
      </c>
      <c r="AG36" s="71">
        <f t="shared" si="15"/>
        <v>0.21557100000000001</v>
      </c>
      <c r="AH36" s="38">
        <f>IF(G36&gt;=1,IF(G36&lt;=5,0.06,IF(G36&lt;=10,0.05,IF(G36&lt;=15,0.04,IF(G36&lt;=19,0.03,0)))),0)</f>
        <v>0</v>
      </c>
      <c r="AI36" s="74">
        <f t="shared" si="16"/>
        <v>0.21557100000000001</v>
      </c>
      <c r="AJ36" s="77">
        <v>363</v>
      </c>
      <c r="AK36" s="77">
        <v>13</v>
      </c>
      <c r="AL36" s="11">
        <f t="shared" si="17"/>
        <v>471900</v>
      </c>
      <c r="AM36" s="83"/>
      <c r="AN36" s="84"/>
      <c r="AO36" s="11">
        <f t="shared" si="18"/>
        <v>0</v>
      </c>
      <c r="AP36" s="11">
        <f>ROUND(Y36*AI36*$AP$21,0)</f>
        <v>978602</v>
      </c>
      <c r="AQ36" s="11">
        <f t="shared" si="19"/>
        <v>1450502</v>
      </c>
      <c r="AR36" s="35">
        <v>1278838</v>
      </c>
      <c r="AS36" s="11">
        <f t="shared" si="20"/>
        <v>171664</v>
      </c>
      <c r="AT36" s="72" t="str">
        <f t="shared" si="21"/>
        <v>Yes</v>
      </c>
      <c r="AU36" s="77">
        <v>1128527</v>
      </c>
      <c r="AV36" s="35">
        <f t="shared" si="22"/>
        <v>18299.382399999999</v>
      </c>
      <c r="AW36" s="35">
        <f t="shared" si="6"/>
        <v>1146826.3824</v>
      </c>
      <c r="AX36" s="35">
        <f>IF(C36=1,MAX(AW36,AR36),AW36)</f>
        <v>1146826.3824</v>
      </c>
      <c r="AY36" s="66"/>
      <c r="AZ36" s="67"/>
      <c r="BA36" s="35"/>
      <c r="BB36" s="68"/>
      <c r="BC36" s="35"/>
      <c r="BD36" s="21"/>
      <c r="BF36" s="21"/>
      <c r="BG36" s="21"/>
      <c r="BK36" s="21"/>
      <c r="BL36" s="21"/>
      <c r="BM36" s="21"/>
      <c r="BN36" s="21"/>
      <c r="BO36" s="21"/>
    </row>
    <row r="37" spans="1:67" ht="14.35" x14ac:dyDescent="0.5">
      <c r="A37" s="8" t="s">
        <v>115</v>
      </c>
      <c r="B37" s="8"/>
      <c r="C37" s="25">
        <v>1</v>
      </c>
      <c r="D37" s="25">
        <v>1</v>
      </c>
      <c r="E37" s="25"/>
      <c r="F37" s="1">
        <v>6</v>
      </c>
      <c r="G37" s="79">
        <v>37</v>
      </c>
      <c r="H37" s="8">
        <v>11</v>
      </c>
      <c r="I37" s="3" t="s">
        <v>116</v>
      </c>
      <c r="J37" s="70"/>
      <c r="K37" s="76">
        <v>2294.5</v>
      </c>
      <c r="L37" s="79"/>
      <c r="M37" s="77">
        <v>1372</v>
      </c>
      <c r="N37" s="76">
        <f t="shared" si="7"/>
        <v>411.6</v>
      </c>
      <c r="O37" s="76">
        <f t="shared" si="8"/>
        <v>1376.7</v>
      </c>
      <c r="P37" s="76">
        <f t="shared" si="9"/>
        <v>0</v>
      </c>
      <c r="Q37" s="76">
        <f t="shared" si="10"/>
        <v>0</v>
      </c>
      <c r="R37" s="65">
        <f t="shared" si="11"/>
        <v>0.6</v>
      </c>
      <c r="S37" s="65">
        <f>IF(R37&gt;0.6,+R37-0.6,0)</f>
        <v>0</v>
      </c>
      <c r="T37" s="34">
        <f>ROUND(S37*K37,2)</f>
        <v>0</v>
      </c>
      <c r="U37" s="34">
        <f t="shared" si="12"/>
        <v>0</v>
      </c>
      <c r="V37" s="77">
        <v>67</v>
      </c>
      <c r="W37" s="76">
        <f t="shared" si="13"/>
        <v>16.75</v>
      </c>
      <c r="X37" s="36">
        <f>ROUND(M37*$X$2,2)</f>
        <v>411.6</v>
      </c>
      <c r="Y37" s="9">
        <f t="shared" si="14"/>
        <v>2722.85</v>
      </c>
      <c r="Z37" s="76">
        <v>3245061416</v>
      </c>
      <c r="AA37" s="77">
        <v>20952</v>
      </c>
      <c r="AB37" s="17">
        <f t="shared" si="3"/>
        <v>154880.75</v>
      </c>
      <c r="AC37" s="37">
        <f t="shared" si="4"/>
        <v>0.80446300000000004</v>
      </c>
      <c r="AD37" s="77">
        <v>76952</v>
      </c>
      <c r="AE37" s="37">
        <f t="shared" si="5"/>
        <v>0.63863599999999998</v>
      </c>
      <c r="AF37" s="37">
        <f t="shared" si="23"/>
        <v>0.245285</v>
      </c>
      <c r="AG37" s="71">
        <f t="shared" si="15"/>
        <v>0.245285</v>
      </c>
      <c r="AH37" s="38">
        <f>IF(G37&gt;=1,IF(G37&lt;=5,0.06,IF(G37&lt;=10,0.05,IF(G37&lt;=15,0.04,IF(G37&lt;=19,0.03,0)))),0)</f>
        <v>0</v>
      </c>
      <c r="AI37" s="74">
        <f t="shared" si="16"/>
        <v>0.245285</v>
      </c>
      <c r="AJ37" s="77">
        <v>0</v>
      </c>
      <c r="AK37" s="77">
        <v>0</v>
      </c>
      <c r="AL37" s="11">
        <f t="shared" si="17"/>
        <v>0</v>
      </c>
      <c r="AM37" s="83"/>
      <c r="AN37" s="84"/>
      <c r="AO37" s="11">
        <f t="shared" si="18"/>
        <v>0</v>
      </c>
      <c r="AP37" s="11">
        <f>ROUND(Y37*AI37*$AP$21,0)</f>
        <v>7697251</v>
      </c>
      <c r="AQ37" s="11">
        <f t="shared" si="19"/>
        <v>7697251</v>
      </c>
      <c r="AR37" s="35">
        <v>6160837</v>
      </c>
      <c r="AS37" s="11">
        <f t="shared" si="20"/>
        <v>1536414</v>
      </c>
      <c r="AT37" s="72" t="str">
        <f t="shared" si="21"/>
        <v>Yes</v>
      </c>
      <c r="AU37" s="77">
        <v>6700683</v>
      </c>
      <c r="AV37" s="35">
        <f t="shared" si="22"/>
        <v>163781.73240000001</v>
      </c>
      <c r="AW37" s="35">
        <f t="shared" si="6"/>
        <v>6864464.7324000001</v>
      </c>
      <c r="AX37" s="35">
        <f>IF(C37=1,MAX(AW37,AR37),AW37)</f>
        <v>6864464.7324000001</v>
      </c>
      <c r="AY37" s="66"/>
      <c r="AZ37" s="67"/>
      <c r="BA37" s="35"/>
      <c r="BB37" s="68"/>
      <c r="BC37" s="35"/>
      <c r="BD37" s="21"/>
      <c r="BF37" s="21"/>
      <c r="BG37" s="21"/>
      <c r="BK37" s="21"/>
      <c r="BL37" s="21"/>
      <c r="BM37" s="21"/>
      <c r="BN37" s="21"/>
      <c r="BO37" s="21"/>
    </row>
    <row r="38" spans="1:67" ht="14.35" x14ac:dyDescent="0.5">
      <c r="A38" s="8" t="s">
        <v>100</v>
      </c>
      <c r="B38" s="8"/>
      <c r="C38" s="25"/>
      <c r="D38" s="25"/>
      <c r="E38" s="25"/>
      <c r="F38" s="1">
        <v>5</v>
      </c>
      <c r="G38" s="78">
        <v>109</v>
      </c>
      <c r="H38" s="8">
        <v>12</v>
      </c>
      <c r="I38" s="3" t="s">
        <v>117</v>
      </c>
      <c r="J38" s="70"/>
      <c r="K38" s="76">
        <v>701.57</v>
      </c>
      <c r="L38" s="78"/>
      <c r="M38" s="77">
        <v>142</v>
      </c>
      <c r="N38" s="76">
        <f t="shared" si="7"/>
        <v>42.6</v>
      </c>
      <c r="O38" s="76">
        <f t="shared" si="8"/>
        <v>420.94</v>
      </c>
      <c r="P38" s="76">
        <f t="shared" si="9"/>
        <v>0</v>
      </c>
      <c r="Q38" s="76">
        <f t="shared" si="10"/>
        <v>0</v>
      </c>
      <c r="R38" s="65">
        <f t="shared" si="11"/>
        <v>0.2</v>
      </c>
      <c r="S38" s="65">
        <f>IF(R38&gt;0.6,+R38-0.6,0)</f>
        <v>0</v>
      </c>
      <c r="T38" s="34">
        <f>ROUND(S38*K38,2)</f>
        <v>0</v>
      </c>
      <c r="U38" s="34">
        <f t="shared" si="12"/>
        <v>0</v>
      </c>
      <c r="V38" s="77">
        <v>9</v>
      </c>
      <c r="W38" s="76">
        <f t="shared" si="13"/>
        <v>2.25</v>
      </c>
      <c r="X38" s="36">
        <f>ROUND(M38*$X$2,2)</f>
        <v>42.6</v>
      </c>
      <c r="Y38" s="9">
        <f t="shared" si="14"/>
        <v>746.42000000000007</v>
      </c>
      <c r="Z38" s="76">
        <v>633531617.66999996</v>
      </c>
      <c r="AA38" s="77">
        <v>4928</v>
      </c>
      <c r="AB38" s="17">
        <f t="shared" si="3"/>
        <v>128557.55</v>
      </c>
      <c r="AC38" s="37">
        <f t="shared" si="4"/>
        <v>0.66773899999999997</v>
      </c>
      <c r="AD38" s="77">
        <v>105417</v>
      </c>
      <c r="AE38" s="37">
        <f t="shared" si="5"/>
        <v>0.87487199999999998</v>
      </c>
      <c r="AF38" s="37">
        <f t="shared" si="23"/>
        <v>0.270121</v>
      </c>
      <c r="AG38" s="71">
        <f t="shared" si="15"/>
        <v>0.270121</v>
      </c>
      <c r="AH38" s="38">
        <f>IF(G38&gt;=1,IF(G38&lt;=5,0.06,IF(G38&lt;=10,0.05,IF(G38&lt;=15,0.04,IF(G38&lt;=19,0.03,0)))),0)</f>
        <v>0</v>
      </c>
      <c r="AI38" s="74">
        <f t="shared" si="16"/>
        <v>0.270121</v>
      </c>
      <c r="AJ38" s="77">
        <v>0</v>
      </c>
      <c r="AK38" s="77">
        <v>0</v>
      </c>
      <c r="AL38" s="11">
        <f t="shared" si="17"/>
        <v>0</v>
      </c>
      <c r="AM38" s="83"/>
      <c r="AN38" s="84"/>
      <c r="AO38" s="11">
        <f t="shared" si="18"/>
        <v>0</v>
      </c>
      <c r="AP38" s="11">
        <f>ROUND(Y38*AI38*$AP$21,0)</f>
        <v>2323713</v>
      </c>
      <c r="AQ38" s="11">
        <f t="shared" si="19"/>
        <v>2323713</v>
      </c>
      <c r="AR38" s="35">
        <v>2983350</v>
      </c>
      <c r="AS38" s="11">
        <f t="shared" si="20"/>
        <v>659637</v>
      </c>
      <c r="AT38" s="72" t="str">
        <f t="shared" si="21"/>
        <v>No</v>
      </c>
      <c r="AU38" s="77">
        <v>2683216</v>
      </c>
      <c r="AV38" s="35">
        <f t="shared" si="22"/>
        <v>0</v>
      </c>
      <c r="AW38" s="35">
        <f t="shared" si="6"/>
        <v>2683216</v>
      </c>
      <c r="AX38" s="35">
        <f>IF(C38=1,MAX(AW38,AR38),AW38)</f>
        <v>2683216</v>
      </c>
      <c r="AY38" s="66"/>
      <c r="AZ38" s="67"/>
      <c r="BA38" s="35"/>
      <c r="BB38" s="68"/>
      <c r="BC38" s="35"/>
      <c r="BD38" s="21"/>
      <c r="BF38" s="21"/>
      <c r="BG38" s="21"/>
      <c r="BK38" s="21"/>
      <c r="BL38" s="21"/>
      <c r="BM38" s="21"/>
      <c r="BN38" s="21"/>
      <c r="BO38" s="21"/>
    </row>
    <row r="39" spans="1:67" ht="14.35" x14ac:dyDescent="0.5">
      <c r="A39" s="8" t="s">
        <v>104</v>
      </c>
      <c r="B39" s="8"/>
      <c r="C39" s="25"/>
      <c r="D39" s="25"/>
      <c r="E39" s="25"/>
      <c r="F39" s="1">
        <v>7</v>
      </c>
      <c r="G39" s="78">
        <v>52</v>
      </c>
      <c r="H39" s="8">
        <v>13</v>
      </c>
      <c r="I39" s="3" t="s">
        <v>118</v>
      </c>
      <c r="J39" s="70"/>
      <c r="K39" s="76">
        <v>258.86</v>
      </c>
      <c r="L39" s="78"/>
      <c r="M39" s="77">
        <v>95</v>
      </c>
      <c r="N39" s="76">
        <f t="shared" si="7"/>
        <v>28.5</v>
      </c>
      <c r="O39" s="76">
        <f t="shared" si="8"/>
        <v>155.32</v>
      </c>
      <c r="P39" s="76">
        <f t="shared" si="9"/>
        <v>0</v>
      </c>
      <c r="Q39" s="76">
        <f t="shared" si="10"/>
        <v>0</v>
      </c>
      <c r="R39" s="65">
        <f t="shared" si="11"/>
        <v>0.37</v>
      </c>
      <c r="S39" s="65">
        <f>IF(R39&gt;0.6,+R39-0.6,0)</f>
        <v>0</v>
      </c>
      <c r="T39" s="34">
        <f>ROUND(S39*K39,2)</f>
        <v>0</v>
      </c>
      <c r="U39" s="34">
        <f t="shared" si="12"/>
        <v>0</v>
      </c>
      <c r="V39" s="77">
        <v>7</v>
      </c>
      <c r="W39" s="76">
        <f t="shared" si="13"/>
        <v>1.75</v>
      </c>
      <c r="X39" s="36">
        <f>ROUND(M39*$X$2,2)</f>
        <v>28.5</v>
      </c>
      <c r="Y39" s="9">
        <f t="shared" si="14"/>
        <v>289.11</v>
      </c>
      <c r="Z39" s="76">
        <v>343635194.32999998</v>
      </c>
      <c r="AA39" s="77">
        <v>2567</v>
      </c>
      <c r="AB39" s="17">
        <f t="shared" si="3"/>
        <v>133866.46</v>
      </c>
      <c r="AC39" s="37">
        <f t="shared" si="4"/>
        <v>0.69531299999999996</v>
      </c>
      <c r="AD39" s="77">
        <v>87109</v>
      </c>
      <c r="AE39" s="37">
        <f t="shared" si="5"/>
        <v>0.72293099999999999</v>
      </c>
      <c r="AF39" s="37">
        <f t="shared" si="23"/>
        <v>0.296402</v>
      </c>
      <c r="AG39" s="71">
        <f t="shared" si="15"/>
        <v>0.296402</v>
      </c>
      <c r="AH39" s="38">
        <f>IF(G39&gt;=1,IF(G39&lt;=5,0.06,IF(G39&lt;=10,0.05,IF(G39&lt;=15,0.04,IF(G39&lt;=19,0.03,0)))),0)</f>
        <v>0</v>
      </c>
      <c r="AI39" s="74">
        <f t="shared" si="16"/>
        <v>0.296402</v>
      </c>
      <c r="AJ39" s="81">
        <v>0</v>
      </c>
      <c r="AK39" s="81">
        <v>0</v>
      </c>
      <c r="AL39" s="11">
        <f t="shared" si="17"/>
        <v>0</v>
      </c>
      <c r="AM39" s="83">
        <v>63</v>
      </c>
      <c r="AN39" s="84">
        <v>4</v>
      </c>
      <c r="AO39" s="11">
        <f t="shared" si="18"/>
        <v>25200</v>
      </c>
      <c r="AP39" s="11">
        <f>ROUND(Y39*AI39*$AP$21,0)</f>
        <v>987609</v>
      </c>
      <c r="AQ39" s="11">
        <f t="shared" si="19"/>
        <v>1012809</v>
      </c>
      <c r="AR39" s="35">
        <v>1223830</v>
      </c>
      <c r="AS39" s="11">
        <f t="shared" si="20"/>
        <v>211021</v>
      </c>
      <c r="AT39" s="72" t="str">
        <f t="shared" si="21"/>
        <v>No</v>
      </c>
      <c r="AU39" s="77">
        <v>1190095</v>
      </c>
      <c r="AV39" s="35">
        <f t="shared" si="22"/>
        <v>0</v>
      </c>
      <c r="AW39" s="35">
        <f t="shared" si="6"/>
        <v>1190095</v>
      </c>
      <c r="AX39" s="35">
        <f>IF(C39=1,MAX(AW39,AR39),AW39)</f>
        <v>1190095</v>
      </c>
      <c r="AY39" s="66"/>
      <c r="AZ39" s="67"/>
      <c r="BA39" s="35"/>
      <c r="BB39" s="68"/>
      <c r="BC39" s="35"/>
      <c r="BD39" s="21"/>
      <c r="BF39" s="21"/>
      <c r="BG39" s="21"/>
      <c r="BK39" s="21"/>
      <c r="BL39" s="21"/>
      <c r="BM39" s="21"/>
      <c r="BN39" s="21"/>
      <c r="BO39" s="21"/>
    </row>
    <row r="40" spans="1:67" ht="14.35" x14ac:dyDescent="0.5">
      <c r="A40" s="8" t="s">
        <v>110</v>
      </c>
      <c r="B40" s="8"/>
      <c r="C40" s="25"/>
      <c r="D40" s="25"/>
      <c r="E40" s="25"/>
      <c r="F40" s="1">
        <v>4</v>
      </c>
      <c r="G40" s="78">
        <v>97</v>
      </c>
      <c r="H40" s="8">
        <v>14</v>
      </c>
      <c r="I40" s="3" t="s">
        <v>119</v>
      </c>
      <c r="J40" s="70"/>
      <c r="K40" s="76">
        <v>2622.38</v>
      </c>
      <c r="L40" s="78"/>
      <c r="M40" s="77">
        <v>953</v>
      </c>
      <c r="N40" s="76">
        <f t="shared" si="7"/>
        <v>285.89999999999998</v>
      </c>
      <c r="O40" s="76">
        <f t="shared" si="8"/>
        <v>1573.43</v>
      </c>
      <c r="P40" s="76">
        <f t="shared" si="9"/>
        <v>0</v>
      </c>
      <c r="Q40" s="76">
        <f t="shared" si="10"/>
        <v>0</v>
      </c>
      <c r="R40" s="65">
        <f t="shared" si="11"/>
        <v>0.36</v>
      </c>
      <c r="S40" s="65">
        <f>IF(R40&gt;0.6,+R40-0.6,0)</f>
        <v>0</v>
      </c>
      <c r="T40" s="34">
        <f>ROUND(S40*K40,2)</f>
        <v>0</v>
      </c>
      <c r="U40" s="34">
        <f t="shared" si="12"/>
        <v>0</v>
      </c>
      <c r="V40" s="77">
        <v>149</v>
      </c>
      <c r="W40" s="76">
        <f t="shared" si="13"/>
        <v>37.25</v>
      </c>
      <c r="X40" s="36">
        <f>ROUND(M40*$X$2,2)</f>
        <v>285.89999999999998</v>
      </c>
      <c r="Y40" s="9">
        <f t="shared" si="14"/>
        <v>2945.53</v>
      </c>
      <c r="Z40" s="76">
        <v>5385857224.3299999</v>
      </c>
      <c r="AA40" s="77">
        <v>28094</v>
      </c>
      <c r="AB40" s="17">
        <f t="shared" si="3"/>
        <v>191708.45</v>
      </c>
      <c r="AC40" s="37">
        <f t="shared" si="4"/>
        <v>0.995749</v>
      </c>
      <c r="AD40" s="77">
        <v>80167</v>
      </c>
      <c r="AE40" s="37">
        <f t="shared" si="5"/>
        <v>0.66531799999999996</v>
      </c>
      <c r="AF40" s="37">
        <f t="shared" si="23"/>
        <v>0.10338</v>
      </c>
      <c r="AG40" s="71">
        <f t="shared" si="15"/>
        <v>0.10338</v>
      </c>
      <c r="AH40" s="38">
        <f>IF(G40&gt;=1,IF(G40&lt;=5,0.06,IF(G40&lt;=10,0.05,IF(G40&lt;=15,0.04,IF(G40&lt;=19,0.03,0)))),0)</f>
        <v>0</v>
      </c>
      <c r="AI40" s="74">
        <f t="shared" si="16"/>
        <v>0.10338</v>
      </c>
      <c r="AJ40" s="77">
        <v>0</v>
      </c>
      <c r="AK40" s="77">
        <v>0</v>
      </c>
      <c r="AL40" s="11">
        <f t="shared" si="17"/>
        <v>0</v>
      </c>
      <c r="AM40" s="83"/>
      <c r="AN40" s="84"/>
      <c r="AO40" s="11">
        <f t="shared" si="18"/>
        <v>0</v>
      </c>
      <c r="AP40" s="11">
        <f>ROUND(Y40*AI40*$AP$21,0)</f>
        <v>3509465</v>
      </c>
      <c r="AQ40" s="11">
        <f t="shared" si="19"/>
        <v>3509465</v>
      </c>
      <c r="AR40" s="35">
        <v>2211848</v>
      </c>
      <c r="AS40" s="11">
        <f t="shared" si="20"/>
        <v>1297617</v>
      </c>
      <c r="AT40" s="72" t="str">
        <f t="shared" si="21"/>
        <v>Yes</v>
      </c>
      <c r="AU40" s="77">
        <v>2619087</v>
      </c>
      <c r="AV40" s="35">
        <f t="shared" si="22"/>
        <v>138325.97219999999</v>
      </c>
      <c r="AW40" s="35">
        <f t="shared" si="6"/>
        <v>2757412.9722000002</v>
      </c>
      <c r="AX40" s="35">
        <f>IF(C40=1,MAX(AW40,AR40),AW40)</f>
        <v>2757412.9722000002</v>
      </c>
      <c r="AY40" s="66"/>
      <c r="AZ40" s="67"/>
      <c r="BA40" s="35"/>
      <c r="BB40" s="68"/>
      <c r="BC40" s="35"/>
      <c r="BD40" s="21"/>
      <c r="BF40" s="21"/>
      <c r="BG40" s="21"/>
      <c r="BK40" s="21"/>
      <c r="BL40" s="21"/>
      <c r="BM40" s="21"/>
      <c r="BN40" s="21"/>
      <c r="BO40" s="21"/>
    </row>
    <row r="41" spans="1:67" ht="14.35" x14ac:dyDescent="0.5">
      <c r="A41" s="8" t="s">
        <v>120</v>
      </c>
      <c r="B41" s="8">
        <v>1</v>
      </c>
      <c r="C41" s="25">
        <v>1</v>
      </c>
      <c r="D41" s="25">
        <v>0</v>
      </c>
      <c r="E41" s="25">
        <v>1</v>
      </c>
      <c r="F41" s="1">
        <v>10</v>
      </c>
      <c r="G41" s="79">
        <v>5</v>
      </c>
      <c r="H41" s="8">
        <v>15</v>
      </c>
      <c r="I41" s="3" t="s">
        <v>121</v>
      </c>
      <c r="J41" s="70"/>
      <c r="K41" s="76">
        <v>19150.59</v>
      </c>
      <c r="L41" s="79"/>
      <c r="M41" s="77">
        <v>13000</v>
      </c>
      <c r="N41" s="76">
        <f t="shared" si="7"/>
        <v>3900</v>
      </c>
      <c r="O41" s="76">
        <f t="shared" si="8"/>
        <v>11490.35</v>
      </c>
      <c r="P41" s="76">
        <f t="shared" si="9"/>
        <v>1509.6499999999996</v>
      </c>
      <c r="Q41" s="76">
        <f t="shared" si="10"/>
        <v>226.45</v>
      </c>
      <c r="R41" s="65">
        <f t="shared" si="11"/>
        <v>0.68</v>
      </c>
      <c r="S41" s="65">
        <f>IF(R41&gt;0.6,+R41-0.6,0)</f>
        <v>8.0000000000000071E-2</v>
      </c>
      <c r="T41" s="34">
        <f>ROUND(S41*K41,2)</f>
        <v>1532.05</v>
      </c>
      <c r="U41" s="34">
        <f t="shared" si="12"/>
        <v>229.81</v>
      </c>
      <c r="V41" s="77">
        <v>3972</v>
      </c>
      <c r="W41" s="76">
        <f t="shared" si="13"/>
        <v>993</v>
      </c>
      <c r="X41" s="36">
        <f>ROUND(M41*$X$2,2)</f>
        <v>3900</v>
      </c>
      <c r="Y41" s="9">
        <f t="shared" si="14"/>
        <v>24270.04</v>
      </c>
      <c r="Z41" s="76">
        <v>9990188970</v>
      </c>
      <c r="AA41" s="77">
        <v>146417</v>
      </c>
      <c r="AB41" s="17">
        <f t="shared" si="3"/>
        <v>68231.070000000007</v>
      </c>
      <c r="AC41" s="37">
        <f t="shared" si="4"/>
        <v>0.35439799999999999</v>
      </c>
      <c r="AD41" s="77">
        <v>45441</v>
      </c>
      <c r="AE41" s="37">
        <f t="shared" si="5"/>
        <v>0.37712200000000001</v>
      </c>
      <c r="AF41" s="37">
        <f t="shared" si="23"/>
        <v>0.63878500000000005</v>
      </c>
      <c r="AG41" s="71">
        <f t="shared" si="15"/>
        <v>0.63878500000000005</v>
      </c>
      <c r="AH41" s="38">
        <f>IF(G41&gt;=1,IF(G41&lt;=5,0.06,IF(G41&lt;=10,0.05,IF(G41&lt;=15,0.04,IF(G41&lt;=19,0.03,0)))),0)</f>
        <v>0.06</v>
      </c>
      <c r="AI41" s="74">
        <f t="shared" si="16"/>
        <v>0.69878499999999999</v>
      </c>
      <c r="AJ41" s="77">
        <v>0</v>
      </c>
      <c r="AK41" s="77">
        <v>0</v>
      </c>
      <c r="AL41" s="11">
        <f t="shared" si="17"/>
        <v>0</v>
      </c>
      <c r="AM41" s="83"/>
      <c r="AN41" s="84"/>
      <c r="AO41" s="11">
        <f t="shared" si="18"/>
        <v>0</v>
      </c>
      <c r="AP41" s="11">
        <f>ROUND(Y41*AI41*$AP$21,0)</f>
        <v>195458697</v>
      </c>
      <c r="AQ41" s="11">
        <f t="shared" si="19"/>
        <v>195458697</v>
      </c>
      <c r="AR41" s="35">
        <v>181105390</v>
      </c>
      <c r="AS41" s="11">
        <f t="shared" si="20"/>
        <v>14353307</v>
      </c>
      <c r="AT41" s="72" t="str">
        <f t="shared" si="21"/>
        <v>Yes</v>
      </c>
      <c r="AU41" s="77">
        <v>187414378</v>
      </c>
      <c r="AV41" s="35">
        <f t="shared" si="22"/>
        <v>1530062.5262</v>
      </c>
      <c r="AW41" s="35">
        <f t="shared" si="6"/>
        <v>188944440.5262</v>
      </c>
      <c r="AX41" s="35">
        <f>IF(C41=1,MAX(AW41,AR41),AW41)</f>
        <v>188944440.5262</v>
      </c>
      <c r="AY41" s="66"/>
      <c r="AZ41" s="67"/>
      <c r="BA41" s="35"/>
      <c r="BB41" s="68"/>
      <c r="BC41" s="35"/>
      <c r="BD41" s="21"/>
      <c r="BF41" s="21"/>
      <c r="BG41" s="21"/>
      <c r="BK41" s="21"/>
      <c r="BL41" s="21"/>
      <c r="BM41" s="21"/>
      <c r="BN41" s="21"/>
      <c r="BO41" s="21"/>
    </row>
    <row r="42" spans="1:67" ht="14.35" x14ac:dyDescent="0.5">
      <c r="A42" s="8" t="s">
        <v>100</v>
      </c>
      <c r="B42" s="8"/>
      <c r="C42" s="25"/>
      <c r="D42" s="25"/>
      <c r="E42" s="25"/>
      <c r="F42" s="1">
        <v>2</v>
      </c>
      <c r="G42" s="78">
        <v>155</v>
      </c>
      <c r="H42" s="8">
        <v>16</v>
      </c>
      <c r="I42" s="3" t="s">
        <v>122</v>
      </c>
      <c r="J42" s="70"/>
      <c r="K42" s="76">
        <v>112</v>
      </c>
      <c r="L42" s="78"/>
      <c r="M42" s="77">
        <v>11</v>
      </c>
      <c r="N42" s="76">
        <f t="shared" si="7"/>
        <v>3.3</v>
      </c>
      <c r="O42" s="76">
        <f t="shared" si="8"/>
        <v>67.2</v>
      </c>
      <c r="P42" s="76">
        <f t="shared" si="9"/>
        <v>0</v>
      </c>
      <c r="Q42" s="76">
        <f t="shared" si="10"/>
        <v>0</v>
      </c>
      <c r="R42" s="65">
        <f t="shared" si="11"/>
        <v>0.1</v>
      </c>
      <c r="S42" s="65">
        <f>IF(R42&gt;0.6,+R42-0.6,0)</f>
        <v>0</v>
      </c>
      <c r="T42" s="34">
        <f>ROUND(S42*K42,2)</f>
        <v>0</v>
      </c>
      <c r="U42" s="34">
        <f t="shared" si="12"/>
        <v>0</v>
      </c>
      <c r="V42" s="77">
        <v>0</v>
      </c>
      <c r="W42" s="76">
        <f t="shared" si="13"/>
        <v>0</v>
      </c>
      <c r="X42" s="36">
        <f>ROUND(M42*$X$2,2)</f>
        <v>3.3</v>
      </c>
      <c r="Y42" s="9">
        <f t="shared" si="14"/>
        <v>115.3</v>
      </c>
      <c r="Z42" s="76">
        <v>531347514.67000002</v>
      </c>
      <c r="AA42" s="77">
        <v>1706</v>
      </c>
      <c r="AB42" s="17">
        <f t="shared" si="3"/>
        <v>311458.09999999998</v>
      </c>
      <c r="AC42" s="37">
        <f t="shared" si="4"/>
        <v>1.617739</v>
      </c>
      <c r="AD42" s="77">
        <v>106429</v>
      </c>
      <c r="AE42" s="37">
        <f t="shared" si="5"/>
        <v>0.88327</v>
      </c>
      <c r="AF42" s="37">
        <f t="shared" si="23"/>
        <v>-0.39739799999999997</v>
      </c>
      <c r="AG42" s="71">
        <f t="shared" si="15"/>
        <v>0.01</v>
      </c>
      <c r="AH42" s="38">
        <f>IF(G42&gt;=1,IF(G42&lt;=5,0.06,IF(G42&lt;=10,0.05,IF(G42&lt;=15,0.04,IF(G42&lt;=19,0.03,0)))),0)</f>
        <v>0</v>
      </c>
      <c r="AI42" s="74">
        <f t="shared" si="16"/>
        <v>0.01</v>
      </c>
      <c r="AJ42" s="77">
        <v>112</v>
      </c>
      <c r="AK42" s="77">
        <v>13</v>
      </c>
      <c r="AL42" s="11">
        <f t="shared" si="17"/>
        <v>145600</v>
      </c>
      <c r="AM42" s="83"/>
      <c r="AN42" s="84"/>
      <c r="AO42" s="11">
        <f t="shared" si="18"/>
        <v>0</v>
      </c>
      <c r="AP42" s="11">
        <f>ROUND(Y42*AI42*$AP$21,0)</f>
        <v>13288</v>
      </c>
      <c r="AQ42" s="11">
        <f t="shared" si="19"/>
        <v>158888</v>
      </c>
      <c r="AR42" s="35">
        <v>23014</v>
      </c>
      <c r="AS42" s="11">
        <f t="shared" si="20"/>
        <v>135874</v>
      </c>
      <c r="AT42" s="72" t="str">
        <f t="shared" si="21"/>
        <v>Yes</v>
      </c>
      <c r="AU42" s="77">
        <v>23564</v>
      </c>
      <c r="AV42" s="35">
        <f t="shared" si="22"/>
        <v>14484.1684</v>
      </c>
      <c r="AW42" s="35">
        <f t="shared" si="6"/>
        <v>38048.168400000002</v>
      </c>
      <c r="AX42" s="35">
        <f>IF(C42=1,MAX(AW42,AR42),AW42)</f>
        <v>38048.168400000002</v>
      </c>
      <c r="AY42" s="66"/>
      <c r="AZ42" s="67"/>
      <c r="BA42" s="35"/>
      <c r="BB42" s="68"/>
      <c r="BC42" s="35"/>
      <c r="BD42" s="21"/>
      <c r="BF42" s="21"/>
      <c r="BG42" s="21"/>
      <c r="BK42" s="21"/>
      <c r="BL42" s="21"/>
      <c r="BM42" s="21"/>
      <c r="BN42" s="21"/>
      <c r="BO42" s="21"/>
    </row>
    <row r="43" spans="1:67" ht="14.35" x14ac:dyDescent="0.5">
      <c r="A43" s="8" t="s">
        <v>115</v>
      </c>
      <c r="B43" s="8"/>
      <c r="C43" s="25">
        <v>1</v>
      </c>
      <c r="D43" s="25">
        <v>1</v>
      </c>
      <c r="E43" s="25"/>
      <c r="F43" s="1">
        <v>9</v>
      </c>
      <c r="G43" s="79">
        <v>20</v>
      </c>
      <c r="H43" s="8">
        <v>17</v>
      </c>
      <c r="I43" s="3" t="s">
        <v>123</v>
      </c>
      <c r="J43" s="70"/>
      <c r="K43" s="76">
        <v>7929.3</v>
      </c>
      <c r="L43" s="79"/>
      <c r="M43" s="77">
        <v>4333</v>
      </c>
      <c r="N43" s="76">
        <f t="shared" si="7"/>
        <v>1299.9000000000001</v>
      </c>
      <c r="O43" s="76">
        <f t="shared" si="8"/>
        <v>4757.58</v>
      </c>
      <c r="P43" s="76">
        <f t="shared" si="9"/>
        <v>0</v>
      </c>
      <c r="Q43" s="76">
        <f t="shared" si="10"/>
        <v>0</v>
      </c>
      <c r="R43" s="65">
        <f t="shared" si="11"/>
        <v>0.55000000000000004</v>
      </c>
      <c r="S43" s="65">
        <f>IF(R43&gt;0.6,+R43-0.6,0)</f>
        <v>0</v>
      </c>
      <c r="T43" s="34">
        <f>ROUND(S43*K43,2)</f>
        <v>0</v>
      </c>
      <c r="U43" s="34">
        <f t="shared" si="12"/>
        <v>0</v>
      </c>
      <c r="V43" s="77">
        <v>407</v>
      </c>
      <c r="W43" s="76">
        <f t="shared" si="13"/>
        <v>101.75</v>
      </c>
      <c r="X43" s="36">
        <f>ROUND(M43*$X$2,2)</f>
        <v>1299.9000000000001</v>
      </c>
      <c r="Y43" s="9">
        <f t="shared" si="14"/>
        <v>9330.9500000000007</v>
      </c>
      <c r="Z43" s="76">
        <v>5870571310.3299999</v>
      </c>
      <c r="AA43" s="77">
        <v>60308</v>
      </c>
      <c r="AB43" s="17">
        <f t="shared" si="3"/>
        <v>97343.16</v>
      </c>
      <c r="AC43" s="37">
        <f t="shared" si="4"/>
        <v>0.50560799999999995</v>
      </c>
      <c r="AD43" s="77">
        <v>66829</v>
      </c>
      <c r="AE43" s="37">
        <f t="shared" si="5"/>
        <v>0.55462400000000001</v>
      </c>
      <c r="AF43" s="37">
        <f t="shared" si="23"/>
        <v>0.47968699999999997</v>
      </c>
      <c r="AG43" s="71">
        <f t="shared" si="15"/>
        <v>0.47968699999999997</v>
      </c>
      <c r="AH43" s="38">
        <f>IF(G43&gt;=1,IF(G43&lt;=5,0.06,IF(G43&lt;=10,0.05,IF(G43&lt;=15,0.04,IF(G43&lt;=19,0.03,0)))),0)</f>
        <v>0</v>
      </c>
      <c r="AI43" s="74">
        <f t="shared" si="16"/>
        <v>0.47968699999999997</v>
      </c>
      <c r="AJ43" s="77">
        <v>0</v>
      </c>
      <c r="AK43" s="77">
        <v>0</v>
      </c>
      <c r="AL43" s="11">
        <f t="shared" si="17"/>
        <v>0</v>
      </c>
      <c r="AM43" s="83"/>
      <c r="AN43" s="84"/>
      <c r="AO43" s="11">
        <f t="shared" si="18"/>
        <v>0</v>
      </c>
      <c r="AP43" s="11">
        <f>ROUND(Y43*AI43*$AP$21,0)</f>
        <v>51585156</v>
      </c>
      <c r="AQ43" s="11">
        <f t="shared" si="19"/>
        <v>51585156</v>
      </c>
      <c r="AR43" s="35">
        <v>44853676</v>
      </c>
      <c r="AS43" s="11">
        <f t="shared" si="20"/>
        <v>6731480</v>
      </c>
      <c r="AT43" s="72" t="str">
        <f t="shared" si="21"/>
        <v>Yes</v>
      </c>
      <c r="AU43" s="77">
        <v>47424566</v>
      </c>
      <c r="AV43" s="35">
        <f t="shared" si="22"/>
        <v>717575.76800000004</v>
      </c>
      <c r="AW43" s="35">
        <f t="shared" si="6"/>
        <v>48142141.767999999</v>
      </c>
      <c r="AX43" s="35">
        <f>IF(C43=1,MAX(AW43,AR43),AW43)</f>
        <v>48142141.767999999</v>
      </c>
      <c r="AY43" s="66"/>
      <c r="AZ43" s="67"/>
      <c r="BA43" s="35"/>
      <c r="BB43" s="68"/>
      <c r="BC43" s="35"/>
      <c r="BD43" s="21"/>
      <c r="BF43" s="21"/>
      <c r="BG43" s="21"/>
      <c r="BK43" s="21"/>
      <c r="BL43" s="21"/>
      <c r="BM43" s="21"/>
      <c r="BN43" s="21"/>
      <c r="BO43" s="21"/>
    </row>
    <row r="44" spans="1:67" ht="14.35" x14ac:dyDescent="0.5">
      <c r="A44" s="8" t="s">
        <v>106</v>
      </c>
      <c r="B44" s="8"/>
      <c r="C44" s="25"/>
      <c r="D44" s="25"/>
      <c r="E44" s="25"/>
      <c r="F44" s="1">
        <v>2</v>
      </c>
      <c r="G44" s="78">
        <v>112</v>
      </c>
      <c r="H44" s="8">
        <v>18</v>
      </c>
      <c r="I44" s="3" t="s">
        <v>124</v>
      </c>
      <c r="J44" s="70"/>
      <c r="K44" s="76">
        <v>2601.5</v>
      </c>
      <c r="L44" s="78"/>
      <c r="M44" s="77">
        <v>540</v>
      </c>
      <c r="N44" s="76">
        <f t="shared" si="7"/>
        <v>162</v>
      </c>
      <c r="O44" s="76">
        <f t="shared" si="8"/>
        <v>1560.9</v>
      </c>
      <c r="P44" s="76">
        <f t="shared" si="9"/>
        <v>0</v>
      </c>
      <c r="Q44" s="76">
        <f t="shared" si="10"/>
        <v>0</v>
      </c>
      <c r="R44" s="65">
        <f t="shared" si="11"/>
        <v>0.21</v>
      </c>
      <c r="S44" s="65">
        <f>IF(R44&gt;0.6,+R44-0.6,0)</f>
        <v>0</v>
      </c>
      <c r="T44" s="34">
        <f>ROUND(S44*K44,2)</f>
        <v>0</v>
      </c>
      <c r="U44" s="34">
        <f t="shared" si="12"/>
        <v>0</v>
      </c>
      <c r="V44" s="77">
        <v>92</v>
      </c>
      <c r="W44" s="76">
        <f t="shared" si="13"/>
        <v>23</v>
      </c>
      <c r="X44" s="36">
        <f>ROUND(M44*$X$2,2)</f>
        <v>162</v>
      </c>
      <c r="Y44" s="9">
        <f t="shared" si="14"/>
        <v>2786.5</v>
      </c>
      <c r="Z44" s="76">
        <v>3411056588</v>
      </c>
      <c r="AA44" s="77">
        <v>17013</v>
      </c>
      <c r="AB44" s="17">
        <f t="shared" si="3"/>
        <v>200497.07</v>
      </c>
      <c r="AC44" s="37">
        <f t="shared" si="4"/>
        <v>1.041398</v>
      </c>
      <c r="AD44" s="77">
        <v>107255</v>
      </c>
      <c r="AE44" s="37">
        <f t="shared" si="5"/>
        <v>0.89012500000000006</v>
      </c>
      <c r="AF44" s="37">
        <f t="shared" si="23"/>
        <v>3.9839999999999997E-3</v>
      </c>
      <c r="AG44" s="71">
        <f t="shared" si="15"/>
        <v>0.01</v>
      </c>
      <c r="AH44" s="38">
        <f>IF(G44&gt;=1,IF(G44&lt;=5,0.06,IF(G44&lt;=10,0.05,IF(G44&lt;=15,0.04,IF(G44&lt;=19,0.03,0)))),0)</f>
        <v>0</v>
      </c>
      <c r="AI44" s="74">
        <f t="shared" si="16"/>
        <v>0.01</v>
      </c>
      <c r="AJ44" s="77">
        <v>0</v>
      </c>
      <c r="AK44" s="77">
        <v>0</v>
      </c>
      <c r="AL44" s="11">
        <f t="shared" si="17"/>
        <v>0</v>
      </c>
      <c r="AM44" s="83"/>
      <c r="AN44" s="84"/>
      <c r="AO44" s="11">
        <f t="shared" si="18"/>
        <v>0</v>
      </c>
      <c r="AP44" s="11">
        <f>ROUND(Y44*AI44*$AP$21,0)</f>
        <v>321144</v>
      </c>
      <c r="AQ44" s="11">
        <f t="shared" si="19"/>
        <v>321144</v>
      </c>
      <c r="AR44" s="35">
        <v>1417583</v>
      </c>
      <c r="AS44" s="11">
        <f t="shared" si="20"/>
        <v>1096439</v>
      </c>
      <c r="AT44" s="72" t="str">
        <f t="shared" si="21"/>
        <v>No</v>
      </c>
      <c r="AU44" s="77">
        <v>962317</v>
      </c>
      <c r="AV44" s="35">
        <f t="shared" si="22"/>
        <v>0</v>
      </c>
      <c r="AW44" s="35">
        <f t="shared" si="6"/>
        <v>962317</v>
      </c>
      <c r="AX44" s="35">
        <f>IF(C44=1,MAX(AW44,AR44),AW44)</f>
        <v>962317</v>
      </c>
      <c r="AY44" s="66"/>
      <c r="AZ44" s="67"/>
      <c r="BA44" s="35"/>
      <c r="BB44" s="68"/>
      <c r="BC44" s="35"/>
      <c r="BD44" s="21"/>
      <c r="BF44" s="21"/>
      <c r="BG44" s="21"/>
      <c r="BK44" s="21"/>
      <c r="BL44" s="21"/>
      <c r="BM44" s="21"/>
      <c r="BN44" s="21"/>
      <c r="BO44" s="21"/>
    </row>
    <row r="45" spans="1:67" ht="14.35" x14ac:dyDescent="0.5">
      <c r="A45" s="8" t="s">
        <v>104</v>
      </c>
      <c r="B45" s="8"/>
      <c r="C45" s="25"/>
      <c r="D45" s="25"/>
      <c r="E45" s="25"/>
      <c r="F45" s="1">
        <v>9</v>
      </c>
      <c r="G45" s="80">
        <v>54</v>
      </c>
      <c r="H45" s="8">
        <v>19</v>
      </c>
      <c r="I45" s="3" t="s">
        <v>125</v>
      </c>
      <c r="J45" s="70"/>
      <c r="K45" s="76">
        <v>1154.98</v>
      </c>
      <c r="L45" s="80"/>
      <c r="M45" s="77">
        <v>377</v>
      </c>
      <c r="N45" s="76">
        <f t="shared" si="7"/>
        <v>113.1</v>
      </c>
      <c r="O45" s="76">
        <f t="shared" si="8"/>
        <v>692.99</v>
      </c>
      <c r="P45" s="76">
        <f t="shared" si="9"/>
        <v>0</v>
      </c>
      <c r="Q45" s="76">
        <f t="shared" si="10"/>
        <v>0</v>
      </c>
      <c r="R45" s="65">
        <f t="shared" si="11"/>
        <v>0.33</v>
      </c>
      <c r="S45" s="65">
        <f>IF(R45&gt;0.6,+R45-0.6,0)</f>
        <v>0</v>
      </c>
      <c r="T45" s="34">
        <f>ROUND(S45*K45,2)</f>
        <v>0</v>
      </c>
      <c r="U45" s="34">
        <f t="shared" si="12"/>
        <v>0</v>
      </c>
      <c r="V45" s="77">
        <v>14</v>
      </c>
      <c r="W45" s="76">
        <f t="shared" si="13"/>
        <v>3.5</v>
      </c>
      <c r="X45" s="36">
        <f>ROUND(M45*$X$2,2)</f>
        <v>113.1</v>
      </c>
      <c r="Y45" s="9">
        <f t="shared" si="14"/>
        <v>1271.58</v>
      </c>
      <c r="Z45" s="76">
        <v>903194473.33000004</v>
      </c>
      <c r="AA45" s="77">
        <v>8243</v>
      </c>
      <c r="AB45" s="17">
        <f t="shared" si="3"/>
        <v>109571.09</v>
      </c>
      <c r="AC45" s="37">
        <f t="shared" si="4"/>
        <v>0.56912099999999999</v>
      </c>
      <c r="AD45" s="77">
        <v>72090</v>
      </c>
      <c r="AE45" s="37">
        <f t="shared" si="5"/>
        <v>0.59828599999999998</v>
      </c>
      <c r="AF45" s="37">
        <f t="shared" si="23"/>
        <v>0.42213000000000001</v>
      </c>
      <c r="AG45" s="71">
        <f t="shared" si="15"/>
        <v>0.42213000000000001</v>
      </c>
      <c r="AH45" s="38">
        <f>IF(G45&gt;=1,IF(G45&lt;=5,0.06,IF(G45&lt;=10,0.05,IF(G45&lt;=15,0.04,IF(G45&lt;=19,0.03,0)))),0)</f>
        <v>0</v>
      </c>
      <c r="AI45" s="74">
        <f t="shared" si="16"/>
        <v>0.42213000000000001</v>
      </c>
      <c r="AJ45" s="81">
        <v>0</v>
      </c>
      <c r="AK45" s="81">
        <v>0</v>
      </c>
      <c r="AL45" s="11">
        <f t="shared" si="17"/>
        <v>0</v>
      </c>
      <c r="AM45" s="83">
        <v>202</v>
      </c>
      <c r="AN45" s="84">
        <v>4</v>
      </c>
      <c r="AO45" s="11">
        <f t="shared" si="18"/>
        <v>80800</v>
      </c>
      <c r="AP45" s="11">
        <f>ROUND(Y45*AI45*$AP$21,0)</f>
        <v>6186298</v>
      </c>
      <c r="AQ45" s="11">
        <f t="shared" si="19"/>
        <v>6267098</v>
      </c>
      <c r="AR45" s="35">
        <v>6975373</v>
      </c>
      <c r="AS45" s="11">
        <f t="shared" si="20"/>
        <v>708275</v>
      </c>
      <c r="AT45" s="72" t="str">
        <f t="shared" si="21"/>
        <v>No</v>
      </c>
      <c r="AU45" s="77">
        <v>6926095</v>
      </c>
      <c r="AV45" s="35">
        <f t="shared" si="22"/>
        <v>0</v>
      </c>
      <c r="AW45" s="35">
        <f t="shared" si="6"/>
        <v>6926095</v>
      </c>
      <c r="AX45" s="35">
        <f>IF(C45=1,MAX(AW45,AR45),AW45)</f>
        <v>6926095</v>
      </c>
      <c r="AY45" s="66"/>
      <c r="AZ45" s="67"/>
      <c r="BA45" s="35"/>
      <c r="BB45" s="68"/>
      <c r="BC45" s="35"/>
      <c r="BD45" s="21"/>
      <c r="BF45" s="21"/>
      <c r="BG45" s="21"/>
      <c r="BK45" s="21"/>
      <c r="BL45" s="21"/>
      <c r="BM45" s="21"/>
      <c r="BN45" s="21"/>
      <c r="BO45" s="21"/>
    </row>
    <row r="46" spans="1:67" ht="14.35" x14ac:dyDescent="0.5">
      <c r="A46" s="8" t="s">
        <v>100</v>
      </c>
      <c r="B46" s="8"/>
      <c r="C46" s="25"/>
      <c r="D46" s="25"/>
      <c r="E46" s="25"/>
      <c r="F46" s="1">
        <v>3</v>
      </c>
      <c r="G46" s="78">
        <v>128</v>
      </c>
      <c r="H46" s="8">
        <v>20</v>
      </c>
      <c r="I46" s="3" t="s">
        <v>126</v>
      </c>
      <c r="J46" s="70"/>
      <c r="K46" s="76">
        <v>1492.32</v>
      </c>
      <c r="L46" s="78"/>
      <c r="M46" s="77">
        <v>170</v>
      </c>
      <c r="N46" s="76">
        <f t="shared" si="7"/>
        <v>51</v>
      </c>
      <c r="O46" s="76">
        <f t="shared" si="8"/>
        <v>895.39</v>
      </c>
      <c r="P46" s="76">
        <f t="shared" si="9"/>
        <v>0</v>
      </c>
      <c r="Q46" s="76">
        <f t="shared" si="10"/>
        <v>0</v>
      </c>
      <c r="R46" s="65">
        <f t="shared" si="11"/>
        <v>0.11</v>
      </c>
      <c r="S46" s="65">
        <f>IF(R46&gt;0.6,+R46-0.6,0)</f>
        <v>0</v>
      </c>
      <c r="T46" s="34">
        <f>ROUND(S46*K46,2)</f>
        <v>0</v>
      </c>
      <c r="U46" s="34">
        <f t="shared" si="12"/>
        <v>0</v>
      </c>
      <c r="V46" s="77">
        <v>31</v>
      </c>
      <c r="W46" s="76">
        <f t="shared" si="13"/>
        <v>7.75</v>
      </c>
      <c r="X46" s="36">
        <f>ROUND(M46*$X$2,2)</f>
        <v>51</v>
      </c>
      <c r="Y46" s="9">
        <f t="shared" si="14"/>
        <v>1551.07</v>
      </c>
      <c r="Z46" s="76">
        <v>1354355903.3299999</v>
      </c>
      <c r="AA46" s="77">
        <v>9607</v>
      </c>
      <c r="AB46" s="17">
        <f t="shared" si="3"/>
        <v>140975.94</v>
      </c>
      <c r="AC46" s="37">
        <f t="shared" si="4"/>
        <v>0.73224100000000003</v>
      </c>
      <c r="AD46" s="77">
        <v>126341</v>
      </c>
      <c r="AE46" s="37">
        <f t="shared" si="5"/>
        <v>1.0485230000000001</v>
      </c>
      <c r="AF46" s="37">
        <f t="shared" si="23"/>
        <v>0.172874</v>
      </c>
      <c r="AG46" s="71">
        <f t="shared" si="15"/>
        <v>0.172874</v>
      </c>
      <c r="AH46" s="38">
        <f>IF(G46&gt;=1,IF(G46&lt;=5,0.06,IF(G46&lt;=10,0.05,IF(G46&lt;=15,0.04,IF(G46&lt;=19,0.03,0)))),0)</f>
        <v>0</v>
      </c>
      <c r="AI46" s="74">
        <f t="shared" si="16"/>
        <v>0.172874</v>
      </c>
      <c r="AJ46" s="77">
        <v>1493</v>
      </c>
      <c r="AK46" s="77">
        <v>13</v>
      </c>
      <c r="AL46" s="11">
        <f t="shared" si="17"/>
        <v>1940900</v>
      </c>
      <c r="AM46" s="83"/>
      <c r="AN46" s="84"/>
      <c r="AO46" s="11">
        <f t="shared" si="18"/>
        <v>0</v>
      </c>
      <c r="AP46" s="11">
        <f>ROUND(Y46*AI46*$AP$21,0)</f>
        <v>3090310</v>
      </c>
      <c r="AQ46" s="11">
        <f t="shared" si="19"/>
        <v>5031210</v>
      </c>
      <c r="AR46" s="35">
        <v>4359350</v>
      </c>
      <c r="AS46" s="11">
        <f t="shared" si="20"/>
        <v>671860</v>
      </c>
      <c r="AT46" s="72" t="str">
        <f t="shared" si="21"/>
        <v>Yes</v>
      </c>
      <c r="AU46" s="77">
        <v>3923648</v>
      </c>
      <c r="AV46" s="35">
        <f t="shared" si="22"/>
        <v>71620.275999999998</v>
      </c>
      <c r="AW46" s="35">
        <f t="shared" si="6"/>
        <v>3995268.2760000001</v>
      </c>
      <c r="AX46" s="35">
        <f>IF(C46=1,MAX(AW46,AR46),AW46)</f>
        <v>3995268.2760000001</v>
      </c>
      <c r="AY46" s="66"/>
      <c r="AZ46" s="67"/>
      <c r="BA46" s="35"/>
      <c r="BB46" s="68"/>
      <c r="BC46" s="35"/>
      <c r="BD46" s="21"/>
      <c r="BF46" s="21"/>
      <c r="BG46" s="21"/>
      <c r="BK46" s="21"/>
      <c r="BL46" s="21"/>
      <c r="BM46" s="21"/>
      <c r="BN46" s="21"/>
      <c r="BO46" s="21"/>
    </row>
    <row r="47" spans="1:67" ht="14.35" x14ac:dyDescent="0.5">
      <c r="A47" s="8" t="s">
        <v>104</v>
      </c>
      <c r="B47" s="8"/>
      <c r="C47" s="25"/>
      <c r="D47" s="25"/>
      <c r="E47" s="25"/>
      <c r="F47" s="1">
        <v>4</v>
      </c>
      <c r="G47" s="78">
        <v>152</v>
      </c>
      <c r="H47" s="8">
        <v>21</v>
      </c>
      <c r="I47" s="3" t="s">
        <v>127</v>
      </c>
      <c r="J47" s="70"/>
      <c r="K47" s="76">
        <v>99.1</v>
      </c>
      <c r="L47" s="78"/>
      <c r="M47" s="77">
        <v>38</v>
      </c>
      <c r="N47" s="76">
        <f t="shared" si="7"/>
        <v>11.4</v>
      </c>
      <c r="O47" s="76">
        <f t="shared" si="8"/>
        <v>59.46</v>
      </c>
      <c r="P47" s="76">
        <f t="shared" si="9"/>
        <v>0</v>
      </c>
      <c r="Q47" s="76">
        <f t="shared" si="10"/>
        <v>0</v>
      </c>
      <c r="R47" s="65">
        <f t="shared" si="11"/>
        <v>0.38</v>
      </c>
      <c r="S47" s="65">
        <f>IF(R47&gt;0.6,+R47-0.6,0)</f>
        <v>0</v>
      </c>
      <c r="T47" s="34">
        <f>ROUND(S47*K47,2)</f>
        <v>0</v>
      </c>
      <c r="U47" s="34">
        <f t="shared" si="12"/>
        <v>0</v>
      </c>
      <c r="V47" s="77">
        <v>2</v>
      </c>
      <c r="W47" s="76">
        <f t="shared" si="13"/>
        <v>0.5</v>
      </c>
      <c r="X47" s="36">
        <f>ROUND(M47*$X$2,2)</f>
        <v>11.4</v>
      </c>
      <c r="Y47" s="9">
        <f t="shared" si="14"/>
        <v>111</v>
      </c>
      <c r="Z47" s="76">
        <v>252403063.33000001</v>
      </c>
      <c r="AA47" s="77">
        <v>1196</v>
      </c>
      <c r="AB47" s="17">
        <f t="shared" si="3"/>
        <v>211039.35</v>
      </c>
      <c r="AC47" s="37">
        <f t="shared" si="4"/>
        <v>1.0961559999999999</v>
      </c>
      <c r="AD47" s="77">
        <v>77847</v>
      </c>
      <c r="AE47" s="37">
        <f t="shared" si="5"/>
        <v>0.64606399999999997</v>
      </c>
      <c r="AF47" s="37">
        <f t="shared" si="23"/>
        <v>3.8871999999999997E-2</v>
      </c>
      <c r="AG47" s="71">
        <f t="shared" si="15"/>
        <v>3.8871999999999997E-2</v>
      </c>
      <c r="AH47" s="38">
        <f>IF(G47&gt;=1,IF(G47&lt;=5,0.06,IF(G47&lt;=10,0.05,IF(G47&lt;=15,0.04,IF(G47&lt;=19,0.03,0)))),0)</f>
        <v>0</v>
      </c>
      <c r="AI47" s="74">
        <f t="shared" si="16"/>
        <v>3.8871999999999997E-2</v>
      </c>
      <c r="AJ47" s="77">
        <v>34</v>
      </c>
      <c r="AK47" s="77">
        <v>4</v>
      </c>
      <c r="AL47" s="11">
        <f t="shared" si="17"/>
        <v>13600</v>
      </c>
      <c r="AM47" s="83"/>
      <c r="AN47" s="84"/>
      <c r="AO47" s="11">
        <f t="shared" si="18"/>
        <v>0</v>
      </c>
      <c r="AP47" s="11">
        <f>ROUND(Y47*AI47*$AP$21,0)</f>
        <v>49728</v>
      </c>
      <c r="AQ47" s="11">
        <f t="shared" si="19"/>
        <v>63328</v>
      </c>
      <c r="AR47" s="35">
        <v>177216</v>
      </c>
      <c r="AS47" s="11">
        <f t="shared" si="20"/>
        <v>113888</v>
      </c>
      <c r="AT47" s="72" t="str">
        <f t="shared" si="21"/>
        <v>No</v>
      </c>
      <c r="AU47" s="77">
        <v>125752</v>
      </c>
      <c r="AV47" s="35">
        <f t="shared" si="22"/>
        <v>0</v>
      </c>
      <c r="AW47" s="35">
        <f t="shared" si="6"/>
        <v>125752</v>
      </c>
      <c r="AX47" s="35">
        <f>IF(C47=1,MAX(AW47,AR47),AW47)</f>
        <v>125752</v>
      </c>
      <c r="AY47" s="66"/>
      <c r="AZ47" s="67"/>
      <c r="BA47" s="35"/>
      <c r="BB47" s="68"/>
      <c r="BC47" s="35"/>
      <c r="BD47" s="21"/>
      <c r="BF47" s="21"/>
      <c r="BG47" s="21"/>
      <c r="BK47" s="21"/>
      <c r="BL47" s="21"/>
      <c r="BM47" s="21"/>
      <c r="BN47" s="21"/>
      <c r="BO47" s="21"/>
    </row>
    <row r="48" spans="1:67" ht="14.35" x14ac:dyDescent="0.5">
      <c r="A48" s="8" t="s">
        <v>128</v>
      </c>
      <c r="B48" s="8"/>
      <c r="C48" s="25"/>
      <c r="D48" s="25"/>
      <c r="E48" s="25"/>
      <c r="F48" s="1">
        <v>8</v>
      </c>
      <c r="G48" s="78">
        <v>62</v>
      </c>
      <c r="H48" s="8">
        <v>22</v>
      </c>
      <c r="I48" s="3" t="s">
        <v>129</v>
      </c>
      <c r="J48" s="70"/>
      <c r="K48" s="76">
        <v>590</v>
      </c>
      <c r="L48" s="78"/>
      <c r="M48" s="77">
        <v>155</v>
      </c>
      <c r="N48" s="76">
        <f t="shared" si="7"/>
        <v>46.5</v>
      </c>
      <c r="O48" s="76">
        <f t="shared" si="8"/>
        <v>354</v>
      </c>
      <c r="P48" s="76">
        <f t="shared" si="9"/>
        <v>0</v>
      </c>
      <c r="Q48" s="76">
        <f t="shared" si="10"/>
        <v>0</v>
      </c>
      <c r="R48" s="65">
        <f t="shared" si="11"/>
        <v>0.26</v>
      </c>
      <c r="S48" s="65">
        <f>IF(R48&gt;0.6,+R48-0.6,0)</f>
        <v>0</v>
      </c>
      <c r="T48" s="34">
        <f>ROUND(S48*K48,2)</f>
        <v>0</v>
      </c>
      <c r="U48" s="34">
        <f t="shared" si="12"/>
        <v>0</v>
      </c>
      <c r="V48" s="77">
        <v>1</v>
      </c>
      <c r="W48" s="76">
        <f t="shared" si="13"/>
        <v>0.25</v>
      </c>
      <c r="X48" s="36">
        <f>ROUND(M48*$X$2,2)</f>
        <v>46.5</v>
      </c>
      <c r="Y48" s="9">
        <f t="shared" si="14"/>
        <v>636.75</v>
      </c>
      <c r="Z48" s="76">
        <v>550952590.33000004</v>
      </c>
      <c r="AA48" s="77">
        <v>5074</v>
      </c>
      <c r="AB48" s="17">
        <f t="shared" si="3"/>
        <v>108583.48</v>
      </c>
      <c r="AC48" s="37">
        <f t="shared" si="4"/>
        <v>0.56399200000000005</v>
      </c>
      <c r="AD48" s="77">
        <v>92835</v>
      </c>
      <c r="AE48" s="37">
        <f t="shared" si="5"/>
        <v>0.77045200000000003</v>
      </c>
      <c r="AF48" s="37">
        <f t="shared" si="23"/>
        <v>0.37407000000000001</v>
      </c>
      <c r="AG48" s="71">
        <f t="shared" si="15"/>
        <v>0.37407000000000001</v>
      </c>
      <c r="AH48" s="38">
        <f>IF(G48&gt;=1,IF(G48&lt;=5,0.06,IF(G48&lt;=10,0.05,IF(G48&lt;=15,0.04,IF(G48&lt;=19,0.03,0)))),0)</f>
        <v>0</v>
      </c>
      <c r="AI48" s="74">
        <f t="shared" si="16"/>
        <v>0.37407000000000001</v>
      </c>
      <c r="AJ48" s="81">
        <v>0</v>
      </c>
      <c r="AK48" s="81">
        <v>0</v>
      </c>
      <c r="AL48" s="11">
        <f t="shared" si="17"/>
        <v>0</v>
      </c>
      <c r="AM48" s="83">
        <v>147</v>
      </c>
      <c r="AN48" s="84">
        <v>4</v>
      </c>
      <c r="AO48" s="11">
        <f t="shared" si="18"/>
        <v>58800</v>
      </c>
      <c r="AP48" s="11">
        <f>ROUND(Y48*AI48*$AP$21,0)</f>
        <v>2745129</v>
      </c>
      <c r="AQ48" s="11">
        <f t="shared" si="19"/>
        <v>2803929</v>
      </c>
      <c r="AR48" s="35">
        <v>4665608</v>
      </c>
      <c r="AS48" s="11">
        <f t="shared" si="20"/>
        <v>1861679</v>
      </c>
      <c r="AT48" s="72" t="str">
        <f t="shared" si="21"/>
        <v>No</v>
      </c>
      <c r="AU48" s="77">
        <v>4004835</v>
      </c>
      <c r="AV48" s="35">
        <f t="shared" si="22"/>
        <v>0</v>
      </c>
      <c r="AW48" s="35">
        <f t="shared" si="6"/>
        <v>4004835</v>
      </c>
      <c r="AX48" s="35">
        <f>IF(C48=1,MAX(AW48,AR48),AW48)</f>
        <v>4004835</v>
      </c>
      <c r="AY48" s="66"/>
      <c r="AZ48" s="67"/>
      <c r="BA48" s="35"/>
      <c r="BB48" s="68"/>
      <c r="BC48" s="35"/>
      <c r="BD48" s="21"/>
      <c r="BF48" s="21"/>
      <c r="BG48" s="21"/>
      <c r="BK48" s="21"/>
      <c r="BL48" s="21"/>
      <c r="BM48" s="21"/>
      <c r="BN48" s="21"/>
      <c r="BO48" s="21"/>
    </row>
    <row r="49" spans="1:67" ht="14.35" x14ac:dyDescent="0.5">
      <c r="A49" s="8" t="s">
        <v>100</v>
      </c>
      <c r="B49" s="8"/>
      <c r="C49" s="25"/>
      <c r="D49" s="25"/>
      <c r="E49" s="25"/>
      <c r="F49" s="1">
        <v>4</v>
      </c>
      <c r="G49" s="78">
        <v>130</v>
      </c>
      <c r="H49" s="8">
        <v>23</v>
      </c>
      <c r="I49" s="3" t="s">
        <v>130</v>
      </c>
      <c r="J49" s="70"/>
      <c r="K49" s="76">
        <v>1492.21</v>
      </c>
      <c r="L49" s="78"/>
      <c r="M49" s="77">
        <v>180</v>
      </c>
      <c r="N49" s="76">
        <f t="shared" si="7"/>
        <v>54</v>
      </c>
      <c r="O49" s="76">
        <f t="shared" si="8"/>
        <v>895.33</v>
      </c>
      <c r="P49" s="76">
        <f t="shared" si="9"/>
        <v>0</v>
      </c>
      <c r="Q49" s="76">
        <f t="shared" si="10"/>
        <v>0</v>
      </c>
      <c r="R49" s="65">
        <f t="shared" si="11"/>
        <v>0.12</v>
      </c>
      <c r="S49" s="65">
        <f>IF(R49&gt;0.6,+R49-0.6,0)</f>
        <v>0</v>
      </c>
      <c r="T49" s="34">
        <f>ROUND(S49*K49,2)</f>
        <v>0</v>
      </c>
      <c r="U49" s="34">
        <f t="shared" si="12"/>
        <v>0</v>
      </c>
      <c r="V49" s="77">
        <v>8</v>
      </c>
      <c r="W49" s="76">
        <f t="shared" si="13"/>
        <v>2</v>
      </c>
      <c r="X49" s="36">
        <f>ROUND(M49*$X$2,2)</f>
        <v>54</v>
      </c>
      <c r="Y49" s="9">
        <f t="shared" si="14"/>
        <v>1548.21</v>
      </c>
      <c r="Z49" s="76">
        <v>1550294648.6700001</v>
      </c>
      <c r="AA49" s="77">
        <v>10306</v>
      </c>
      <c r="AB49" s="17">
        <f t="shared" si="3"/>
        <v>150426.42000000001</v>
      </c>
      <c r="AC49" s="37">
        <f t="shared" si="4"/>
        <v>0.78132699999999999</v>
      </c>
      <c r="AD49" s="77">
        <v>89255</v>
      </c>
      <c r="AE49" s="37">
        <f t="shared" si="5"/>
        <v>0.74074099999999998</v>
      </c>
      <c r="AF49" s="37">
        <f t="shared" si="23"/>
        <v>0.230849</v>
      </c>
      <c r="AG49" s="71">
        <f t="shared" si="15"/>
        <v>0.230849</v>
      </c>
      <c r="AH49" s="38">
        <f>IF(G49&gt;=1,IF(G49&lt;=5,0.06,IF(G49&lt;=10,0.05,IF(G49&lt;=15,0.04,IF(G49&lt;=19,0.03,0)))),0)</f>
        <v>0</v>
      </c>
      <c r="AI49" s="74">
        <f t="shared" si="16"/>
        <v>0.230849</v>
      </c>
      <c r="AJ49" s="77">
        <v>0</v>
      </c>
      <c r="AK49" s="77">
        <v>0</v>
      </c>
      <c r="AL49" s="11">
        <f t="shared" si="17"/>
        <v>0</v>
      </c>
      <c r="AM49" s="83"/>
      <c r="AN49" s="84"/>
      <c r="AO49" s="11">
        <f t="shared" si="18"/>
        <v>0</v>
      </c>
      <c r="AP49" s="11">
        <f>ROUND(Y49*AI49*$AP$21,0)</f>
        <v>4119066</v>
      </c>
      <c r="AQ49" s="11">
        <f t="shared" si="19"/>
        <v>4119066</v>
      </c>
      <c r="AR49" s="35">
        <v>3403900</v>
      </c>
      <c r="AS49" s="11">
        <f t="shared" si="20"/>
        <v>715166</v>
      </c>
      <c r="AT49" s="72" t="str">
        <f t="shared" si="21"/>
        <v>Yes</v>
      </c>
      <c r="AU49" s="77">
        <v>3423208</v>
      </c>
      <c r="AV49" s="35">
        <f t="shared" si="22"/>
        <v>76236.695600000006</v>
      </c>
      <c r="AW49" s="35">
        <f t="shared" si="6"/>
        <v>3499444.6956000002</v>
      </c>
      <c r="AX49" s="35">
        <f>IF(C49=1,MAX(AW49,AR49),AW49)</f>
        <v>3499444.6956000002</v>
      </c>
      <c r="AY49" s="66"/>
      <c r="AZ49" s="67"/>
      <c r="BA49" s="35"/>
      <c r="BB49" s="68"/>
      <c r="BC49" s="35"/>
      <c r="BD49" s="21"/>
      <c r="BF49" s="21"/>
      <c r="BG49" s="21"/>
      <c r="BK49" s="21"/>
      <c r="BL49" s="21"/>
      <c r="BM49" s="21"/>
      <c r="BN49" s="21"/>
      <c r="BO49" s="21"/>
    </row>
    <row r="50" spans="1:67" ht="14.35" x14ac:dyDescent="0.5">
      <c r="A50" s="8" t="s">
        <v>104</v>
      </c>
      <c r="B50" s="8"/>
      <c r="C50" s="25"/>
      <c r="D50" s="25"/>
      <c r="E50" s="25"/>
      <c r="F50" s="1">
        <v>9</v>
      </c>
      <c r="G50" s="79">
        <v>36</v>
      </c>
      <c r="H50" s="8">
        <v>24</v>
      </c>
      <c r="I50" s="3" t="s">
        <v>131</v>
      </c>
      <c r="J50" s="70"/>
      <c r="K50" s="76">
        <v>238.68</v>
      </c>
      <c r="L50" s="79"/>
      <c r="M50" s="77">
        <v>101</v>
      </c>
      <c r="N50" s="76">
        <f t="shared" si="7"/>
        <v>30.3</v>
      </c>
      <c r="O50" s="76">
        <f t="shared" si="8"/>
        <v>143.21</v>
      </c>
      <c r="P50" s="76">
        <f t="shared" si="9"/>
        <v>0</v>
      </c>
      <c r="Q50" s="76">
        <f t="shared" si="10"/>
        <v>0</v>
      </c>
      <c r="R50" s="65">
        <f t="shared" si="11"/>
        <v>0.42</v>
      </c>
      <c r="S50" s="65">
        <f>IF(R50&gt;0.6,+R50-0.6,0)</f>
        <v>0</v>
      </c>
      <c r="T50" s="34">
        <f>ROUND(S50*K50,2)</f>
        <v>0</v>
      </c>
      <c r="U50" s="34">
        <f t="shared" si="12"/>
        <v>0</v>
      </c>
      <c r="V50" s="77">
        <v>4</v>
      </c>
      <c r="W50" s="76">
        <f t="shared" si="13"/>
        <v>1</v>
      </c>
      <c r="X50" s="36">
        <f>ROUND(M50*$X$2,2)</f>
        <v>30.3</v>
      </c>
      <c r="Y50" s="9">
        <f t="shared" si="14"/>
        <v>269.98</v>
      </c>
      <c r="Z50" s="76">
        <v>295317266.67000002</v>
      </c>
      <c r="AA50" s="77">
        <v>2329</v>
      </c>
      <c r="AB50" s="17">
        <f t="shared" si="3"/>
        <v>126800.03</v>
      </c>
      <c r="AC50" s="37">
        <f t="shared" si="4"/>
        <v>0.65861000000000003</v>
      </c>
      <c r="AD50" s="77">
        <v>68889</v>
      </c>
      <c r="AE50" s="37">
        <f t="shared" si="5"/>
        <v>0.57172000000000001</v>
      </c>
      <c r="AF50" s="37">
        <f t="shared" si="23"/>
        <v>0.36745699999999998</v>
      </c>
      <c r="AG50" s="71">
        <f t="shared" si="15"/>
        <v>0.36745699999999998</v>
      </c>
      <c r="AH50" s="38">
        <f>IF(G50&gt;=1,IF(G50&lt;=5,0.06,IF(G50&lt;=10,0.05,IF(G50&lt;=15,0.04,IF(G50&lt;=19,0.03,0)))),0)</f>
        <v>0</v>
      </c>
      <c r="AI50" s="74">
        <f t="shared" si="16"/>
        <v>0.36745699999999998</v>
      </c>
      <c r="AJ50" s="77">
        <v>105</v>
      </c>
      <c r="AK50" s="77">
        <v>6</v>
      </c>
      <c r="AL50" s="11">
        <f t="shared" si="17"/>
        <v>63000</v>
      </c>
      <c r="AM50" s="83"/>
      <c r="AN50" s="84"/>
      <c r="AO50" s="11">
        <f t="shared" si="18"/>
        <v>0</v>
      </c>
      <c r="AP50" s="11">
        <f>ROUND(Y50*AI50*$AP$21,0)</f>
        <v>1143350</v>
      </c>
      <c r="AQ50" s="11">
        <f t="shared" si="19"/>
        <v>1206350</v>
      </c>
      <c r="AR50" s="35">
        <v>1856992</v>
      </c>
      <c r="AS50" s="11">
        <f t="shared" si="20"/>
        <v>650642</v>
      </c>
      <c r="AT50" s="72" t="str">
        <f t="shared" si="21"/>
        <v>No</v>
      </c>
      <c r="AU50" s="77">
        <v>1652147</v>
      </c>
      <c r="AV50" s="35">
        <f t="shared" si="22"/>
        <v>0</v>
      </c>
      <c r="AW50" s="35">
        <f t="shared" si="6"/>
        <v>1652147</v>
      </c>
      <c r="AX50" s="35">
        <f>IF(C50=1,MAX(AW50,AR50),AW50)</f>
        <v>1652147</v>
      </c>
      <c r="AY50" s="66"/>
      <c r="AZ50" s="67"/>
      <c r="BA50" s="35"/>
      <c r="BB50" s="68"/>
      <c r="BC50" s="35"/>
      <c r="BD50" s="21"/>
      <c r="BF50" s="21"/>
      <c r="BG50" s="21"/>
      <c r="BK50" s="21"/>
      <c r="BL50" s="21"/>
      <c r="BM50" s="21"/>
      <c r="BN50" s="21"/>
      <c r="BO50" s="21"/>
    </row>
    <row r="51" spans="1:67" ht="14.35" x14ac:dyDescent="0.5">
      <c r="A51" s="8" t="s">
        <v>106</v>
      </c>
      <c r="B51" s="8"/>
      <c r="C51" s="25"/>
      <c r="D51" s="25"/>
      <c r="E51" s="25"/>
      <c r="F51" s="1">
        <v>4</v>
      </c>
      <c r="G51" s="78">
        <v>132</v>
      </c>
      <c r="H51" s="8">
        <v>25</v>
      </c>
      <c r="I51" s="3" t="s">
        <v>132</v>
      </c>
      <c r="J51" s="70"/>
      <c r="K51" s="76">
        <v>4077.98</v>
      </c>
      <c r="L51" s="78"/>
      <c r="M51" s="77">
        <v>624</v>
      </c>
      <c r="N51" s="76">
        <f t="shared" si="7"/>
        <v>187.2</v>
      </c>
      <c r="O51" s="76">
        <f t="shared" si="8"/>
        <v>2446.79</v>
      </c>
      <c r="P51" s="76">
        <f t="shared" si="9"/>
        <v>0</v>
      </c>
      <c r="Q51" s="76">
        <f t="shared" si="10"/>
        <v>0</v>
      </c>
      <c r="R51" s="65">
        <f t="shared" si="11"/>
        <v>0.15</v>
      </c>
      <c r="S51" s="65">
        <f>IF(R51&gt;0.6,+R51-0.6,0)</f>
        <v>0</v>
      </c>
      <c r="T51" s="34">
        <f>ROUND(S51*K51,2)</f>
        <v>0</v>
      </c>
      <c r="U51" s="34">
        <f t="shared" si="12"/>
        <v>0</v>
      </c>
      <c r="V51" s="77">
        <v>75</v>
      </c>
      <c r="W51" s="76">
        <f t="shared" si="13"/>
        <v>18.75</v>
      </c>
      <c r="X51" s="36">
        <f>ROUND(M51*$X$2,2)</f>
        <v>187.2</v>
      </c>
      <c r="Y51" s="9">
        <f t="shared" si="14"/>
        <v>4283.93</v>
      </c>
      <c r="Z51" s="76">
        <v>4115533223</v>
      </c>
      <c r="AA51" s="77">
        <v>29208</v>
      </c>
      <c r="AB51" s="17">
        <f t="shared" si="3"/>
        <v>140904.31</v>
      </c>
      <c r="AC51" s="37">
        <f t="shared" si="4"/>
        <v>0.73186899999999999</v>
      </c>
      <c r="AD51" s="77">
        <v>112945</v>
      </c>
      <c r="AE51" s="37">
        <f t="shared" si="5"/>
        <v>0.93734799999999996</v>
      </c>
      <c r="AF51" s="37">
        <f t="shared" si="23"/>
        <v>0.206487</v>
      </c>
      <c r="AG51" s="71">
        <f t="shared" si="15"/>
        <v>0.206487</v>
      </c>
      <c r="AH51" s="38">
        <f>IF(G51&gt;=1,IF(G51&lt;=5,0.06,IF(G51&lt;=10,0.05,IF(G51&lt;=15,0.04,IF(G51&lt;=19,0.03,0)))),0)</f>
        <v>0</v>
      </c>
      <c r="AI51" s="74">
        <f t="shared" si="16"/>
        <v>0.206487</v>
      </c>
      <c r="AJ51" s="77">
        <v>0</v>
      </c>
      <c r="AK51" s="77">
        <v>0</v>
      </c>
      <c r="AL51" s="11">
        <f t="shared" si="17"/>
        <v>0</v>
      </c>
      <c r="AM51" s="83"/>
      <c r="AN51" s="84"/>
      <c r="AO51" s="11">
        <f t="shared" si="18"/>
        <v>0</v>
      </c>
      <c r="AP51" s="11">
        <f>ROUND(Y51*AI51*$AP$21,0)</f>
        <v>10194737</v>
      </c>
      <c r="AQ51" s="11">
        <f t="shared" si="19"/>
        <v>10194737</v>
      </c>
      <c r="AR51" s="35">
        <v>9436665</v>
      </c>
      <c r="AS51" s="11">
        <f t="shared" si="20"/>
        <v>758072</v>
      </c>
      <c r="AT51" s="72" t="str">
        <f t="shared" si="21"/>
        <v>Yes</v>
      </c>
      <c r="AU51" s="77">
        <v>9339412</v>
      </c>
      <c r="AV51" s="35">
        <f t="shared" si="22"/>
        <v>80810.475200000001</v>
      </c>
      <c r="AW51" s="35">
        <f t="shared" si="6"/>
        <v>9420222.4751999993</v>
      </c>
      <c r="AX51" s="35">
        <f>IF(C51=1,MAX(AW51,AR51),AW51)</f>
        <v>9420222.4751999993</v>
      </c>
      <c r="AY51" s="66"/>
      <c r="AZ51" s="67"/>
      <c r="BA51" s="35"/>
      <c r="BB51" s="68"/>
      <c r="BC51" s="35"/>
      <c r="BD51" s="21"/>
      <c r="BF51" s="21"/>
      <c r="BG51" s="21"/>
      <c r="BK51" s="21"/>
      <c r="BL51" s="21"/>
      <c r="BM51" s="21"/>
      <c r="BN51" s="21"/>
      <c r="BO51" s="21"/>
    </row>
    <row r="52" spans="1:67" ht="14.35" x14ac:dyDescent="0.5">
      <c r="A52" s="8" t="s">
        <v>104</v>
      </c>
      <c r="B52" s="8"/>
      <c r="C52" s="25"/>
      <c r="D52" s="25"/>
      <c r="E52" s="25"/>
      <c r="F52" s="1">
        <v>4</v>
      </c>
      <c r="G52" s="78">
        <v>122</v>
      </c>
      <c r="H52" s="8">
        <v>26</v>
      </c>
      <c r="I52" s="3" t="s">
        <v>133</v>
      </c>
      <c r="J52" s="70"/>
      <c r="K52" s="76">
        <v>408.86</v>
      </c>
      <c r="L52" s="78"/>
      <c r="M52" s="77">
        <v>102</v>
      </c>
      <c r="N52" s="76">
        <f t="shared" si="7"/>
        <v>30.6</v>
      </c>
      <c r="O52" s="76">
        <f t="shared" si="8"/>
        <v>245.32</v>
      </c>
      <c r="P52" s="76">
        <f t="shared" si="9"/>
        <v>0</v>
      </c>
      <c r="Q52" s="76">
        <f t="shared" si="10"/>
        <v>0</v>
      </c>
      <c r="R52" s="65">
        <f t="shared" si="11"/>
        <v>0.25</v>
      </c>
      <c r="S52" s="65">
        <f>IF(R52&gt;0.6,+R52-0.6,0)</f>
        <v>0</v>
      </c>
      <c r="T52" s="34">
        <f>ROUND(S52*K52,2)</f>
        <v>0</v>
      </c>
      <c r="U52" s="34">
        <f t="shared" si="12"/>
        <v>0</v>
      </c>
      <c r="V52" s="77">
        <v>6</v>
      </c>
      <c r="W52" s="76">
        <f t="shared" si="13"/>
        <v>1.5</v>
      </c>
      <c r="X52" s="36">
        <f>ROUND(M52*$X$2,2)</f>
        <v>30.6</v>
      </c>
      <c r="Y52" s="9">
        <f t="shared" si="14"/>
        <v>440.96000000000004</v>
      </c>
      <c r="Z52" s="76">
        <v>645287072</v>
      </c>
      <c r="AA52" s="77">
        <v>4268</v>
      </c>
      <c r="AB52" s="17">
        <f t="shared" si="3"/>
        <v>151191.91</v>
      </c>
      <c r="AC52" s="37">
        <f t="shared" si="4"/>
        <v>0.78530299999999997</v>
      </c>
      <c r="AD52" s="77">
        <v>92417</v>
      </c>
      <c r="AE52" s="37">
        <f t="shared" si="5"/>
        <v>0.76698299999999997</v>
      </c>
      <c r="AF52" s="37">
        <f t="shared" si="23"/>
        <v>0.220193</v>
      </c>
      <c r="AG52" s="71">
        <f t="shared" si="15"/>
        <v>0.220193</v>
      </c>
      <c r="AH52" s="38">
        <f>IF(G52&gt;=1,IF(G52&lt;=5,0.06,IF(G52&lt;=10,0.05,IF(G52&lt;=15,0.04,IF(G52&lt;=19,0.03,0)))),0)</f>
        <v>0</v>
      </c>
      <c r="AI52" s="74">
        <f t="shared" si="16"/>
        <v>0.220193</v>
      </c>
      <c r="AJ52" s="77">
        <v>201</v>
      </c>
      <c r="AK52" s="77">
        <v>6</v>
      </c>
      <c r="AL52" s="11">
        <f t="shared" si="17"/>
        <v>120600</v>
      </c>
      <c r="AM52" s="83"/>
      <c r="AN52" s="84"/>
      <c r="AO52" s="11">
        <f t="shared" si="18"/>
        <v>0</v>
      </c>
      <c r="AP52" s="11">
        <f>ROUND(Y52*AI52*$AP$21,0)</f>
        <v>1119035</v>
      </c>
      <c r="AQ52" s="11">
        <f t="shared" si="19"/>
        <v>1239635</v>
      </c>
      <c r="AR52" s="35">
        <v>659216</v>
      </c>
      <c r="AS52" s="11">
        <f t="shared" si="20"/>
        <v>580419</v>
      </c>
      <c r="AT52" s="72" t="str">
        <f t="shared" si="21"/>
        <v>Yes</v>
      </c>
      <c r="AU52" s="77">
        <v>768291</v>
      </c>
      <c r="AV52" s="35">
        <f t="shared" si="22"/>
        <v>61872.665399999998</v>
      </c>
      <c r="AW52" s="35">
        <f t="shared" si="6"/>
        <v>830163.66540000006</v>
      </c>
      <c r="AX52" s="35">
        <f>IF(C52=1,MAX(AW52,AR52),AW52)</f>
        <v>830163.66540000006</v>
      </c>
      <c r="AY52" s="66"/>
      <c r="AZ52" s="67"/>
      <c r="BA52" s="35"/>
      <c r="BB52" s="68"/>
      <c r="BC52" s="35"/>
      <c r="BD52" s="21"/>
      <c r="BF52" s="21"/>
      <c r="BG52" s="21"/>
      <c r="BK52" s="21"/>
      <c r="BL52" s="21"/>
      <c r="BM52" s="21"/>
      <c r="BN52" s="21"/>
      <c r="BO52" s="21"/>
    </row>
    <row r="53" spans="1:67" ht="14.35" x14ac:dyDescent="0.5">
      <c r="A53" s="8" t="s">
        <v>110</v>
      </c>
      <c r="B53" s="8"/>
      <c r="C53" s="25"/>
      <c r="D53" s="25"/>
      <c r="E53" s="25"/>
      <c r="F53" s="1">
        <v>5</v>
      </c>
      <c r="G53" s="78">
        <v>84</v>
      </c>
      <c r="H53" s="8">
        <v>27</v>
      </c>
      <c r="I53" s="3" t="s">
        <v>134</v>
      </c>
      <c r="J53" s="70"/>
      <c r="K53" s="76">
        <v>1551.28</v>
      </c>
      <c r="L53" s="78"/>
      <c r="M53" s="77">
        <v>577</v>
      </c>
      <c r="N53" s="76">
        <f t="shared" si="7"/>
        <v>173.1</v>
      </c>
      <c r="O53" s="76">
        <f t="shared" si="8"/>
        <v>930.77</v>
      </c>
      <c r="P53" s="76">
        <f t="shared" si="9"/>
        <v>0</v>
      </c>
      <c r="Q53" s="76">
        <f t="shared" si="10"/>
        <v>0</v>
      </c>
      <c r="R53" s="65">
        <f t="shared" si="11"/>
        <v>0.37</v>
      </c>
      <c r="S53" s="65">
        <f>IF(R53&gt;0.6,+R53-0.6,0)</f>
        <v>0</v>
      </c>
      <c r="T53" s="34">
        <f>ROUND(S53*K53,2)</f>
        <v>0</v>
      </c>
      <c r="U53" s="34">
        <f t="shared" si="12"/>
        <v>0</v>
      </c>
      <c r="V53" s="77">
        <v>108</v>
      </c>
      <c r="W53" s="76">
        <f t="shared" si="13"/>
        <v>27</v>
      </c>
      <c r="X53" s="36">
        <f>ROUND(M53*$X$2,2)</f>
        <v>173.1</v>
      </c>
      <c r="Y53" s="9">
        <f t="shared" si="14"/>
        <v>1751.3799999999999</v>
      </c>
      <c r="Z53" s="76">
        <v>2321389950</v>
      </c>
      <c r="AA53" s="77">
        <v>12976</v>
      </c>
      <c r="AB53" s="17">
        <f t="shared" si="3"/>
        <v>178898.73</v>
      </c>
      <c r="AC53" s="37">
        <f t="shared" si="4"/>
        <v>0.92921500000000001</v>
      </c>
      <c r="AD53" s="77">
        <v>76360</v>
      </c>
      <c r="AE53" s="37">
        <f t="shared" si="5"/>
        <v>0.63372300000000004</v>
      </c>
      <c r="AF53" s="37">
        <f t="shared" si="23"/>
        <v>0.15943299999999999</v>
      </c>
      <c r="AG53" s="71">
        <f t="shared" si="15"/>
        <v>0.15943299999999999</v>
      </c>
      <c r="AH53" s="38">
        <f>IF(G53&gt;=1,IF(G53&lt;=5,0.06,IF(G53&lt;=10,0.05,IF(G53&lt;=15,0.04,IF(G53&lt;=19,0.03,0)))),0)</f>
        <v>0</v>
      </c>
      <c r="AI53" s="74">
        <f t="shared" si="16"/>
        <v>0.15943299999999999</v>
      </c>
      <c r="AJ53" s="77">
        <v>0</v>
      </c>
      <c r="AK53" s="77">
        <v>0</v>
      </c>
      <c r="AL53" s="11">
        <f t="shared" si="17"/>
        <v>0</v>
      </c>
      <c r="AM53" s="83"/>
      <c r="AN53" s="84"/>
      <c r="AO53" s="11">
        <f t="shared" si="18"/>
        <v>0</v>
      </c>
      <c r="AP53" s="11">
        <f>ROUND(Y53*AI53*$AP$21,0)</f>
        <v>3218100</v>
      </c>
      <c r="AQ53" s="11">
        <f t="shared" si="19"/>
        <v>3218100</v>
      </c>
      <c r="AR53" s="35">
        <v>6326998</v>
      </c>
      <c r="AS53" s="11">
        <f t="shared" si="20"/>
        <v>3108898</v>
      </c>
      <c r="AT53" s="72" t="str">
        <f t="shared" si="21"/>
        <v>No</v>
      </c>
      <c r="AU53" s="77">
        <v>5192084</v>
      </c>
      <c r="AV53" s="35">
        <f t="shared" si="22"/>
        <v>0</v>
      </c>
      <c r="AW53" s="35">
        <f t="shared" si="6"/>
        <v>5192084</v>
      </c>
      <c r="AX53" s="35">
        <f>IF(C53=1,MAX(AW53,AR53),AW53)</f>
        <v>5192084</v>
      </c>
      <c r="AY53" s="66"/>
      <c r="AZ53" s="67"/>
      <c r="BA53" s="35"/>
      <c r="BB53" s="68"/>
      <c r="BC53" s="35"/>
      <c r="BD53" s="21"/>
      <c r="BF53" s="21"/>
      <c r="BG53" s="21"/>
      <c r="BK53" s="21"/>
      <c r="BL53" s="21"/>
      <c r="BM53" s="21"/>
      <c r="BN53" s="21"/>
      <c r="BO53" s="21"/>
    </row>
    <row r="54" spans="1:67" ht="14.35" x14ac:dyDescent="0.5">
      <c r="A54" s="8" t="s">
        <v>110</v>
      </c>
      <c r="B54" s="8"/>
      <c r="C54" s="25"/>
      <c r="D54" s="25"/>
      <c r="E54" s="25"/>
      <c r="F54" s="1">
        <v>6</v>
      </c>
      <c r="G54" s="78">
        <v>64</v>
      </c>
      <c r="H54" s="8">
        <v>28</v>
      </c>
      <c r="I54" s="3" t="s">
        <v>135</v>
      </c>
      <c r="J54" s="70"/>
      <c r="K54" s="76">
        <v>2211.62</v>
      </c>
      <c r="L54" s="78"/>
      <c r="M54" s="77">
        <v>518</v>
      </c>
      <c r="N54" s="76">
        <f t="shared" si="7"/>
        <v>155.4</v>
      </c>
      <c r="O54" s="76">
        <f t="shared" si="8"/>
        <v>1326.97</v>
      </c>
      <c r="P54" s="76">
        <f t="shared" si="9"/>
        <v>0</v>
      </c>
      <c r="Q54" s="76">
        <f t="shared" si="10"/>
        <v>0</v>
      </c>
      <c r="R54" s="65">
        <f t="shared" si="11"/>
        <v>0.23</v>
      </c>
      <c r="S54" s="65">
        <f>IF(R54&gt;0.6,+R54-0.6,0)</f>
        <v>0</v>
      </c>
      <c r="T54" s="34">
        <f>ROUND(S54*K54,2)</f>
        <v>0</v>
      </c>
      <c r="U54" s="34">
        <f t="shared" si="12"/>
        <v>0</v>
      </c>
      <c r="V54" s="77">
        <v>13</v>
      </c>
      <c r="W54" s="76">
        <f t="shared" si="13"/>
        <v>3.25</v>
      </c>
      <c r="X54" s="36">
        <f>ROUND(M54*$X$2,2)</f>
        <v>155.4</v>
      </c>
      <c r="Y54" s="9">
        <f t="shared" si="14"/>
        <v>2370.27</v>
      </c>
      <c r="Z54" s="76">
        <v>1788735536</v>
      </c>
      <c r="AA54" s="77">
        <v>15927</v>
      </c>
      <c r="AB54" s="17">
        <f t="shared" si="3"/>
        <v>112308.38</v>
      </c>
      <c r="AC54" s="37">
        <f t="shared" si="4"/>
        <v>0.58333900000000005</v>
      </c>
      <c r="AD54" s="77">
        <v>103380</v>
      </c>
      <c r="AE54" s="37">
        <f t="shared" si="5"/>
        <v>0.85796600000000001</v>
      </c>
      <c r="AF54" s="37">
        <f t="shared" si="23"/>
        <v>0.33427299999999999</v>
      </c>
      <c r="AG54" s="71">
        <f t="shared" si="15"/>
        <v>0.33427299999999999</v>
      </c>
      <c r="AH54" s="38">
        <f>IF(G54&gt;=1,IF(G54&lt;=5,0.06,IF(G54&lt;=10,0.05,IF(G54&lt;=15,0.04,IF(G54&lt;=19,0.03,0)))),0)</f>
        <v>0</v>
      </c>
      <c r="AI54" s="74">
        <f t="shared" si="16"/>
        <v>0.33427299999999999</v>
      </c>
      <c r="AJ54" s="77">
        <v>0</v>
      </c>
      <c r="AK54" s="77">
        <v>0</v>
      </c>
      <c r="AL54" s="11">
        <f t="shared" si="17"/>
        <v>0</v>
      </c>
      <c r="AM54" s="83"/>
      <c r="AN54" s="84"/>
      <c r="AO54" s="11">
        <f t="shared" si="18"/>
        <v>0</v>
      </c>
      <c r="AP54" s="11">
        <f>ROUND(Y54*AI54*$AP$21,0)</f>
        <v>9131456</v>
      </c>
      <c r="AQ54" s="11">
        <f t="shared" si="19"/>
        <v>9131456</v>
      </c>
      <c r="AR54" s="35">
        <v>13503310</v>
      </c>
      <c r="AS54" s="11">
        <f t="shared" si="20"/>
        <v>4371854</v>
      </c>
      <c r="AT54" s="72" t="str">
        <f t="shared" si="21"/>
        <v>No</v>
      </c>
      <c r="AU54" s="77">
        <v>12040218</v>
      </c>
      <c r="AV54" s="35">
        <f t="shared" si="22"/>
        <v>0</v>
      </c>
      <c r="AW54" s="35">
        <f t="shared" si="6"/>
        <v>12040218</v>
      </c>
      <c r="AX54" s="35">
        <f>IF(C54=1,MAX(AW54,AR54),AW54)</f>
        <v>12040218</v>
      </c>
      <c r="AY54" s="66"/>
      <c r="AZ54" s="67"/>
      <c r="BA54" s="35"/>
      <c r="BB54" s="68"/>
      <c r="BC54" s="35"/>
      <c r="BD54" s="21"/>
      <c r="BF54" s="21"/>
      <c r="BG54" s="21"/>
      <c r="BK54" s="21"/>
      <c r="BL54" s="21"/>
      <c r="BM54" s="21"/>
      <c r="BN54" s="21"/>
      <c r="BO54" s="21"/>
    </row>
    <row r="55" spans="1:67" ht="14.35" x14ac:dyDescent="0.5">
      <c r="A55" s="8" t="s">
        <v>104</v>
      </c>
      <c r="B55" s="8"/>
      <c r="C55" s="25"/>
      <c r="D55" s="25"/>
      <c r="E55" s="25"/>
      <c r="F55" s="1">
        <v>5</v>
      </c>
      <c r="G55" s="80">
        <v>58</v>
      </c>
      <c r="H55" s="8">
        <v>29</v>
      </c>
      <c r="I55" s="3" t="s">
        <v>136</v>
      </c>
      <c r="J55" s="70"/>
      <c r="K55" s="76">
        <v>167.89</v>
      </c>
      <c r="L55" s="80"/>
      <c r="M55" s="77">
        <v>50</v>
      </c>
      <c r="N55" s="76">
        <f t="shared" si="7"/>
        <v>15</v>
      </c>
      <c r="O55" s="76">
        <f t="shared" si="8"/>
        <v>100.73</v>
      </c>
      <c r="P55" s="76">
        <f t="shared" si="9"/>
        <v>0</v>
      </c>
      <c r="Q55" s="76">
        <f t="shared" si="10"/>
        <v>0</v>
      </c>
      <c r="R55" s="65">
        <f t="shared" si="11"/>
        <v>0.3</v>
      </c>
      <c r="S55" s="65">
        <f>IF(R55&gt;0.6,+R55-0.6,0)</f>
        <v>0</v>
      </c>
      <c r="T55" s="34">
        <f>ROUND(S55*K55,2)</f>
        <v>0</v>
      </c>
      <c r="U55" s="34">
        <f t="shared" si="12"/>
        <v>0</v>
      </c>
      <c r="V55" s="77">
        <v>0</v>
      </c>
      <c r="W55" s="76">
        <f t="shared" si="13"/>
        <v>0</v>
      </c>
      <c r="X55" s="36">
        <f>ROUND(M55*$X$2,2)</f>
        <v>15</v>
      </c>
      <c r="Y55" s="9">
        <f t="shared" si="14"/>
        <v>182.89</v>
      </c>
      <c r="Z55" s="76">
        <v>264040418.66999999</v>
      </c>
      <c r="AA55" s="77">
        <v>1518</v>
      </c>
      <c r="AB55" s="17">
        <f t="shared" si="3"/>
        <v>173939.67</v>
      </c>
      <c r="AC55" s="37">
        <f t="shared" si="4"/>
        <v>0.90345699999999995</v>
      </c>
      <c r="AD55" s="77">
        <v>91786</v>
      </c>
      <c r="AE55" s="37">
        <f t="shared" si="5"/>
        <v>0.76174600000000003</v>
      </c>
      <c r="AF55" s="37">
        <f t="shared" si="23"/>
        <v>0.13905600000000001</v>
      </c>
      <c r="AG55" s="71">
        <f t="shared" si="15"/>
        <v>0.13905600000000001</v>
      </c>
      <c r="AH55" s="38">
        <f>IF(G55&gt;=1,IF(G55&lt;=5,0.06,IF(G55&lt;=10,0.05,IF(G55&lt;=15,0.04,IF(G55&lt;=19,0.03,0)))),0)</f>
        <v>0</v>
      </c>
      <c r="AI55" s="74">
        <f t="shared" si="16"/>
        <v>0.13905600000000001</v>
      </c>
      <c r="AJ55" s="77">
        <v>89</v>
      </c>
      <c r="AK55" s="77">
        <v>6</v>
      </c>
      <c r="AL55" s="11">
        <f t="shared" si="17"/>
        <v>53400</v>
      </c>
      <c r="AM55" s="83"/>
      <c r="AN55" s="84"/>
      <c r="AO55" s="11">
        <f t="shared" si="18"/>
        <v>0</v>
      </c>
      <c r="AP55" s="11">
        <f>ROUND(Y55*AI55*$AP$21,0)</f>
        <v>293103</v>
      </c>
      <c r="AQ55" s="11">
        <f t="shared" si="19"/>
        <v>346503</v>
      </c>
      <c r="AR55" s="35">
        <v>491388</v>
      </c>
      <c r="AS55" s="11">
        <f t="shared" si="20"/>
        <v>144885</v>
      </c>
      <c r="AT55" s="72" t="str">
        <f t="shared" si="21"/>
        <v>No</v>
      </c>
      <c r="AU55" s="77">
        <v>403912</v>
      </c>
      <c r="AV55" s="35">
        <f t="shared" si="22"/>
        <v>0</v>
      </c>
      <c r="AW55" s="35">
        <f t="shared" si="6"/>
        <v>403912</v>
      </c>
      <c r="AX55" s="35">
        <f>IF(C55=1,MAX(AW55,AR55),AW55)</f>
        <v>403912</v>
      </c>
      <c r="AY55" s="66"/>
      <c r="AZ55" s="67"/>
      <c r="BA55" s="35"/>
      <c r="BB55" s="68"/>
      <c r="BC55" s="35"/>
      <c r="BD55" s="21"/>
      <c r="BF55" s="21"/>
      <c r="BG55" s="21"/>
      <c r="BK55" s="21"/>
      <c r="BL55" s="21"/>
      <c r="BM55" s="21"/>
      <c r="BN55" s="21"/>
      <c r="BO55" s="21"/>
    </row>
    <row r="56" spans="1:67" ht="14.35" x14ac:dyDescent="0.5">
      <c r="A56" s="8" t="s">
        <v>100</v>
      </c>
      <c r="B56" s="8"/>
      <c r="C56" s="25"/>
      <c r="D56" s="25"/>
      <c r="E56" s="25"/>
      <c r="F56" s="1">
        <v>6</v>
      </c>
      <c r="G56" s="78">
        <v>104</v>
      </c>
      <c r="H56" s="8">
        <v>30</v>
      </c>
      <c r="I56" s="3" t="s">
        <v>137</v>
      </c>
      <c r="J56" s="70"/>
      <c r="K56" s="76">
        <v>614.17999999999995</v>
      </c>
      <c r="L56" s="78"/>
      <c r="M56" s="77">
        <v>144</v>
      </c>
      <c r="N56" s="76">
        <f t="shared" si="7"/>
        <v>43.2</v>
      </c>
      <c r="O56" s="76">
        <f t="shared" si="8"/>
        <v>368.51</v>
      </c>
      <c r="P56" s="76">
        <f t="shared" si="9"/>
        <v>0</v>
      </c>
      <c r="Q56" s="76">
        <f t="shared" si="10"/>
        <v>0</v>
      </c>
      <c r="R56" s="65">
        <f t="shared" si="11"/>
        <v>0.23</v>
      </c>
      <c r="S56" s="65">
        <f>IF(R56&gt;0.6,+R56-0.6,0)</f>
        <v>0</v>
      </c>
      <c r="T56" s="34">
        <f>ROUND(S56*K56,2)</f>
        <v>0</v>
      </c>
      <c r="U56" s="34">
        <f t="shared" si="12"/>
        <v>0</v>
      </c>
      <c r="V56" s="77">
        <v>8</v>
      </c>
      <c r="W56" s="76">
        <f t="shared" si="13"/>
        <v>2</v>
      </c>
      <c r="X56" s="36">
        <f>ROUND(M56*$X$2,2)</f>
        <v>43.2</v>
      </c>
      <c r="Y56" s="9">
        <f t="shared" si="14"/>
        <v>659.38</v>
      </c>
      <c r="Z56" s="76">
        <v>742774994.33000004</v>
      </c>
      <c r="AA56" s="77">
        <v>5421</v>
      </c>
      <c r="AB56" s="17">
        <f t="shared" si="3"/>
        <v>137018.07999999999</v>
      </c>
      <c r="AC56" s="37">
        <f t="shared" si="4"/>
        <v>0.71168299999999995</v>
      </c>
      <c r="AD56" s="77">
        <v>106604</v>
      </c>
      <c r="AE56" s="37">
        <f t="shared" si="5"/>
        <v>0.88472300000000004</v>
      </c>
      <c r="AF56" s="37">
        <f t="shared" si="23"/>
        <v>0.236405</v>
      </c>
      <c r="AG56" s="71">
        <f t="shared" si="15"/>
        <v>0.236405</v>
      </c>
      <c r="AH56" s="38">
        <f>IF(G56&gt;=1,IF(G56&lt;=5,0.06,IF(G56&lt;=10,0.05,IF(G56&lt;=15,0.04,IF(G56&lt;=19,0.03,0)))),0)</f>
        <v>0</v>
      </c>
      <c r="AI56" s="74">
        <f t="shared" si="16"/>
        <v>0.236405</v>
      </c>
      <c r="AJ56" s="77">
        <v>0</v>
      </c>
      <c r="AK56" s="77">
        <v>0</v>
      </c>
      <c r="AL56" s="11">
        <f t="shared" si="17"/>
        <v>0</v>
      </c>
      <c r="AM56" s="83">
        <v>1</v>
      </c>
      <c r="AN56" s="84">
        <v>4</v>
      </c>
      <c r="AO56" s="11">
        <f t="shared" si="18"/>
        <v>400</v>
      </c>
      <c r="AP56" s="11">
        <f>ROUND(Y56*AI56*$AP$21,0)</f>
        <v>1796525</v>
      </c>
      <c r="AQ56" s="11">
        <f t="shared" si="19"/>
        <v>1796925</v>
      </c>
      <c r="AR56" s="35">
        <v>2523462</v>
      </c>
      <c r="AS56" s="11">
        <f t="shared" si="20"/>
        <v>726537</v>
      </c>
      <c r="AT56" s="72" t="str">
        <f t="shared" si="21"/>
        <v>No</v>
      </c>
      <c r="AU56" s="77">
        <v>2316189</v>
      </c>
      <c r="AV56" s="35">
        <f t="shared" si="22"/>
        <v>0</v>
      </c>
      <c r="AW56" s="35">
        <f t="shared" si="6"/>
        <v>2316189</v>
      </c>
      <c r="AX56" s="35">
        <f>IF(C56=1,MAX(AW56,AR56),AW56)</f>
        <v>2316189</v>
      </c>
      <c r="AY56" s="66"/>
      <c r="AZ56" s="67"/>
      <c r="BA56" s="35"/>
      <c r="BB56" s="68"/>
      <c r="BC56" s="35"/>
      <c r="BD56" s="21"/>
      <c r="BF56" s="21"/>
      <c r="BG56" s="21"/>
      <c r="BK56" s="21"/>
      <c r="BL56" s="21"/>
      <c r="BM56" s="21"/>
      <c r="BN56" s="21"/>
      <c r="BO56" s="21"/>
    </row>
    <row r="57" spans="1:67" ht="14.35" x14ac:dyDescent="0.5">
      <c r="A57" s="8" t="s">
        <v>100</v>
      </c>
      <c r="B57" s="8"/>
      <c r="C57" s="25"/>
      <c r="D57" s="25"/>
      <c r="E57" s="25"/>
      <c r="F57" s="1">
        <v>1</v>
      </c>
      <c r="G57" s="78">
        <v>154</v>
      </c>
      <c r="H57" s="8">
        <v>31</v>
      </c>
      <c r="I57" s="3" t="s">
        <v>138</v>
      </c>
      <c r="J57" s="70"/>
      <c r="K57" s="76">
        <v>120.9</v>
      </c>
      <c r="L57" s="78"/>
      <c r="M57" s="77">
        <v>25</v>
      </c>
      <c r="N57" s="76">
        <f t="shared" si="7"/>
        <v>7.5</v>
      </c>
      <c r="O57" s="76">
        <f t="shared" si="8"/>
        <v>72.540000000000006</v>
      </c>
      <c r="P57" s="76">
        <f t="shared" si="9"/>
        <v>0</v>
      </c>
      <c r="Q57" s="76">
        <f t="shared" si="10"/>
        <v>0</v>
      </c>
      <c r="R57" s="65">
        <f t="shared" si="11"/>
        <v>0.21</v>
      </c>
      <c r="S57" s="65">
        <f>IF(R57&gt;0.6,+R57-0.6,0)</f>
        <v>0</v>
      </c>
      <c r="T57" s="34">
        <f>ROUND(S57*K57,2)</f>
        <v>0</v>
      </c>
      <c r="U57" s="34">
        <f t="shared" si="12"/>
        <v>0</v>
      </c>
      <c r="V57" s="77">
        <v>3</v>
      </c>
      <c r="W57" s="76">
        <f t="shared" si="13"/>
        <v>0.75</v>
      </c>
      <c r="X57" s="36">
        <f>ROUND(M57*$X$2,2)</f>
        <v>7.5</v>
      </c>
      <c r="Y57" s="9">
        <f t="shared" si="14"/>
        <v>129.15</v>
      </c>
      <c r="Z57" s="76">
        <v>563980513</v>
      </c>
      <c r="AA57" s="77">
        <v>1302</v>
      </c>
      <c r="AB57" s="17">
        <f t="shared" si="3"/>
        <v>433164.76</v>
      </c>
      <c r="AC57" s="37">
        <f t="shared" si="4"/>
        <v>2.2498930000000001</v>
      </c>
      <c r="AD57" s="77">
        <v>82083</v>
      </c>
      <c r="AE57" s="37">
        <f t="shared" si="5"/>
        <v>0.68121900000000002</v>
      </c>
      <c r="AF57" s="37">
        <f t="shared" si="23"/>
        <v>-0.77929099999999996</v>
      </c>
      <c r="AG57" s="71">
        <f t="shared" si="15"/>
        <v>0.01</v>
      </c>
      <c r="AH57" s="38">
        <f>IF(G57&gt;=1,IF(G57&lt;=5,0.06,IF(G57&lt;=10,0.05,IF(G57&lt;=15,0.04,IF(G57&lt;=19,0.03,0)))),0)</f>
        <v>0</v>
      </c>
      <c r="AI57" s="74">
        <f t="shared" si="16"/>
        <v>0.01</v>
      </c>
      <c r="AJ57" s="77">
        <v>29</v>
      </c>
      <c r="AK57" s="77">
        <v>4</v>
      </c>
      <c r="AL57" s="11">
        <f t="shared" si="17"/>
        <v>11600</v>
      </c>
      <c r="AM57" s="83"/>
      <c r="AN57" s="84"/>
      <c r="AO57" s="11">
        <f t="shared" si="18"/>
        <v>0</v>
      </c>
      <c r="AP57" s="11">
        <f>ROUND(Y57*AI57*$AP$21,0)</f>
        <v>14885</v>
      </c>
      <c r="AQ57" s="11">
        <f t="shared" si="19"/>
        <v>26485</v>
      </c>
      <c r="AR57" s="35">
        <v>6976</v>
      </c>
      <c r="AS57" s="11">
        <f t="shared" si="20"/>
        <v>19509</v>
      </c>
      <c r="AT57" s="72" t="str">
        <f t="shared" si="21"/>
        <v>Yes</v>
      </c>
      <c r="AU57" s="77">
        <v>9149</v>
      </c>
      <c r="AV57" s="35">
        <f t="shared" si="22"/>
        <v>2079.6594</v>
      </c>
      <c r="AW57" s="35">
        <f t="shared" si="6"/>
        <v>11228.6594</v>
      </c>
      <c r="AX57" s="35">
        <f>IF(C57=1,MAX(AW57,AR57),AW57)</f>
        <v>11228.6594</v>
      </c>
      <c r="AY57" s="66"/>
      <c r="AZ57" s="67"/>
      <c r="BA57" s="35"/>
      <c r="BB57" s="68"/>
      <c r="BC57" s="35"/>
      <c r="BD57" s="21"/>
      <c r="BF57" s="21"/>
      <c r="BG57" s="21"/>
      <c r="BK57" s="21"/>
      <c r="BL57" s="21"/>
      <c r="BM57" s="21"/>
      <c r="BN57" s="21"/>
      <c r="BO57" s="21"/>
    </row>
    <row r="58" spans="1:67" ht="14.35" x14ac:dyDescent="0.5">
      <c r="A58" s="8" t="s">
        <v>104</v>
      </c>
      <c r="B58" s="8"/>
      <c r="C58" s="25"/>
      <c r="D58" s="25"/>
      <c r="E58" s="25"/>
      <c r="F58" s="1">
        <v>7</v>
      </c>
      <c r="G58" s="78">
        <v>87</v>
      </c>
      <c r="H58" s="8">
        <v>32</v>
      </c>
      <c r="I58" s="3" t="s">
        <v>139</v>
      </c>
      <c r="J58" s="70"/>
      <c r="K58" s="76">
        <v>1609.73</v>
      </c>
      <c r="L58" s="78"/>
      <c r="M58" s="77">
        <v>408</v>
      </c>
      <c r="N58" s="76">
        <f t="shared" si="7"/>
        <v>122.4</v>
      </c>
      <c r="O58" s="76">
        <f t="shared" si="8"/>
        <v>965.84</v>
      </c>
      <c r="P58" s="76">
        <f t="shared" si="9"/>
        <v>0</v>
      </c>
      <c r="Q58" s="76">
        <f t="shared" si="10"/>
        <v>0</v>
      </c>
      <c r="R58" s="65">
        <f t="shared" si="11"/>
        <v>0.25</v>
      </c>
      <c r="S58" s="65">
        <f>IF(R58&gt;0.6,+R58-0.6,0)</f>
        <v>0</v>
      </c>
      <c r="T58" s="34">
        <f>ROUND(S58*K58,2)</f>
        <v>0</v>
      </c>
      <c r="U58" s="34">
        <f t="shared" si="12"/>
        <v>0</v>
      </c>
      <c r="V58" s="77">
        <v>16</v>
      </c>
      <c r="W58" s="76">
        <f t="shared" si="13"/>
        <v>4</v>
      </c>
      <c r="X58" s="36">
        <f>ROUND(M58*$X$2,2)</f>
        <v>122.4</v>
      </c>
      <c r="Y58" s="9">
        <f t="shared" si="14"/>
        <v>1736.13</v>
      </c>
      <c r="Z58" s="76">
        <v>1492783189.6700001</v>
      </c>
      <c r="AA58" s="77">
        <v>12422</v>
      </c>
      <c r="AB58" s="17">
        <f t="shared" si="3"/>
        <v>120172.53</v>
      </c>
      <c r="AC58" s="37">
        <f t="shared" si="4"/>
        <v>0.62418600000000002</v>
      </c>
      <c r="AD58" s="77">
        <v>91461</v>
      </c>
      <c r="AE58" s="37">
        <f t="shared" si="5"/>
        <v>0.75904899999999997</v>
      </c>
      <c r="AF58" s="37">
        <f t="shared" si="23"/>
        <v>0.33535500000000001</v>
      </c>
      <c r="AG58" s="71">
        <f t="shared" si="15"/>
        <v>0.33535500000000001</v>
      </c>
      <c r="AH58" s="38">
        <f>IF(G58&gt;=1,IF(G58&lt;=5,0.06,IF(G58&lt;=10,0.05,IF(G58&lt;=15,0.04,IF(G58&lt;=19,0.03,0)))),0)</f>
        <v>0</v>
      </c>
      <c r="AI58" s="74">
        <f t="shared" si="16"/>
        <v>0.33535500000000001</v>
      </c>
      <c r="AJ58" s="77">
        <v>0</v>
      </c>
      <c r="AK58" s="77">
        <v>0</v>
      </c>
      <c r="AL58" s="11">
        <f t="shared" si="17"/>
        <v>0</v>
      </c>
      <c r="AM58" s="83"/>
      <c r="AN58" s="84"/>
      <c r="AO58" s="11">
        <f t="shared" si="18"/>
        <v>0</v>
      </c>
      <c r="AP58" s="11">
        <f>ROUND(Y58*AI58*$AP$21,0)</f>
        <v>6710084</v>
      </c>
      <c r="AQ58" s="11">
        <f t="shared" si="19"/>
        <v>6710084</v>
      </c>
      <c r="AR58" s="35">
        <v>8756165</v>
      </c>
      <c r="AS58" s="11">
        <f t="shared" si="20"/>
        <v>2046081</v>
      </c>
      <c r="AT58" s="72" t="str">
        <f t="shared" si="21"/>
        <v>No</v>
      </c>
      <c r="AU58" s="77">
        <v>7952911</v>
      </c>
      <c r="AV58" s="35">
        <f t="shared" si="22"/>
        <v>0</v>
      </c>
      <c r="AW58" s="35">
        <f t="shared" si="6"/>
        <v>7952911</v>
      </c>
      <c r="AX58" s="35">
        <f>IF(C58=1,MAX(AW58,AR58),AW58)</f>
        <v>7952911</v>
      </c>
      <c r="AY58" s="66"/>
      <c r="AZ58" s="67"/>
      <c r="BA58" s="35"/>
      <c r="BB58" s="68"/>
      <c r="BC58" s="35"/>
      <c r="BD58" s="21"/>
      <c r="BF58" s="21"/>
      <c r="BG58" s="21"/>
      <c r="BK58" s="21"/>
      <c r="BL58" s="21"/>
      <c r="BM58" s="21"/>
      <c r="BN58" s="21"/>
      <c r="BO58" s="21"/>
    </row>
    <row r="59" spans="1:67" ht="14.35" x14ac:dyDescent="0.5">
      <c r="A59" s="8" t="s">
        <v>110</v>
      </c>
      <c r="B59" s="8"/>
      <c r="C59" s="25"/>
      <c r="D59" s="25"/>
      <c r="E59" s="25"/>
      <c r="F59" s="1">
        <v>6</v>
      </c>
      <c r="G59" s="78">
        <v>95</v>
      </c>
      <c r="H59" s="8">
        <v>33</v>
      </c>
      <c r="I59" s="3" t="s">
        <v>140</v>
      </c>
      <c r="J59" s="70"/>
      <c r="K59" s="76">
        <v>2038.75</v>
      </c>
      <c r="L59" s="78"/>
      <c r="M59" s="77">
        <v>507</v>
      </c>
      <c r="N59" s="76">
        <f t="shared" si="7"/>
        <v>152.1</v>
      </c>
      <c r="O59" s="76">
        <f t="shared" si="8"/>
        <v>1223.25</v>
      </c>
      <c r="P59" s="76">
        <f t="shared" si="9"/>
        <v>0</v>
      </c>
      <c r="Q59" s="76">
        <f t="shared" si="10"/>
        <v>0</v>
      </c>
      <c r="R59" s="65">
        <f t="shared" si="11"/>
        <v>0.25</v>
      </c>
      <c r="S59" s="65">
        <f>IF(R59&gt;0.6,+R59-0.6,0)</f>
        <v>0</v>
      </c>
      <c r="T59" s="34">
        <f>ROUND(S59*K59,2)</f>
        <v>0</v>
      </c>
      <c r="U59" s="34">
        <f t="shared" si="12"/>
        <v>0</v>
      </c>
      <c r="V59" s="77">
        <v>97</v>
      </c>
      <c r="W59" s="76">
        <f t="shared" si="13"/>
        <v>24.25</v>
      </c>
      <c r="X59" s="36">
        <f>ROUND(M59*$X$2,2)</f>
        <v>152.1</v>
      </c>
      <c r="Y59" s="9">
        <f t="shared" si="14"/>
        <v>2215.1</v>
      </c>
      <c r="Z59" s="76">
        <v>2084716103.3299999</v>
      </c>
      <c r="AA59" s="77">
        <v>13973</v>
      </c>
      <c r="AB59" s="17">
        <f t="shared" si="3"/>
        <v>149196.03</v>
      </c>
      <c r="AC59" s="37">
        <f t="shared" si="4"/>
        <v>0.77493599999999996</v>
      </c>
      <c r="AD59" s="77">
        <v>91841</v>
      </c>
      <c r="AE59" s="37">
        <f t="shared" si="5"/>
        <v>0.76220200000000005</v>
      </c>
      <c r="AF59" s="37">
        <f t="shared" si="23"/>
        <v>0.228884</v>
      </c>
      <c r="AG59" s="71">
        <f t="shared" si="15"/>
        <v>0.228884</v>
      </c>
      <c r="AH59" s="38">
        <f>IF(G59&gt;=1,IF(G59&lt;=5,0.06,IF(G59&lt;=10,0.05,IF(G59&lt;=15,0.04,IF(G59&lt;=19,0.03,0)))),0)</f>
        <v>0</v>
      </c>
      <c r="AI59" s="74">
        <f t="shared" si="16"/>
        <v>0.228884</v>
      </c>
      <c r="AJ59" s="77">
        <v>0</v>
      </c>
      <c r="AK59" s="77">
        <v>0</v>
      </c>
      <c r="AL59" s="11">
        <f t="shared" si="17"/>
        <v>0</v>
      </c>
      <c r="AM59" s="83"/>
      <c r="AN59" s="84"/>
      <c r="AO59" s="11">
        <f t="shared" si="18"/>
        <v>0</v>
      </c>
      <c r="AP59" s="11">
        <f>ROUND(Y59*AI59*$AP$21,0)</f>
        <v>5843186</v>
      </c>
      <c r="AQ59" s="11">
        <f t="shared" si="19"/>
        <v>5843186</v>
      </c>
      <c r="AR59" s="35">
        <v>4646922</v>
      </c>
      <c r="AS59" s="11">
        <f t="shared" si="20"/>
        <v>1196264</v>
      </c>
      <c r="AT59" s="72" t="str">
        <f t="shared" si="21"/>
        <v>Yes</v>
      </c>
      <c r="AU59" s="77">
        <v>4977403</v>
      </c>
      <c r="AV59" s="35">
        <f t="shared" si="22"/>
        <v>127521.7424</v>
      </c>
      <c r="AW59" s="35">
        <f t="shared" si="6"/>
        <v>5104924.7423999999</v>
      </c>
      <c r="AX59" s="35">
        <f>IF(C59=1,MAX(AW59,AR59),AW59)</f>
        <v>5104924.7423999999</v>
      </c>
      <c r="AY59" s="66"/>
      <c r="AZ59" s="67"/>
      <c r="BA59" s="35"/>
      <c r="BB59" s="68"/>
      <c r="BC59" s="35"/>
      <c r="BD59" s="21"/>
      <c r="BF59" s="21"/>
      <c r="BG59" s="21"/>
      <c r="BK59" s="21"/>
      <c r="BL59" s="21"/>
      <c r="BM59" s="21"/>
      <c r="BN59" s="21"/>
      <c r="BO59" s="21"/>
    </row>
    <row r="60" spans="1:67" ht="14.35" x14ac:dyDescent="0.5">
      <c r="A60" s="8" t="s">
        <v>102</v>
      </c>
      <c r="B60" s="8">
        <v>1</v>
      </c>
      <c r="C60" s="25">
        <v>1</v>
      </c>
      <c r="D60" s="25">
        <v>1</v>
      </c>
      <c r="E60" s="25"/>
      <c r="F60" s="1">
        <v>8</v>
      </c>
      <c r="G60" s="78">
        <v>59</v>
      </c>
      <c r="H60" s="8">
        <v>34</v>
      </c>
      <c r="I60" s="3" t="s">
        <v>141</v>
      </c>
      <c r="J60" s="70"/>
      <c r="K60" s="76">
        <v>11704.88</v>
      </c>
      <c r="L60" s="78"/>
      <c r="M60" s="77">
        <v>6411</v>
      </c>
      <c r="N60" s="76">
        <f t="shared" si="7"/>
        <v>1923.3</v>
      </c>
      <c r="O60" s="76">
        <f t="shared" si="8"/>
        <v>7022.93</v>
      </c>
      <c r="P60" s="76">
        <f t="shared" si="9"/>
        <v>0</v>
      </c>
      <c r="Q60" s="76">
        <f t="shared" si="10"/>
        <v>0</v>
      </c>
      <c r="R60" s="65">
        <f t="shared" si="11"/>
        <v>0.55000000000000004</v>
      </c>
      <c r="S60" s="65">
        <f>IF(R60&gt;0.6,+R60-0.6,0)</f>
        <v>0</v>
      </c>
      <c r="T60" s="34">
        <f>ROUND(S60*K60,2)</f>
        <v>0</v>
      </c>
      <c r="U60" s="34">
        <f t="shared" si="12"/>
        <v>0</v>
      </c>
      <c r="V60" s="77">
        <v>3298</v>
      </c>
      <c r="W60" s="76">
        <f t="shared" si="13"/>
        <v>824.5</v>
      </c>
      <c r="X60" s="36">
        <f>ROUND(M60*$X$2,2)</f>
        <v>1923.3</v>
      </c>
      <c r="Y60" s="9">
        <f t="shared" si="14"/>
        <v>14452.679999999998</v>
      </c>
      <c r="Z60" s="76">
        <v>11350977717.67</v>
      </c>
      <c r="AA60" s="77">
        <v>84479</v>
      </c>
      <c r="AB60" s="17">
        <f t="shared" si="3"/>
        <v>134364.49</v>
      </c>
      <c r="AC60" s="37">
        <f t="shared" si="4"/>
        <v>0.69789999999999996</v>
      </c>
      <c r="AD60" s="77">
        <v>71672</v>
      </c>
      <c r="AE60" s="37">
        <f t="shared" si="5"/>
        <v>0.59481700000000004</v>
      </c>
      <c r="AF60" s="37">
        <f t="shared" si="23"/>
        <v>0.33302500000000002</v>
      </c>
      <c r="AG60" s="71">
        <f t="shared" si="15"/>
        <v>0.33302500000000002</v>
      </c>
      <c r="AH60" s="38">
        <f>IF(G60&gt;=1,IF(G60&lt;=5,0.06,IF(G60&lt;=10,0.05,IF(G60&lt;=15,0.04,IF(G60&lt;=19,0.03,0)))),0)</f>
        <v>0</v>
      </c>
      <c r="AI60" s="74">
        <f t="shared" si="16"/>
        <v>0.33302500000000002</v>
      </c>
      <c r="AJ60" s="77">
        <v>0</v>
      </c>
      <c r="AK60" s="77">
        <v>0</v>
      </c>
      <c r="AL60" s="11">
        <f t="shared" si="17"/>
        <v>0</v>
      </c>
      <c r="AM60" s="83"/>
      <c r="AN60" s="84"/>
      <c r="AO60" s="11">
        <f t="shared" si="18"/>
        <v>0</v>
      </c>
      <c r="AP60" s="11">
        <f>ROUND(Y60*AI60*$AP$21,0)</f>
        <v>55471021</v>
      </c>
      <c r="AQ60" s="11">
        <f t="shared" si="19"/>
        <v>55471021</v>
      </c>
      <c r="AR60" s="35">
        <v>31290480</v>
      </c>
      <c r="AS60" s="11">
        <f t="shared" si="20"/>
        <v>24180541</v>
      </c>
      <c r="AT60" s="72" t="str">
        <f t="shared" si="21"/>
        <v>Yes</v>
      </c>
      <c r="AU60" s="77">
        <v>37698473</v>
      </c>
      <c r="AV60" s="35">
        <f t="shared" si="22"/>
        <v>2577645.6705999998</v>
      </c>
      <c r="AW60" s="35">
        <f t="shared" si="6"/>
        <v>40276118.670599997</v>
      </c>
      <c r="AX60" s="35">
        <f>IF(C60=1,MAX(AW60,AR60),AW60)</f>
        <v>40276118.670599997</v>
      </c>
      <c r="AY60" s="66"/>
      <c r="AZ60" s="67"/>
      <c r="BA60" s="35"/>
      <c r="BB60" s="68"/>
      <c r="BC60" s="35"/>
      <c r="BD60" s="21"/>
      <c r="BF60" s="21"/>
      <c r="BG60" s="21"/>
      <c r="BK60" s="21"/>
      <c r="BL60" s="21"/>
      <c r="BM60" s="21"/>
      <c r="BN60" s="21"/>
      <c r="BO60" s="21"/>
    </row>
    <row r="61" spans="1:67" ht="14.35" x14ac:dyDescent="0.5">
      <c r="A61" s="8" t="s">
        <v>142</v>
      </c>
      <c r="B61" s="8"/>
      <c r="C61" s="25"/>
      <c r="D61" s="25"/>
      <c r="E61" s="25"/>
      <c r="F61" s="1">
        <v>1</v>
      </c>
      <c r="G61" s="78">
        <v>167</v>
      </c>
      <c r="H61" s="8">
        <v>35</v>
      </c>
      <c r="I61" s="3" t="s">
        <v>143</v>
      </c>
      <c r="J61" s="70"/>
      <c r="K61" s="76">
        <v>4646.72</v>
      </c>
      <c r="L61" s="78"/>
      <c r="M61" s="77">
        <v>61</v>
      </c>
      <c r="N61" s="76">
        <f t="shared" si="7"/>
        <v>18.3</v>
      </c>
      <c r="O61" s="76">
        <f t="shared" si="8"/>
        <v>2788.03</v>
      </c>
      <c r="P61" s="76">
        <f t="shared" si="9"/>
        <v>0</v>
      </c>
      <c r="Q61" s="76">
        <f t="shared" si="10"/>
        <v>0</v>
      </c>
      <c r="R61" s="65">
        <f t="shared" si="11"/>
        <v>0.01</v>
      </c>
      <c r="S61" s="65">
        <f>IF(R61&gt;0.6,+R61-0.6,0)</f>
        <v>0</v>
      </c>
      <c r="T61" s="34">
        <f>ROUND(S61*K61,2)</f>
        <v>0</v>
      </c>
      <c r="U61" s="34">
        <f t="shared" si="12"/>
        <v>0</v>
      </c>
      <c r="V61" s="77">
        <v>55</v>
      </c>
      <c r="W61" s="76">
        <f t="shared" si="13"/>
        <v>13.75</v>
      </c>
      <c r="X61" s="36">
        <f>ROUND(M61*$X$2,2)</f>
        <v>18.3</v>
      </c>
      <c r="Y61" s="9">
        <f t="shared" si="14"/>
        <v>4678.7700000000004</v>
      </c>
      <c r="Z61" s="76">
        <v>12872179293</v>
      </c>
      <c r="AA61" s="77">
        <v>21759</v>
      </c>
      <c r="AB61" s="17">
        <f t="shared" si="3"/>
        <v>591579.54</v>
      </c>
      <c r="AC61" s="37">
        <f t="shared" si="4"/>
        <v>3.0727129999999998</v>
      </c>
      <c r="AD61" s="77">
        <v>210511</v>
      </c>
      <c r="AE61" s="37">
        <f t="shared" si="5"/>
        <v>1.747063</v>
      </c>
      <c r="AF61" s="37">
        <f t="shared" si="23"/>
        <v>-1.6750179999999999</v>
      </c>
      <c r="AG61" s="71">
        <f t="shared" si="15"/>
        <v>0.01</v>
      </c>
      <c r="AH61" s="38">
        <f>IF(G61&gt;=1,IF(G61&lt;=5,0.06,IF(G61&lt;=10,0.05,IF(G61&lt;=15,0.04,IF(G61&lt;=19,0.03,0)))),0)</f>
        <v>0</v>
      </c>
      <c r="AI61" s="74">
        <f t="shared" si="16"/>
        <v>0.01</v>
      </c>
      <c r="AJ61" s="77">
        <v>0</v>
      </c>
      <c r="AK61" s="77">
        <v>0</v>
      </c>
      <c r="AL61" s="11">
        <f t="shared" si="17"/>
        <v>0</v>
      </c>
      <c r="AM61" s="83"/>
      <c r="AN61" s="84"/>
      <c r="AO61" s="11">
        <f t="shared" si="18"/>
        <v>0</v>
      </c>
      <c r="AP61" s="11">
        <f>ROUND(Y61*AI61*$AP$21,0)</f>
        <v>539228</v>
      </c>
      <c r="AQ61" s="11">
        <f t="shared" si="19"/>
        <v>539228</v>
      </c>
      <c r="AR61" s="35">
        <v>406683</v>
      </c>
      <c r="AS61" s="11">
        <f t="shared" si="20"/>
        <v>132545</v>
      </c>
      <c r="AT61" s="72" t="str">
        <f t="shared" si="21"/>
        <v>Yes</v>
      </c>
      <c r="AU61" s="77">
        <v>443228</v>
      </c>
      <c r="AV61" s="35">
        <f t="shared" si="22"/>
        <v>14129.297</v>
      </c>
      <c r="AW61" s="35">
        <f t="shared" si="6"/>
        <v>457357.29700000002</v>
      </c>
      <c r="AX61" s="35">
        <f>IF(C61=1,MAX(AW61,AR61),AW61)</f>
        <v>457357.29700000002</v>
      </c>
      <c r="AY61" s="66"/>
      <c r="AZ61" s="67"/>
      <c r="BA61" s="35"/>
      <c r="BB61" s="68"/>
      <c r="BC61" s="35"/>
      <c r="BD61" s="21"/>
      <c r="BF61" s="21"/>
      <c r="BG61" s="21"/>
      <c r="BK61" s="21"/>
      <c r="BL61" s="21"/>
      <c r="BM61" s="21"/>
      <c r="BN61" s="21"/>
      <c r="BO61" s="21"/>
    </row>
    <row r="62" spans="1:67" ht="14.35" x14ac:dyDescent="0.5">
      <c r="A62" s="8" t="s">
        <v>104</v>
      </c>
      <c r="B62" s="8"/>
      <c r="C62" s="25"/>
      <c r="D62" s="25"/>
      <c r="E62" s="25"/>
      <c r="F62" s="1">
        <v>6</v>
      </c>
      <c r="G62" s="78">
        <v>114</v>
      </c>
      <c r="H62" s="8">
        <v>36</v>
      </c>
      <c r="I62" s="3" t="s">
        <v>144</v>
      </c>
      <c r="J62" s="70"/>
      <c r="K62" s="76">
        <v>528.96</v>
      </c>
      <c r="L62" s="78"/>
      <c r="M62" s="77">
        <v>171</v>
      </c>
      <c r="N62" s="76">
        <f t="shared" si="7"/>
        <v>51.3</v>
      </c>
      <c r="O62" s="76">
        <f t="shared" si="8"/>
        <v>317.38</v>
      </c>
      <c r="P62" s="76">
        <f t="shared" si="9"/>
        <v>0</v>
      </c>
      <c r="Q62" s="76">
        <f t="shared" si="10"/>
        <v>0</v>
      </c>
      <c r="R62" s="65">
        <f t="shared" si="11"/>
        <v>0.32</v>
      </c>
      <c r="S62" s="65">
        <f>IF(R62&gt;0.6,+R62-0.6,0)</f>
        <v>0</v>
      </c>
      <c r="T62" s="34">
        <f>ROUND(S62*K62,2)</f>
        <v>0</v>
      </c>
      <c r="U62" s="34">
        <f t="shared" si="12"/>
        <v>0</v>
      </c>
      <c r="V62" s="77">
        <v>6</v>
      </c>
      <c r="W62" s="76">
        <f t="shared" si="13"/>
        <v>1.5</v>
      </c>
      <c r="X62" s="36">
        <f>ROUND(M62*$X$2,2)</f>
        <v>51.3</v>
      </c>
      <c r="Y62" s="9">
        <f t="shared" si="14"/>
        <v>581.76</v>
      </c>
      <c r="Z62" s="76">
        <v>724594227.33000004</v>
      </c>
      <c r="AA62" s="77">
        <v>4493</v>
      </c>
      <c r="AB62" s="17">
        <f t="shared" si="3"/>
        <v>161271.81</v>
      </c>
      <c r="AC62" s="37">
        <f t="shared" si="4"/>
        <v>0.83765900000000004</v>
      </c>
      <c r="AD62" s="77">
        <v>71641</v>
      </c>
      <c r="AE62" s="37">
        <f t="shared" si="5"/>
        <v>0.59455899999999995</v>
      </c>
      <c r="AF62" s="37">
        <f t="shared" si="23"/>
        <v>0.23527100000000001</v>
      </c>
      <c r="AG62" s="71">
        <f t="shared" si="15"/>
        <v>0.23527100000000001</v>
      </c>
      <c r="AH62" s="38">
        <f>IF(G62&gt;=1,IF(G62&lt;=5,0.06,IF(G62&lt;=10,0.05,IF(G62&lt;=15,0.04,IF(G62&lt;=19,0.03,0)))),0)</f>
        <v>0</v>
      </c>
      <c r="AI62" s="74">
        <f t="shared" si="16"/>
        <v>0.23527100000000001</v>
      </c>
      <c r="AJ62" s="77">
        <v>297</v>
      </c>
      <c r="AK62" s="77">
        <v>6</v>
      </c>
      <c r="AL62" s="11">
        <f t="shared" si="17"/>
        <v>178200</v>
      </c>
      <c r="AM62" s="83"/>
      <c r="AN62" s="84"/>
      <c r="AO62" s="11">
        <f t="shared" si="18"/>
        <v>0</v>
      </c>
      <c r="AP62" s="11">
        <f>ROUND(Y62*AI62*$AP$21,0)</f>
        <v>1577441</v>
      </c>
      <c r="AQ62" s="11">
        <f t="shared" si="19"/>
        <v>1755641</v>
      </c>
      <c r="AR62" s="35">
        <v>1675092</v>
      </c>
      <c r="AS62" s="11">
        <f t="shared" si="20"/>
        <v>80549</v>
      </c>
      <c r="AT62" s="72" t="str">
        <f t="shared" si="21"/>
        <v>Yes</v>
      </c>
      <c r="AU62" s="77">
        <v>1662870</v>
      </c>
      <c r="AV62" s="35">
        <f t="shared" si="22"/>
        <v>8586.5234</v>
      </c>
      <c r="AW62" s="35">
        <f t="shared" si="6"/>
        <v>1671456.5234000001</v>
      </c>
      <c r="AX62" s="35">
        <f>IF(C62=1,MAX(AW62,AR62),AW62)</f>
        <v>1671456.5234000001</v>
      </c>
      <c r="AY62" s="66"/>
      <c r="AZ62" s="67"/>
      <c r="BA62" s="35"/>
      <c r="BB62" s="68"/>
      <c r="BC62" s="35"/>
      <c r="BD62" s="21"/>
      <c r="BF62" s="21"/>
      <c r="BG62" s="21"/>
      <c r="BK62" s="21"/>
      <c r="BL62" s="21"/>
      <c r="BM62" s="21"/>
      <c r="BN62" s="21"/>
      <c r="BO62" s="21"/>
    </row>
    <row r="63" spans="1:67" ht="14.35" x14ac:dyDescent="0.5">
      <c r="A63" s="8" t="s">
        <v>102</v>
      </c>
      <c r="B63" s="25">
        <v>1</v>
      </c>
      <c r="C63" s="25">
        <v>1</v>
      </c>
      <c r="D63" s="25">
        <v>1</v>
      </c>
      <c r="E63" s="25"/>
      <c r="F63" s="1">
        <v>10</v>
      </c>
      <c r="G63" s="79">
        <v>12</v>
      </c>
      <c r="H63" s="8">
        <v>37</v>
      </c>
      <c r="I63" s="3" t="s">
        <v>145</v>
      </c>
      <c r="J63" s="70"/>
      <c r="K63" s="76">
        <v>1358.84</v>
      </c>
      <c r="L63" s="79"/>
      <c r="M63" s="77">
        <v>737</v>
      </c>
      <c r="N63" s="76">
        <f t="shared" si="7"/>
        <v>221.1</v>
      </c>
      <c r="O63" s="76">
        <f t="shared" si="8"/>
        <v>815.3</v>
      </c>
      <c r="P63" s="76">
        <f t="shared" si="9"/>
        <v>0</v>
      </c>
      <c r="Q63" s="76">
        <f t="shared" si="10"/>
        <v>0</v>
      </c>
      <c r="R63" s="65">
        <f t="shared" si="11"/>
        <v>0.54</v>
      </c>
      <c r="S63" s="65">
        <f>IF(R63&gt;0.6,+R63-0.6,0)</f>
        <v>0</v>
      </c>
      <c r="T63" s="34">
        <f>ROUND(S63*K63,2)</f>
        <v>0</v>
      </c>
      <c r="U63" s="34">
        <f t="shared" si="12"/>
        <v>0</v>
      </c>
      <c r="V63" s="77">
        <v>40</v>
      </c>
      <c r="W63" s="76">
        <f t="shared" si="13"/>
        <v>10</v>
      </c>
      <c r="X63" s="36">
        <f>ROUND(M63*$X$2,2)</f>
        <v>221.1</v>
      </c>
      <c r="Y63" s="9">
        <f t="shared" si="14"/>
        <v>1589.9399999999998</v>
      </c>
      <c r="Z63" s="76">
        <v>1091479200</v>
      </c>
      <c r="AA63" s="77">
        <v>12596</v>
      </c>
      <c r="AB63" s="17">
        <f t="shared" si="3"/>
        <v>86652.84</v>
      </c>
      <c r="AC63" s="37">
        <f t="shared" si="4"/>
        <v>0.45008199999999998</v>
      </c>
      <c r="AD63" s="77">
        <v>56301</v>
      </c>
      <c r="AE63" s="37">
        <f t="shared" si="5"/>
        <v>0.46725100000000003</v>
      </c>
      <c r="AF63" s="37">
        <f t="shared" si="23"/>
        <v>0.544767</v>
      </c>
      <c r="AG63" s="71">
        <f t="shared" si="15"/>
        <v>0.544767</v>
      </c>
      <c r="AH63" s="38">
        <f>IF(G63&gt;=1,IF(G63&lt;=5,0.06,IF(G63&lt;=10,0.05,IF(G63&lt;=15,0.04,IF(G63&lt;=19,0.03,0)))),0)</f>
        <v>0.04</v>
      </c>
      <c r="AI63" s="74">
        <f t="shared" si="16"/>
        <v>0.58476700000000004</v>
      </c>
      <c r="AJ63" s="77">
        <v>0</v>
      </c>
      <c r="AK63" s="77">
        <v>0</v>
      </c>
      <c r="AL63" s="11">
        <f t="shared" si="17"/>
        <v>0</v>
      </c>
      <c r="AM63" s="83"/>
      <c r="AN63" s="84"/>
      <c r="AO63" s="11">
        <f t="shared" si="18"/>
        <v>0</v>
      </c>
      <c r="AP63" s="11">
        <f>ROUND(Y63*AI63*$AP$21,0)</f>
        <v>10715305</v>
      </c>
      <c r="AQ63" s="11">
        <f t="shared" si="19"/>
        <v>10715305</v>
      </c>
      <c r="AR63" s="35">
        <v>7902388</v>
      </c>
      <c r="AS63" s="11">
        <f t="shared" si="20"/>
        <v>2812917</v>
      </c>
      <c r="AT63" s="72" t="str">
        <f t="shared" si="21"/>
        <v>Yes</v>
      </c>
      <c r="AU63" s="77">
        <v>8840423</v>
      </c>
      <c r="AV63" s="35">
        <f t="shared" si="22"/>
        <v>299856.9522</v>
      </c>
      <c r="AW63" s="35">
        <f t="shared" si="6"/>
        <v>9140279.9521999992</v>
      </c>
      <c r="AX63" s="35">
        <f>IF(C63=1,MAX(AW63,AR63),AW63)</f>
        <v>9140279.9521999992</v>
      </c>
      <c r="AY63" s="66"/>
      <c r="AZ63" s="67"/>
      <c r="BA63" s="35"/>
      <c r="BB63" s="68"/>
      <c r="BC63" s="35"/>
      <c r="BD63" s="21"/>
      <c r="BF63" s="21"/>
      <c r="BG63" s="21"/>
      <c r="BK63" s="21"/>
      <c r="BL63" s="21"/>
      <c r="BM63" s="21"/>
      <c r="BN63" s="21"/>
      <c r="BO63" s="21"/>
    </row>
    <row r="64" spans="1:67" ht="14.35" x14ac:dyDescent="0.5">
      <c r="A64" s="8" t="s">
        <v>100</v>
      </c>
      <c r="B64" s="8"/>
      <c r="C64" s="25"/>
      <c r="D64" s="25"/>
      <c r="E64" s="25"/>
      <c r="F64" s="1">
        <v>3</v>
      </c>
      <c r="G64" s="78">
        <v>135</v>
      </c>
      <c r="H64" s="8">
        <v>38</v>
      </c>
      <c r="I64" s="3" t="s">
        <v>146</v>
      </c>
      <c r="J64" s="70"/>
      <c r="K64" s="76">
        <v>948.77</v>
      </c>
      <c r="L64" s="78"/>
      <c r="M64" s="77">
        <v>135</v>
      </c>
      <c r="N64" s="76">
        <f t="shared" si="7"/>
        <v>40.5</v>
      </c>
      <c r="O64" s="76">
        <f t="shared" si="8"/>
        <v>569.26</v>
      </c>
      <c r="P64" s="76">
        <f t="shared" si="9"/>
        <v>0</v>
      </c>
      <c r="Q64" s="76">
        <f t="shared" si="10"/>
        <v>0</v>
      </c>
      <c r="R64" s="65">
        <f t="shared" si="11"/>
        <v>0.14000000000000001</v>
      </c>
      <c r="S64" s="65">
        <f>IF(R64&gt;0.6,+R64-0.6,0)</f>
        <v>0</v>
      </c>
      <c r="T64" s="34">
        <f>ROUND(S64*K64,2)</f>
        <v>0</v>
      </c>
      <c r="U64" s="34">
        <f t="shared" si="12"/>
        <v>0</v>
      </c>
      <c r="V64" s="77">
        <v>10</v>
      </c>
      <c r="W64" s="76">
        <f t="shared" si="13"/>
        <v>2.5</v>
      </c>
      <c r="X64" s="36">
        <f>ROUND(M64*$X$2,2)</f>
        <v>40.5</v>
      </c>
      <c r="Y64" s="9">
        <f t="shared" si="14"/>
        <v>991.77</v>
      </c>
      <c r="Z64" s="76">
        <v>1036982772.67</v>
      </c>
      <c r="AA64" s="77">
        <v>7248</v>
      </c>
      <c r="AB64" s="17">
        <f t="shared" si="3"/>
        <v>143071.57</v>
      </c>
      <c r="AC64" s="37">
        <f t="shared" si="4"/>
        <v>0.74312599999999995</v>
      </c>
      <c r="AD64" s="77">
        <v>117631</v>
      </c>
      <c r="AE64" s="37">
        <f t="shared" si="5"/>
        <v>0.97623700000000002</v>
      </c>
      <c r="AF64" s="37">
        <f t="shared" si="23"/>
        <v>0.186941</v>
      </c>
      <c r="AG64" s="71">
        <f t="shared" si="15"/>
        <v>0.186941</v>
      </c>
      <c r="AH64" s="38">
        <f>IF(G64&gt;=1,IF(G64&lt;=5,0.06,IF(G64&lt;=10,0.05,IF(G64&lt;=15,0.04,IF(G64&lt;=19,0.03,0)))),0)</f>
        <v>0</v>
      </c>
      <c r="AI64" s="74">
        <f t="shared" si="16"/>
        <v>0.186941</v>
      </c>
      <c r="AJ64" s="77">
        <v>956</v>
      </c>
      <c r="AK64" s="77">
        <v>13</v>
      </c>
      <c r="AL64" s="11">
        <f t="shared" si="17"/>
        <v>1242800</v>
      </c>
      <c r="AM64" s="83"/>
      <c r="AN64" s="84"/>
      <c r="AO64" s="11">
        <f t="shared" si="18"/>
        <v>0</v>
      </c>
      <c r="AP64" s="11">
        <f>ROUND(Y64*AI64*$AP$21,0)</f>
        <v>2136764</v>
      </c>
      <c r="AQ64" s="11">
        <f t="shared" si="19"/>
        <v>3379564</v>
      </c>
      <c r="AR64" s="35">
        <v>3895303</v>
      </c>
      <c r="AS64" s="11">
        <f t="shared" si="20"/>
        <v>515739</v>
      </c>
      <c r="AT64" s="72" t="str">
        <f t="shared" si="21"/>
        <v>No</v>
      </c>
      <c r="AU64" s="77">
        <v>3165733</v>
      </c>
      <c r="AV64" s="35">
        <f t="shared" si="22"/>
        <v>0</v>
      </c>
      <c r="AW64" s="35">
        <f t="shared" si="6"/>
        <v>3165733</v>
      </c>
      <c r="AX64" s="35">
        <f>IF(C64=1,MAX(AW64,AR64),AW64)</f>
        <v>3165733</v>
      </c>
      <c r="AY64" s="66"/>
      <c r="AZ64" s="67"/>
      <c r="BA64" s="35"/>
      <c r="BB64" s="68"/>
      <c r="BC64" s="35"/>
      <c r="BD64" s="21"/>
      <c r="BF64" s="21"/>
      <c r="BG64" s="21"/>
      <c r="BK64" s="21"/>
      <c r="BL64" s="21"/>
      <c r="BM64" s="21"/>
      <c r="BN64" s="21"/>
      <c r="BO64" s="21"/>
    </row>
    <row r="65" spans="1:67" ht="14.35" x14ac:dyDescent="0.5">
      <c r="A65" s="8" t="s">
        <v>104</v>
      </c>
      <c r="B65" s="8"/>
      <c r="C65" s="25"/>
      <c r="D65" s="25"/>
      <c r="E65" s="25"/>
      <c r="F65" s="1">
        <v>7</v>
      </c>
      <c r="G65" s="78">
        <v>118</v>
      </c>
      <c r="H65" s="8">
        <v>39</v>
      </c>
      <c r="I65" s="3" t="s">
        <v>147</v>
      </c>
      <c r="J65" s="70"/>
      <c r="K65" s="76">
        <v>179</v>
      </c>
      <c r="L65" s="78"/>
      <c r="M65" s="77">
        <v>46</v>
      </c>
      <c r="N65" s="76">
        <f t="shared" si="7"/>
        <v>13.8</v>
      </c>
      <c r="O65" s="76">
        <f t="shared" si="8"/>
        <v>107.4</v>
      </c>
      <c r="P65" s="76">
        <f t="shared" si="9"/>
        <v>0</v>
      </c>
      <c r="Q65" s="76">
        <f t="shared" si="10"/>
        <v>0</v>
      </c>
      <c r="R65" s="65">
        <f t="shared" si="11"/>
        <v>0.26</v>
      </c>
      <c r="S65" s="65">
        <f>IF(R65&gt;0.6,+R65-0.6,0)</f>
        <v>0</v>
      </c>
      <c r="T65" s="34">
        <f>ROUND(S65*K65,2)</f>
        <v>0</v>
      </c>
      <c r="U65" s="34">
        <f t="shared" si="12"/>
        <v>0</v>
      </c>
      <c r="V65" s="77">
        <v>1</v>
      </c>
      <c r="W65" s="76">
        <f t="shared" si="13"/>
        <v>0.25</v>
      </c>
      <c r="X65" s="36">
        <f>ROUND(M65*$X$2,2)</f>
        <v>13.8</v>
      </c>
      <c r="Y65" s="9">
        <f t="shared" si="14"/>
        <v>193.05</v>
      </c>
      <c r="Z65" s="76">
        <v>227054576.66999999</v>
      </c>
      <c r="AA65" s="77">
        <v>1721</v>
      </c>
      <c r="AB65" s="17">
        <f t="shared" si="3"/>
        <v>131931.76999999999</v>
      </c>
      <c r="AC65" s="37">
        <f t="shared" si="4"/>
        <v>0.68526399999999998</v>
      </c>
      <c r="AD65" s="77">
        <v>86667</v>
      </c>
      <c r="AE65" s="37">
        <f t="shared" si="5"/>
        <v>0.71926299999999999</v>
      </c>
      <c r="AF65" s="37">
        <f t="shared" si="23"/>
        <v>0.30453599999999997</v>
      </c>
      <c r="AG65" s="71">
        <f t="shared" si="15"/>
        <v>0.30453599999999997</v>
      </c>
      <c r="AH65" s="38">
        <f>IF(G65&gt;=1,IF(G65&lt;=5,0.06,IF(G65&lt;=10,0.05,IF(G65&lt;=15,0.04,IF(G65&lt;=19,0.03,0)))),0)</f>
        <v>0</v>
      </c>
      <c r="AI65" s="74">
        <f t="shared" si="16"/>
        <v>0.30453599999999997</v>
      </c>
      <c r="AJ65" s="81">
        <v>0</v>
      </c>
      <c r="AK65" s="81">
        <v>0</v>
      </c>
      <c r="AL65" s="11">
        <f t="shared" si="17"/>
        <v>0</v>
      </c>
      <c r="AM65" s="83">
        <v>43</v>
      </c>
      <c r="AN65" s="84">
        <v>4</v>
      </c>
      <c r="AO65" s="11">
        <f t="shared" si="18"/>
        <v>17200</v>
      </c>
      <c r="AP65" s="11">
        <f>ROUND(Y65*AI65*$AP$21,0)</f>
        <v>677563</v>
      </c>
      <c r="AQ65" s="11">
        <f t="shared" si="19"/>
        <v>694763</v>
      </c>
      <c r="AR65" s="35">
        <v>1091881</v>
      </c>
      <c r="AS65" s="11">
        <f t="shared" si="20"/>
        <v>397118</v>
      </c>
      <c r="AT65" s="72" t="str">
        <f t="shared" si="21"/>
        <v>No</v>
      </c>
      <c r="AU65" s="77">
        <v>947176</v>
      </c>
      <c r="AV65" s="35">
        <f t="shared" si="22"/>
        <v>0</v>
      </c>
      <c r="AW65" s="35">
        <f t="shared" si="6"/>
        <v>947176</v>
      </c>
      <c r="AX65" s="35">
        <f>IF(C65=1,MAX(AW65,AR65),AW65)</f>
        <v>947176</v>
      </c>
      <c r="AY65" s="66"/>
      <c r="AZ65" s="67"/>
      <c r="BA65" s="35"/>
      <c r="BB65" s="68"/>
      <c r="BC65" s="35"/>
      <c r="BD65" s="21"/>
      <c r="BF65" s="21"/>
      <c r="BG65" s="21"/>
      <c r="BK65" s="21"/>
      <c r="BL65" s="21"/>
      <c r="BM65" s="21"/>
      <c r="BN65" s="21"/>
      <c r="BO65" s="21"/>
    </row>
    <row r="66" spans="1:67" ht="14.35" x14ac:dyDescent="0.5">
      <c r="A66" s="8" t="s">
        <v>110</v>
      </c>
      <c r="B66" s="8"/>
      <c r="C66" s="25"/>
      <c r="D66" s="25"/>
      <c r="E66" s="25"/>
      <c r="F66" s="1">
        <v>5</v>
      </c>
      <c r="G66" s="78">
        <v>106</v>
      </c>
      <c r="H66" s="8">
        <v>40</v>
      </c>
      <c r="I66" s="3" t="s">
        <v>148</v>
      </c>
      <c r="J66" s="70"/>
      <c r="K66" s="76">
        <v>847.21</v>
      </c>
      <c r="L66" s="78"/>
      <c r="M66" s="77">
        <v>93</v>
      </c>
      <c r="N66" s="76">
        <f t="shared" si="7"/>
        <v>27.9</v>
      </c>
      <c r="O66" s="76">
        <f t="shared" si="8"/>
        <v>508.33</v>
      </c>
      <c r="P66" s="76">
        <f t="shared" si="9"/>
        <v>0</v>
      </c>
      <c r="Q66" s="76">
        <f t="shared" si="10"/>
        <v>0</v>
      </c>
      <c r="R66" s="65">
        <f t="shared" si="11"/>
        <v>0.11</v>
      </c>
      <c r="S66" s="65">
        <f>IF(R66&gt;0.6,+R66-0.6,0)</f>
        <v>0</v>
      </c>
      <c r="T66" s="34">
        <f>ROUND(S66*K66,2)</f>
        <v>0</v>
      </c>
      <c r="U66" s="34">
        <f t="shared" si="12"/>
        <v>0</v>
      </c>
      <c r="V66" s="77">
        <v>16</v>
      </c>
      <c r="W66" s="76">
        <f t="shared" si="13"/>
        <v>4</v>
      </c>
      <c r="X66" s="36">
        <f>ROUND(M66*$X$2,2)</f>
        <v>27.9</v>
      </c>
      <c r="Y66" s="9">
        <f t="shared" si="14"/>
        <v>879.11</v>
      </c>
      <c r="Z66" s="76">
        <v>862107097.66999996</v>
      </c>
      <c r="AA66" s="77">
        <v>5256</v>
      </c>
      <c r="AB66" s="17">
        <f t="shared" si="3"/>
        <v>164023.42000000001</v>
      </c>
      <c r="AC66" s="37">
        <f t="shared" si="4"/>
        <v>0.85195100000000001</v>
      </c>
      <c r="AD66" s="77">
        <v>100689</v>
      </c>
      <c r="AE66" s="37">
        <f t="shared" si="5"/>
        <v>0.83563299999999996</v>
      </c>
      <c r="AF66" s="37">
        <f t="shared" si="23"/>
        <v>0.152944</v>
      </c>
      <c r="AG66" s="71">
        <f t="shared" si="15"/>
        <v>0.152944</v>
      </c>
      <c r="AH66" s="38">
        <f>IF(G66&gt;=1,IF(G66&lt;=5,0.06,IF(G66&lt;=10,0.05,IF(G66&lt;=15,0.04,IF(G66&lt;=19,0.03,0)))),0)</f>
        <v>0</v>
      </c>
      <c r="AI66" s="74">
        <f t="shared" si="16"/>
        <v>0.152944</v>
      </c>
      <c r="AJ66" s="77">
        <v>0</v>
      </c>
      <c r="AK66" s="77">
        <v>0</v>
      </c>
      <c r="AL66" s="11">
        <f t="shared" si="17"/>
        <v>0</v>
      </c>
      <c r="AM66" s="83"/>
      <c r="AN66" s="84"/>
      <c r="AO66" s="11">
        <f t="shared" si="18"/>
        <v>0</v>
      </c>
      <c r="AP66" s="11">
        <f>ROUND(Y66*AI66*$AP$21,0)</f>
        <v>1549589</v>
      </c>
      <c r="AQ66" s="11">
        <f t="shared" si="19"/>
        <v>1549589</v>
      </c>
      <c r="AR66" s="35">
        <v>1439845</v>
      </c>
      <c r="AS66" s="11">
        <f t="shared" si="20"/>
        <v>109744</v>
      </c>
      <c r="AT66" s="72" t="str">
        <f t="shared" si="21"/>
        <v>Yes</v>
      </c>
      <c r="AU66" s="77">
        <v>1434092</v>
      </c>
      <c r="AV66" s="35">
        <f t="shared" si="22"/>
        <v>11698.7104</v>
      </c>
      <c r="AW66" s="35">
        <f t="shared" si="6"/>
        <v>1445790.7104</v>
      </c>
      <c r="AX66" s="35">
        <f>IF(C66=1,MAX(AW66,AR66),AW66)</f>
        <v>1445790.7104</v>
      </c>
      <c r="AY66" s="66"/>
      <c r="AZ66" s="67"/>
      <c r="BA66" s="35"/>
      <c r="BB66" s="68"/>
      <c r="BC66" s="35"/>
      <c r="BD66" s="21"/>
      <c r="BF66" s="21"/>
      <c r="BG66" s="21"/>
      <c r="BK66" s="21"/>
      <c r="BL66" s="21"/>
      <c r="BM66" s="21"/>
      <c r="BN66" s="21"/>
      <c r="BO66" s="21"/>
    </row>
    <row r="67" spans="1:67" ht="14.35" x14ac:dyDescent="0.5">
      <c r="A67" s="8" t="s">
        <v>104</v>
      </c>
      <c r="B67" s="8"/>
      <c r="C67" s="25"/>
      <c r="D67" s="25"/>
      <c r="E67" s="25"/>
      <c r="F67" s="1">
        <v>5</v>
      </c>
      <c r="G67" s="78">
        <v>76</v>
      </c>
      <c r="H67" s="8">
        <v>41</v>
      </c>
      <c r="I67" s="3" t="s">
        <v>149</v>
      </c>
      <c r="J67" s="70"/>
      <c r="K67" s="76">
        <v>955.84</v>
      </c>
      <c r="L67" s="78"/>
      <c r="M67" s="77">
        <v>203</v>
      </c>
      <c r="N67" s="76">
        <f t="shared" si="7"/>
        <v>60.9</v>
      </c>
      <c r="O67" s="76">
        <f t="shared" si="8"/>
        <v>573.5</v>
      </c>
      <c r="P67" s="76">
        <f t="shared" si="9"/>
        <v>0</v>
      </c>
      <c r="Q67" s="76">
        <f t="shared" si="10"/>
        <v>0</v>
      </c>
      <c r="R67" s="65">
        <f t="shared" si="11"/>
        <v>0.21</v>
      </c>
      <c r="S67" s="65">
        <f>IF(R67&gt;0.6,+R67-0.6,0)</f>
        <v>0</v>
      </c>
      <c r="T67" s="34">
        <f>ROUND(S67*K67,2)</f>
        <v>0</v>
      </c>
      <c r="U67" s="34">
        <f t="shared" si="12"/>
        <v>0</v>
      </c>
      <c r="V67" s="77">
        <v>2</v>
      </c>
      <c r="W67" s="76">
        <f t="shared" si="13"/>
        <v>0.5</v>
      </c>
      <c r="X67" s="36">
        <f>ROUND(M67*$X$2,2)</f>
        <v>60.9</v>
      </c>
      <c r="Y67" s="9">
        <f t="shared" si="14"/>
        <v>1017.24</v>
      </c>
      <c r="Z67" s="76">
        <v>1272740846.6700001</v>
      </c>
      <c r="AA67" s="77">
        <v>9032</v>
      </c>
      <c r="AB67" s="17">
        <f t="shared" si="3"/>
        <v>140914.62</v>
      </c>
      <c r="AC67" s="37">
        <f t="shared" si="4"/>
        <v>0.73192199999999996</v>
      </c>
      <c r="AD67" s="77">
        <v>91339</v>
      </c>
      <c r="AE67" s="37">
        <f t="shared" si="5"/>
        <v>0.75803600000000004</v>
      </c>
      <c r="AF67" s="37">
        <f t="shared" si="23"/>
        <v>0.26024399999999998</v>
      </c>
      <c r="AG67" s="71">
        <f t="shared" si="15"/>
        <v>0.26024399999999998</v>
      </c>
      <c r="AH67" s="38">
        <f>IF(G67&gt;=1,IF(G67&lt;=5,0.06,IF(G67&lt;=10,0.05,IF(G67&lt;=15,0.04,IF(G67&lt;=19,0.03,0)))),0)</f>
        <v>0</v>
      </c>
      <c r="AI67" s="74">
        <f t="shared" si="16"/>
        <v>0.26024399999999998</v>
      </c>
      <c r="AJ67" s="77">
        <v>0</v>
      </c>
      <c r="AK67" s="77">
        <v>0</v>
      </c>
      <c r="AL67" s="11">
        <f t="shared" si="17"/>
        <v>0</v>
      </c>
      <c r="AM67" s="83">
        <v>1</v>
      </c>
      <c r="AN67" s="84">
        <v>4</v>
      </c>
      <c r="AO67" s="11">
        <f t="shared" si="18"/>
        <v>400</v>
      </c>
      <c r="AP67" s="11">
        <f>ROUND(Y67*AI67*$AP$21,0)</f>
        <v>3051020</v>
      </c>
      <c r="AQ67" s="11">
        <f t="shared" si="19"/>
        <v>3051420</v>
      </c>
      <c r="AR67" s="35">
        <v>3686134</v>
      </c>
      <c r="AS67" s="11">
        <f t="shared" si="20"/>
        <v>634714</v>
      </c>
      <c r="AT67" s="72" t="str">
        <f t="shared" si="21"/>
        <v>No</v>
      </c>
      <c r="AU67" s="77">
        <v>3555957</v>
      </c>
      <c r="AV67" s="35">
        <f t="shared" si="22"/>
        <v>0</v>
      </c>
      <c r="AW67" s="35">
        <f t="shared" si="6"/>
        <v>3555957</v>
      </c>
      <c r="AX67" s="35">
        <f>IF(C67=1,MAX(AW67,AR67),AW67)</f>
        <v>3555957</v>
      </c>
      <c r="AY67" s="66"/>
      <c r="AZ67" s="67"/>
      <c r="BA67" s="35"/>
      <c r="BB67" s="68"/>
      <c r="BC67" s="35"/>
      <c r="BD67" s="21"/>
      <c r="BF67" s="21"/>
      <c r="BG67" s="21"/>
      <c r="BK67" s="21"/>
      <c r="BL67" s="21"/>
      <c r="BM67" s="21"/>
      <c r="BN67" s="21"/>
      <c r="BO67" s="21"/>
    </row>
    <row r="68" spans="1:67" ht="14.35" x14ac:dyDescent="0.5">
      <c r="A68" s="8" t="s">
        <v>110</v>
      </c>
      <c r="B68" s="8"/>
      <c r="C68" s="25"/>
      <c r="D68" s="25"/>
      <c r="E68" s="25"/>
      <c r="F68" s="1">
        <v>6</v>
      </c>
      <c r="G68" s="78">
        <v>88</v>
      </c>
      <c r="H68" s="8">
        <v>42</v>
      </c>
      <c r="I68" s="3" t="s">
        <v>150</v>
      </c>
      <c r="J68" s="70"/>
      <c r="K68" s="76">
        <v>1866.49</v>
      </c>
      <c r="L68" s="78"/>
      <c r="M68" s="77">
        <v>390</v>
      </c>
      <c r="N68" s="76">
        <f t="shared" si="7"/>
        <v>117</v>
      </c>
      <c r="O68" s="76">
        <f t="shared" si="8"/>
        <v>1119.8900000000001</v>
      </c>
      <c r="P68" s="76">
        <f t="shared" si="9"/>
        <v>0</v>
      </c>
      <c r="Q68" s="76">
        <f t="shared" si="10"/>
        <v>0</v>
      </c>
      <c r="R68" s="65">
        <f t="shared" si="11"/>
        <v>0.21</v>
      </c>
      <c r="S68" s="65">
        <f>IF(R68&gt;0.6,+R68-0.6,0)</f>
        <v>0</v>
      </c>
      <c r="T68" s="34">
        <f>ROUND(S68*K68,2)</f>
        <v>0</v>
      </c>
      <c r="U68" s="34">
        <f t="shared" si="12"/>
        <v>0</v>
      </c>
      <c r="V68" s="77">
        <v>7</v>
      </c>
      <c r="W68" s="76">
        <f t="shared" si="13"/>
        <v>1.75</v>
      </c>
      <c r="X68" s="36">
        <f>ROUND(M68*$X$2,2)</f>
        <v>117</v>
      </c>
      <c r="Y68" s="9">
        <f t="shared" si="14"/>
        <v>1985.24</v>
      </c>
      <c r="Z68" s="76">
        <v>1664012492.6700001</v>
      </c>
      <c r="AA68" s="77">
        <v>12856</v>
      </c>
      <c r="AB68" s="17">
        <f t="shared" si="3"/>
        <v>129434.7</v>
      </c>
      <c r="AC68" s="37">
        <f t="shared" si="4"/>
        <v>0.67229399999999995</v>
      </c>
      <c r="AD68" s="77">
        <v>100780</v>
      </c>
      <c r="AE68" s="37">
        <f t="shared" si="5"/>
        <v>0.83638800000000002</v>
      </c>
      <c r="AF68" s="37">
        <f t="shared" si="23"/>
        <v>0.278478</v>
      </c>
      <c r="AG68" s="71">
        <f t="shared" si="15"/>
        <v>0.278478</v>
      </c>
      <c r="AH68" s="38">
        <f>IF(G68&gt;=1,IF(G68&lt;=5,0.06,IF(G68&lt;=10,0.05,IF(G68&lt;=15,0.04,IF(G68&lt;=19,0.03,0)))),0)</f>
        <v>0</v>
      </c>
      <c r="AI68" s="74">
        <f t="shared" si="16"/>
        <v>0.278478</v>
      </c>
      <c r="AJ68" s="77">
        <v>0</v>
      </c>
      <c r="AK68" s="77">
        <v>0</v>
      </c>
      <c r="AL68" s="11">
        <f t="shared" si="17"/>
        <v>0</v>
      </c>
      <c r="AM68" s="83"/>
      <c r="AN68" s="84"/>
      <c r="AO68" s="11">
        <f t="shared" si="18"/>
        <v>0</v>
      </c>
      <c r="AP68" s="11">
        <f>ROUND(Y68*AI68*$AP$21,0)</f>
        <v>6371546</v>
      </c>
      <c r="AQ68" s="11">
        <f t="shared" si="19"/>
        <v>6371546</v>
      </c>
      <c r="AR68" s="35">
        <v>7538993</v>
      </c>
      <c r="AS68" s="11">
        <f t="shared" si="20"/>
        <v>1167447</v>
      </c>
      <c r="AT68" s="72" t="str">
        <f t="shared" si="21"/>
        <v>No</v>
      </c>
      <c r="AU68" s="77">
        <v>6902775</v>
      </c>
      <c r="AV68" s="35">
        <f t="shared" si="22"/>
        <v>0</v>
      </c>
      <c r="AW68" s="35">
        <f t="shared" si="6"/>
        <v>6902775</v>
      </c>
      <c r="AX68" s="35">
        <f>IF(C68=1,MAX(AW68,AR68),AW68)</f>
        <v>6902775</v>
      </c>
      <c r="AY68" s="66"/>
      <c r="AZ68" s="67"/>
      <c r="BA68" s="35"/>
      <c r="BB68" s="68"/>
      <c r="BC68" s="35"/>
      <c r="BD68" s="21"/>
      <c r="BF68" s="21"/>
      <c r="BG68" s="21"/>
      <c r="BK68" s="21"/>
      <c r="BL68" s="21"/>
      <c r="BM68" s="21"/>
      <c r="BN68" s="21"/>
      <c r="BO68" s="21"/>
    </row>
    <row r="69" spans="1:67" ht="14.35" x14ac:dyDescent="0.5">
      <c r="A69" s="8" t="s">
        <v>102</v>
      </c>
      <c r="B69" s="8">
        <v>1</v>
      </c>
      <c r="C69" s="25">
        <v>1</v>
      </c>
      <c r="D69" s="25">
        <v>0</v>
      </c>
      <c r="E69" s="25">
        <v>1</v>
      </c>
      <c r="F69" s="1">
        <v>10</v>
      </c>
      <c r="G69" s="79">
        <v>9</v>
      </c>
      <c r="H69" s="8">
        <v>43</v>
      </c>
      <c r="I69" s="3" t="s">
        <v>151</v>
      </c>
      <c r="J69" s="70"/>
      <c r="K69" s="76">
        <v>8026.66</v>
      </c>
      <c r="L69" s="79"/>
      <c r="M69" s="77">
        <v>5050</v>
      </c>
      <c r="N69" s="76">
        <f t="shared" si="7"/>
        <v>1515</v>
      </c>
      <c r="O69" s="76">
        <f t="shared" si="8"/>
        <v>4816</v>
      </c>
      <c r="P69" s="76">
        <f t="shared" si="9"/>
        <v>234</v>
      </c>
      <c r="Q69" s="76">
        <f t="shared" si="10"/>
        <v>35.1</v>
      </c>
      <c r="R69" s="65">
        <f t="shared" si="11"/>
        <v>0.63</v>
      </c>
      <c r="S69" s="65">
        <f>IF(R69&gt;0.6,+R69-0.6,0)</f>
        <v>3.0000000000000027E-2</v>
      </c>
      <c r="T69" s="34">
        <f>ROUND(S69*K69,2)</f>
        <v>240.8</v>
      </c>
      <c r="U69" s="34">
        <f t="shared" si="12"/>
        <v>36.119999999999997</v>
      </c>
      <c r="V69" s="77">
        <v>1076</v>
      </c>
      <c r="W69" s="76">
        <f t="shared" si="13"/>
        <v>269</v>
      </c>
      <c r="X69" s="36">
        <f>ROUND(M69*$X$2,2)</f>
        <v>1515</v>
      </c>
      <c r="Y69" s="9">
        <f t="shared" si="14"/>
        <v>9845.76</v>
      </c>
      <c r="Z69" s="76">
        <v>4158046027</v>
      </c>
      <c r="AA69" s="77">
        <v>50453</v>
      </c>
      <c r="AB69" s="17">
        <f t="shared" si="3"/>
        <v>82414.25</v>
      </c>
      <c r="AC69" s="37">
        <f t="shared" si="4"/>
        <v>0.428066</v>
      </c>
      <c r="AD69" s="77">
        <v>55468</v>
      </c>
      <c r="AE69" s="37">
        <f t="shared" si="5"/>
        <v>0.460337</v>
      </c>
      <c r="AF69" s="37">
        <f t="shared" si="23"/>
        <v>0.562253</v>
      </c>
      <c r="AG69" s="71">
        <f t="shared" si="15"/>
        <v>0.562253</v>
      </c>
      <c r="AH69" s="38">
        <f>IF(G69&gt;=1,IF(G69&lt;=5,0.06,IF(G69&lt;=10,0.05,IF(G69&lt;=15,0.04,IF(G69&lt;=19,0.03,0)))),0)</f>
        <v>0.05</v>
      </c>
      <c r="AI69" s="74">
        <f t="shared" si="16"/>
        <v>0.61225300000000005</v>
      </c>
      <c r="AJ69" s="77">
        <v>0</v>
      </c>
      <c r="AK69" s="77">
        <v>0</v>
      </c>
      <c r="AL69" s="11">
        <f t="shared" si="17"/>
        <v>0</v>
      </c>
      <c r="AM69" s="83"/>
      <c r="AN69" s="84"/>
      <c r="AO69" s="11">
        <f t="shared" si="18"/>
        <v>0</v>
      </c>
      <c r="AP69" s="11">
        <f>ROUND(Y69*AI69*$AP$21,0)</f>
        <v>69473808</v>
      </c>
      <c r="AQ69" s="11">
        <f t="shared" si="19"/>
        <v>69473808</v>
      </c>
      <c r="AR69" s="35">
        <v>49075156</v>
      </c>
      <c r="AS69" s="11">
        <f t="shared" si="20"/>
        <v>20398652</v>
      </c>
      <c r="AT69" s="72" t="str">
        <f t="shared" si="21"/>
        <v>Yes</v>
      </c>
      <c r="AU69" s="77">
        <v>54387012</v>
      </c>
      <c r="AV69" s="35">
        <f t="shared" si="22"/>
        <v>2174496.3032</v>
      </c>
      <c r="AW69" s="35">
        <f t="shared" si="6"/>
        <v>56561508.303199999</v>
      </c>
      <c r="AX69" s="35">
        <f>IF(C69=1,MAX(AW69,AR69),AW69)</f>
        <v>56561508.303199999</v>
      </c>
      <c r="AY69" s="66"/>
      <c r="AZ69" s="67"/>
      <c r="BA69" s="35"/>
      <c r="BB69" s="68"/>
      <c r="BC69" s="35"/>
      <c r="BD69" s="21"/>
      <c r="BF69" s="21"/>
      <c r="BG69" s="21"/>
      <c r="BK69" s="21"/>
      <c r="BL69" s="21"/>
      <c r="BM69" s="21"/>
      <c r="BN69" s="21"/>
      <c r="BO69" s="21"/>
    </row>
    <row r="70" spans="1:67" ht="14.35" x14ac:dyDescent="0.5">
      <c r="A70" s="8" t="s">
        <v>115</v>
      </c>
      <c r="B70" s="8"/>
      <c r="C70" s="25">
        <v>1</v>
      </c>
      <c r="D70" s="25">
        <v>1</v>
      </c>
      <c r="E70" s="25"/>
      <c r="F70" s="1">
        <v>9</v>
      </c>
      <c r="G70" s="79">
        <v>26</v>
      </c>
      <c r="H70" s="8">
        <v>44</v>
      </c>
      <c r="I70" s="3" t="s">
        <v>152</v>
      </c>
      <c r="J70" s="70"/>
      <c r="K70" s="76">
        <v>3136.07</v>
      </c>
      <c r="L70" s="79"/>
      <c r="M70" s="77">
        <v>1605</v>
      </c>
      <c r="N70" s="76">
        <f t="shared" si="7"/>
        <v>481.5</v>
      </c>
      <c r="O70" s="76">
        <f t="shared" si="8"/>
        <v>1881.64</v>
      </c>
      <c r="P70" s="76">
        <f t="shared" si="9"/>
        <v>0</v>
      </c>
      <c r="Q70" s="76">
        <f t="shared" si="10"/>
        <v>0</v>
      </c>
      <c r="R70" s="65">
        <f t="shared" si="11"/>
        <v>0.51</v>
      </c>
      <c r="S70" s="65">
        <f>IF(R70&gt;0.6,+R70-0.6,0)</f>
        <v>0</v>
      </c>
      <c r="T70" s="34">
        <f>ROUND(S70*K70,2)</f>
        <v>0</v>
      </c>
      <c r="U70" s="34">
        <f t="shared" si="12"/>
        <v>0</v>
      </c>
      <c r="V70" s="77">
        <v>272</v>
      </c>
      <c r="W70" s="76">
        <f t="shared" si="13"/>
        <v>68</v>
      </c>
      <c r="X70" s="36">
        <f>ROUND(M70*$X$2,2)</f>
        <v>481.5</v>
      </c>
      <c r="Y70" s="9">
        <f t="shared" si="14"/>
        <v>3685.57</v>
      </c>
      <c r="Z70" s="76">
        <v>2907842389.3299999</v>
      </c>
      <c r="AA70" s="77">
        <v>28860</v>
      </c>
      <c r="AB70" s="17">
        <f t="shared" si="3"/>
        <v>100756.84</v>
      </c>
      <c r="AC70" s="37">
        <f t="shared" si="4"/>
        <v>0.523339</v>
      </c>
      <c r="AD70" s="77">
        <v>65333</v>
      </c>
      <c r="AE70" s="37">
        <f t="shared" si="5"/>
        <v>0.54220800000000002</v>
      </c>
      <c r="AF70" s="37">
        <f t="shared" si="23"/>
        <v>0.47099999999999997</v>
      </c>
      <c r="AG70" s="71">
        <f t="shared" si="15"/>
        <v>0.47099999999999997</v>
      </c>
      <c r="AH70" s="38">
        <f>IF(G70&gt;=1,IF(G70&lt;=5,0.06,IF(G70&lt;=10,0.05,IF(G70&lt;=15,0.04,IF(G70&lt;=19,0.03,0)))),0)</f>
        <v>0</v>
      </c>
      <c r="AI70" s="74">
        <f t="shared" si="16"/>
        <v>0.47099999999999997</v>
      </c>
      <c r="AJ70" s="77">
        <v>0</v>
      </c>
      <c r="AK70" s="77">
        <v>0</v>
      </c>
      <c r="AL70" s="11">
        <f t="shared" si="17"/>
        <v>0</v>
      </c>
      <c r="AM70" s="83"/>
      <c r="AN70" s="84"/>
      <c r="AO70" s="11">
        <f t="shared" si="18"/>
        <v>0</v>
      </c>
      <c r="AP70" s="11">
        <f>ROUND(Y70*AI70*$AP$21,0)</f>
        <v>20006287</v>
      </c>
      <c r="AQ70" s="11">
        <f t="shared" si="19"/>
        <v>20006287</v>
      </c>
      <c r="AR70" s="35">
        <v>19595415</v>
      </c>
      <c r="AS70" s="11">
        <f t="shared" si="20"/>
        <v>410872</v>
      </c>
      <c r="AT70" s="72" t="str">
        <f t="shared" si="21"/>
        <v>Yes</v>
      </c>
      <c r="AU70" s="77">
        <v>19825403</v>
      </c>
      <c r="AV70" s="35">
        <f t="shared" si="22"/>
        <v>43798.955199999997</v>
      </c>
      <c r="AW70" s="35">
        <f t="shared" si="6"/>
        <v>19869201.955200002</v>
      </c>
      <c r="AX70" s="35">
        <f>IF(C70=1,MAX(AW70,AR70),AW70)</f>
        <v>19869201.955200002</v>
      </c>
      <c r="AY70" s="66"/>
      <c r="AZ70" s="67"/>
      <c r="BA70" s="35"/>
      <c r="BB70" s="68"/>
      <c r="BC70" s="35"/>
      <c r="BD70" s="21"/>
      <c r="BF70" s="21"/>
      <c r="BG70" s="21"/>
      <c r="BK70" s="21"/>
      <c r="BL70" s="21"/>
      <c r="BM70" s="21"/>
      <c r="BN70" s="21"/>
      <c r="BO70" s="21"/>
    </row>
    <row r="71" spans="1:67" ht="14.35" x14ac:dyDescent="0.5">
      <c r="A71" s="8" t="s">
        <v>110</v>
      </c>
      <c r="B71" s="8"/>
      <c r="C71" s="25"/>
      <c r="D71" s="25"/>
      <c r="E71" s="25"/>
      <c r="F71" s="1">
        <v>4</v>
      </c>
      <c r="G71" s="78">
        <v>72</v>
      </c>
      <c r="H71" s="8">
        <v>45</v>
      </c>
      <c r="I71" s="3" t="s">
        <v>153</v>
      </c>
      <c r="J71" s="70"/>
      <c r="K71" s="76">
        <v>2462.02</v>
      </c>
      <c r="L71" s="78"/>
      <c r="M71" s="77">
        <v>578</v>
      </c>
      <c r="N71" s="76">
        <f t="shared" si="7"/>
        <v>173.4</v>
      </c>
      <c r="O71" s="76">
        <f t="shared" si="8"/>
        <v>1477.21</v>
      </c>
      <c r="P71" s="76">
        <f t="shared" si="9"/>
        <v>0</v>
      </c>
      <c r="Q71" s="76">
        <f t="shared" si="10"/>
        <v>0</v>
      </c>
      <c r="R71" s="65">
        <f t="shared" si="11"/>
        <v>0.23</v>
      </c>
      <c r="S71" s="65">
        <f>IF(R71&gt;0.6,+R71-0.6,0)</f>
        <v>0</v>
      </c>
      <c r="T71" s="34">
        <f>ROUND(S71*K71,2)</f>
        <v>0</v>
      </c>
      <c r="U71" s="34">
        <f t="shared" si="12"/>
        <v>0</v>
      </c>
      <c r="V71" s="77">
        <v>57</v>
      </c>
      <c r="W71" s="76">
        <f t="shared" si="13"/>
        <v>14.25</v>
      </c>
      <c r="X71" s="36">
        <f>ROUND(M71*$X$2,2)</f>
        <v>173.4</v>
      </c>
      <c r="Y71" s="9">
        <f t="shared" si="14"/>
        <v>2649.67</v>
      </c>
      <c r="Z71" s="76">
        <v>3235230338</v>
      </c>
      <c r="AA71" s="77">
        <v>18766</v>
      </c>
      <c r="AB71" s="17">
        <f t="shared" si="3"/>
        <v>172398.5</v>
      </c>
      <c r="AC71" s="37">
        <f t="shared" si="4"/>
        <v>0.89545200000000003</v>
      </c>
      <c r="AD71" s="77">
        <v>93416</v>
      </c>
      <c r="AE71" s="37">
        <f t="shared" si="5"/>
        <v>0.77527400000000002</v>
      </c>
      <c r="AF71" s="37">
        <f t="shared" si="23"/>
        <v>0.140601</v>
      </c>
      <c r="AG71" s="71">
        <f t="shared" si="15"/>
        <v>0.140601</v>
      </c>
      <c r="AH71" s="38">
        <f>IF(G71&gt;=1,IF(G71&lt;=5,0.06,IF(G71&lt;=10,0.05,IF(G71&lt;=15,0.04,IF(G71&lt;=19,0.03,0)))),0)</f>
        <v>0</v>
      </c>
      <c r="AI71" s="74">
        <f t="shared" si="16"/>
        <v>0.140601</v>
      </c>
      <c r="AJ71" s="77">
        <v>0</v>
      </c>
      <c r="AK71" s="77">
        <v>0</v>
      </c>
      <c r="AL71" s="11">
        <f t="shared" si="17"/>
        <v>0</v>
      </c>
      <c r="AM71" s="83"/>
      <c r="AN71" s="84"/>
      <c r="AO71" s="11">
        <f t="shared" si="18"/>
        <v>0</v>
      </c>
      <c r="AP71" s="11">
        <f>ROUND(Y71*AI71*$AP$21,0)</f>
        <v>4293596</v>
      </c>
      <c r="AQ71" s="11">
        <f t="shared" si="19"/>
        <v>4293596</v>
      </c>
      <c r="AR71" s="35">
        <v>6918462</v>
      </c>
      <c r="AS71" s="11">
        <f t="shared" si="20"/>
        <v>2624866</v>
      </c>
      <c r="AT71" s="72" t="str">
        <f t="shared" si="21"/>
        <v>No</v>
      </c>
      <c r="AU71" s="77">
        <v>6076507</v>
      </c>
      <c r="AV71" s="35">
        <f t="shared" si="22"/>
        <v>0</v>
      </c>
      <c r="AW71" s="35">
        <f t="shared" si="6"/>
        <v>6076507</v>
      </c>
      <c r="AX71" s="35">
        <f>IF(C71=1,MAX(AW71,AR71),AW71)</f>
        <v>6076507</v>
      </c>
      <c r="AY71" s="66"/>
      <c r="AZ71" s="67"/>
      <c r="BA71" s="35"/>
      <c r="BB71" s="68"/>
      <c r="BC71" s="35"/>
      <c r="BD71" s="21"/>
      <c r="BF71" s="21"/>
      <c r="BG71" s="21"/>
      <c r="BK71" s="21"/>
      <c r="BL71" s="21"/>
      <c r="BM71" s="21"/>
      <c r="BN71" s="21"/>
      <c r="BO71" s="21"/>
    </row>
    <row r="72" spans="1:67" ht="14.35" x14ac:dyDescent="0.5">
      <c r="A72" s="8" t="s">
        <v>142</v>
      </c>
      <c r="B72" s="8"/>
      <c r="C72" s="25"/>
      <c r="D72" s="25"/>
      <c r="E72" s="25"/>
      <c r="F72" s="1">
        <v>1</v>
      </c>
      <c r="G72" s="78">
        <v>148</v>
      </c>
      <c r="H72" s="8">
        <v>46</v>
      </c>
      <c r="I72" s="3" t="s">
        <v>154</v>
      </c>
      <c r="J72" s="70"/>
      <c r="K72" s="76">
        <v>1249.94</v>
      </c>
      <c r="L72" s="78"/>
      <c r="M72" s="77">
        <v>128</v>
      </c>
      <c r="N72" s="76">
        <f t="shared" si="7"/>
        <v>38.4</v>
      </c>
      <c r="O72" s="76">
        <f t="shared" si="8"/>
        <v>749.96</v>
      </c>
      <c r="P72" s="76">
        <f t="shared" si="9"/>
        <v>0</v>
      </c>
      <c r="Q72" s="76">
        <f t="shared" si="10"/>
        <v>0</v>
      </c>
      <c r="R72" s="65">
        <f t="shared" si="11"/>
        <v>0.1</v>
      </c>
      <c r="S72" s="65">
        <f>IF(R72&gt;0.6,+R72-0.6,0)</f>
        <v>0</v>
      </c>
      <c r="T72" s="34">
        <f>ROUND(S72*K72,2)</f>
        <v>0</v>
      </c>
      <c r="U72" s="34">
        <f t="shared" si="12"/>
        <v>0</v>
      </c>
      <c r="V72" s="77">
        <v>16</v>
      </c>
      <c r="W72" s="76">
        <f t="shared" si="13"/>
        <v>4</v>
      </c>
      <c r="X72" s="36">
        <f>ROUND(M72*$X$2,2)</f>
        <v>38.4</v>
      </c>
      <c r="Y72" s="9">
        <f t="shared" si="14"/>
        <v>1292.3400000000001</v>
      </c>
      <c r="Z72" s="76">
        <v>1783716354.3299999</v>
      </c>
      <c r="AA72" s="77">
        <v>7558</v>
      </c>
      <c r="AB72" s="17">
        <f t="shared" si="3"/>
        <v>236003.75</v>
      </c>
      <c r="AC72" s="37">
        <f t="shared" si="4"/>
        <v>1.2258230000000001</v>
      </c>
      <c r="AD72" s="77">
        <v>142841</v>
      </c>
      <c r="AE72" s="37">
        <f t="shared" si="5"/>
        <v>1.185459</v>
      </c>
      <c r="AF72" s="37">
        <f t="shared" si="23"/>
        <v>-0.21371399999999999</v>
      </c>
      <c r="AG72" s="71">
        <f t="shared" si="15"/>
        <v>0.01</v>
      </c>
      <c r="AH72" s="38">
        <f>IF(G72&gt;=1,IF(G72&lt;=5,0.06,IF(G72&lt;=10,0.05,IF(G72&lt;=15,0.04,IF(G72&lt;=19,0.03,0)))),0)</f>
        <v>0</v>
      </c>
      <c r="AI72" s="74">
        <f t="shared" si="16"/>
        <v>0.01</v>
      </c>
      <c r="AJ72" s="77">
        <v>414</v>
      </c>
      <c r="AK72" s="77">
        <v>4</v>
      </c>
      <c r="AL72" s="11">
        <f t="shared" si="17"/>
        <v>165600</v>
      </c>
      <c r="AM72" s="83"/>
      <c r="AN72" s="84"/>
      <c r="AO72" s="11">
        <f t="shared" si="18"/>
        <v>0</v>
      </c>
      <c r="AP72" s="11">
        <f>ROUND(Y72*AI72*$AP$21,0)</f>
        <v>148942</v>
      </c>
      <c r="AQ72" s="11">
        <f t="shared" si="19"/>
        <v>314542</v>
      </c>
      <c r="AR72" s="35">
        <v>177907</v>
      </c>
      <c r="AS72" s="11">
        <f t="shared" si="20"/>
        <v>136635</v>
      </c>
      <c r="AT72" s="72" t="str">
        <f t="shared" si="21"/>
        <v>Yes</v>
      </c>
      <c r="AU72" s="77">
        <v>172080</v>
      </c>
      <c r="AV72" s="35">
        <f t="shared" si="22"/>
        <v>14565.290999999999</v>
      </c>
      <c r="AW72" s="35">
        <f t="shared" si="6"/>
        <v>186645.291</v>
      </c>
      <c r="AX72" s="35">
        <f>IF(C72=1,MAX(AW72,AR72),AW72)</f>
        <v>186645.291</v>
      </c>
      <c r="AY72" s="66"/>
      <c r="AZ72" s="67"/>
      <c r="BA72" s="35"/>
      <c r="BB72" s="68"/>
      <c r="BC72" s="35"/>
      <c r="BD72" s="21"/>
      <c r="BF72" s="21"/>
      <c r="BG72" s="21"/>
      <c r="BK72" s="21"/>
      <c r="BL72" s="21"/>
      <c r="BM72" s="21"/>
      <c r="BN72" s="21"/>
      <c r="BO72" s="21"/>
    </row>
    <row r="73" spans="1:67" ht="14.35" x14ac:dyDescent="0.5">
      <c r="A73" s="8" t="s">
        <v>128</v>
      </c>
      <c r="B73" s="8"/>
      <c r="C73" s="25">
        <v>1</v>
      </c>
      <c r="D73" s="25">
        <v>1</v>
      </c>
      <c r="E73" s="25"/>
      <c r="F73" s="1">
        <v>8</v>
      </c>
      <c r="G73" s="79">
        <v>34</v>
      </c>
      <c r="H73" s="8">
        <v>47</v>
      </c>
      <c r="I73" s="3" t="s">
        <v>155</v>
      </c>
      <c r="J73" s="70"/>
      <c r="K73" s="76">
        <v>1116.52</v>
      </c>
      <c r="L73" s="79"/>
      <c r="M73" s="77">
        <v>509</v>
      </c>
      <c r="N73" s="76">
        <f t="shared" si="7"/>
        <v>152.69999999999999</v>
      </c>
      <c r="O73" s="76">
        <f t="shared" si="8"/>
        <v>669.91</v>
      </c>
      <c r="P73" s="76">
        <f t="shared" si="9"/>
        <v>0</v>
      </c>
      <c r="Q73" s="76">
        <f t="shared" si="10"/>
        <v>0</v>
      </c>
      <c r="R73" s="65">
        <f t="shared" si="11"/>
        <v>0.46</v>
      </c>
      <c r="S73" s="65">
        <f>IF(R73&gt;0.6,+R73-0.6,0)</f>
        <v>0</v>
      </c>
      <c r="T73" s="34">
        <f>ROUND(S73*K73,2)</f>
        <v>0</v>
      </c>
      <c r="U73" s="34">
        <f t="shared" si="12"/>
        <v>0</v>
      </c>
      <c r="V73" s="77">
        <v>77</v>
      </c>
      <c r="W73" s="76">
        <f t="shared" si="13"/>
        <v>19.25</v>
      </c>
      <c r="X73" s="36">
        <f>ROUND(M73*$X$2,2)</f>
        <v>152.69999999999999</v>
      </c>
      <c r="Y73" s="9">
        <f t="shared" si="14"/>
        <v>1288.47</v>
      </c>
      <c r="Z73" s="76">
        <v>1410573865.6700001</v>
      </c>
      <c r="AA73" s="77">
        <v>11379</v>
      </c>
      <c r="AB73" s="17">
        <f t="shared" si="3"/>
        <v>123962.9</v>
      </c>
      <c r="AC73" s="37">
        <f t="shared" si="4"/>
        <v>0.64387399999999995</v>
      </c>
      <c r="AD73" s="77">
        <v>74974</v>
      </c>
      <c r="AE73" s="37">
        <f t="shared" si="5"/>
        <v>0.62222100000000002</v>
      </c>
      <c r="AF73" s="37">
        <f t="shared" si="23"/>
        <v>0.362622</v>
      </c>
      <c r="AG73" s="71">
        <f t="shared" si="15"/>
        <v>0.362622</v>
      </c>
      <c r="AH73" s="38">
        <f>IF(G73&gt;=1,IF(G73&lt;=5,0.06,IF(G73&lt;=10,0.05,IF(G73&lt;=15,0.04,IF(G73&lt;=19,0.03,0)))),0)</f>
        <v>0</v>
      </c>
      <c r="AI73" s="74">
        <f t="shared" si="16"/>
        <v>0.362622</v>
      </c>
      <c r="AJ73" s="77">
        <v>0</v>
      </c>
      <c r="AK73" s="77">
        <v>0</v>
      </c>
      <c r="AL73" s="11">
        <f t="shared" si="17"/>
        <v>0</v>
      </c>
      <c r="AM73" s="83"/>
      <c r="AN73" s="84"/>
      <c r="AO73" s="11">
        <f t="shared" si="18"/>
        <v>0</v>
      </c>
      <c r="AP73" s="11">
        <f>ROUND(Y73*AI73*$AP$21,0)</f>
        <v>5384798</v>
      </c>
      <c r="AQ73" s="11">
        <f t="shared" si="19"/>
        <v>5384798</v>
      </c>
      <c r="AR73" s="35">
        <v>5669122</v>
      </c>
      <c r="AS73" s="11">
        <f t="shared" si="20"/>
        <v>284324</v>
      </c>
      <c r="AT73" s="72" t="str">
        <f t="shared" si="21"/>
        <v>No</v>
      </c>
      <c r="AU73" s="77">
        <v>5669122</v>
      </c>
      <c r="AV73" s="35">
        <f t="shared" si="22"/>
        <v>0</v>
      </c>
      <c r="AW73" s="35">
        <f t="shared" si="6"/>
        <v>5669122</v>
      </c>
      <c r="AX73" s="35">
        <f>IF(C73=1,MAX(AW73,AR73),AW73)</f>
        <v>5669122</v>
      </c>
      <c r="AY73" s="66"/>
      <c r="AZ73" s="67"/>
      <c r="BA73" s="35"/>
      <c r="BB73" s="68"/>
      <c r="BC73" s="35"/>
      <c r="BD73" s="21"/>
      <c r="BF73" s="21"/>
      <c r="BG73" s="21"/>
      <c r="BK73" s="21"/>
      <c r="BL73" s="21"/>
      <c r="BM73" s="21"/>
      <c r="BN73" s="21"/>
      <c r="BO73" s="21"/>
    </row>
    <row r="74" spans="1:67" ht="14.35" x14ac:dyDescent="0.5">
      <c r="A74" s="8" t="s">
        <v>100</v>
      </c>
      <c r="B74" s="8"/>
      <c r="C74" s="25"/>
      <c r="D74" s="25"/>
      <c r="E74" s="25"/>
      <c r="F74" s="1">
        <v>7</v>
      </c>
      <c r="G74" s="78">
        <v>92</v>
      </c>
      <c r="H74" s="8">
        <v>48</v>
      </c>
      <c r="I74" s="3" t="s">
        <v>156</v>
      </c>
      <c r="J74" s="70"/>
      <c r="K74" s="76">
        <v>2627.05</v>
      </c>
      <c r="L74" s="78"/>
      <c r="M74" s="77">
        <v>413</v>
      </c>
      <c r="N74" s="76">
        <f t="shared" si="7"/>
        <v>123.9</v>
      </c>
      <c r="O74" s="76">
        <f t="shared" si="8"/>
        <v>1576.23</v>
      </c>
      <c r="P74" s="76">
        <f t="shared" si="9"/>
        <v>0</v>
      </c>
      <c r="Q74" s="76">
        <f t="shared" si="10"/>
        <v>0</v>
      </c>
      <c r="R74" s="65">
        <f t="shared" si="11"/>
        <v>0.16</v>
      </c>
      <c r="S74" s="65">
        <f>IF(R74&gt;0.6,+R74-0.6,0)</f>
        <v>0</v>
      </c>
      <c r="T74" s="34">
        <f>ROUND(S74*K74,2)</f>
        <v>0</v>
      </c>
      <c r="U74" s="34">
        <f t="shared" si="12"/>
        <v>0</v>
      </c>
      <c r="V74" s="77">
        <v>41</v>
      </c>
      <c r="W74" s="76">
        <f t="shared" si="13"/>
        <v>10.25</v>
      </c>
      <c r="X74" s="36">
        <f>ROUND(M74*$X$2,2)</f>
        <v>123.9</v>
      </c>
      <c r="Y74" s="9">
        <f t="shared" si="14"/>
        <v>2761.2000000000003</v>
      </c>
      <c r="Z74" s="76">
        <v>2020035213.6700001</v>
      </c>
      <c r="AA74" s="77">
        <v>16041</v>
      </c>
      <c r="AB74" s="17">
        <f t="shared" si="3"/>
        <v>125929.51</v>
      </c>
      <c r="AC74" s="37">
        <f t="shared" si="4"/>
        <v>0.654088</v>
      </c>
      <c r="AD74" s="77">
        <v>85572</v>
      </c>
      <c r="AE74" s="37">
        <f t="shared" si="5"/>
        <v>0.710175</v>
      </c>
      <c r="AF74" s="37">
        <f t="shared" si="23"/>
        <v>0.32908599999999999</v>
      </c>
      <c r="AG74" s="71">
        <f t="shared" si="15"/>
        <v>0.32908599999999999</v>
      </c>
      <c r="AH74" s="38">
        <f>IF(G74&gt;=1,IF(G74&lt;=5,0.06,IF(G74&lt;=10,0.05,IF(G74&lt;=15,0.04,IF(G74&lt;=19,0.03,0)))),0)</f>
        <v>0</v>
      </c>
      <c r="AI74" s="74">
        <f t="shared" si="16"/>
        <v>0.32908599999999999</v>
      </c>
      <c r="AJ74" s="77">
        <v>0</v>
      </c>
      <c r="AK74" s="77">
        <v>0</v>
      </c>
      <c r="AL74" s="11">
        <f t="shared" si="17"/>
        <v>0</v>
      </c>
      <c r="AM74" s="83"/>
      <c r="AN74" s="84"/>
      <c r="AO74" s="11">
        <f t="shared" si="18"/>
        <v>0</v>
      </c>
      <c r="AP74" s="11">
        <f>ROUND(Y74*AI74*$AP$21,0)</f>
        <v>10472448</v>
      </c>
      <c r="AQ74" s="11">
        <f t="shared" si="19"/>
        <v>10472448</v>
      </c>
      <c r="AR74" s="35">
        <v>9684435</v>
      </c>
      <c r="AS74" s="11">
        <f t="shared" si="20"/>
        <v>788013</v>
      </c>
      <c r="AT74" s="72" t="str">
        <f t="shared" si="21"/>
        <v>Yes</v>
      </c>
      <c r="AU74" s="77">
        <v>9946889</v>
      </c>
      <c r="AV74" s="35">
        <f t="shared" si="22"/>
        <v>84002.185800000007</v>
      </c>
      <c r="AW74" s="35">
        <f t="shared" si="6"/>
        <v>10030891.185799999</v>
      </c>
      <c r="AX74" s="35">
        <f>IF(C74=1,MAX(AW74,AR74),AW74)</f>
        <v>10030891.185799999</v>
      </c>
      <c r="AY74" s="66"/>
      <c r="AZ74" s="67"/>
      <c r="BA74" s="35"/>
      <c r="BB74" s="68"/>
      <c r="BC74" s="35"/>
      <c r="BD74" s="21"/>
      <c r="BF74" s="21"/>
      <c r="BG74" s="21"/>
      <c r="BK74" s="21"/>
      <c r="BL74" s="21"/>
      <c r="BM74" s="21"/>
      <c r="BN74" s="21"/>
      <c r="BO74" s="21"/>
    </row>
    <row r="75" spans="1:67" ht="14.35" x14ac:dyDescent="0.5">
      <c r="A75" s="8" t="s">
        <v>128</v>
      </c>
      <c r="B75" s="8"/>
      <c r="C75" s="25"/>
      <c r="D75" s="25"/>
      <c r="E75" s="25"/>
      <c r="F75" s="1">
        <v>9</v>
      </c>
      <c r="G75" s="79">
        <v>32</v>
      </c>
      <c r="H75" s="8">
        <v>49</v>
      </c>
      <c r="I75" s="3" t="s">
        <v>157</v>
      </c>
      <c r="J75" s="70"/>
      <c r="K75" s="76">
        <v>5164.76</v>
      </c>
      <c r="L75" s="79"/>
      <c r="M75" s="77">
        <v>2401</v>
      </c>
      <c r="N75" s="76">
        <f t="shared" si="7"/>
        <v>720.3</v>
      </c>
      <c r="O75" s="76">
        <f t="shared" si="8"/>
        <v>3098.86</v>
      </c>
      <c r="P75" s="76">
        <f t="shared" si="9"/>
        <v>0</v>
      </c>
      <c r="Q75" s="76">
        <f t="shared" si="10"/>
        <v>0</v>
      </c>
      <c r="R75" s="65">
        <f t="shared" si="11"/>
        <v>0.46</v>
      </c>
      <c r="S75" s="65">
        <f>IF(R75&gt;0.6,+R75-0.6,0)</f>
        <v>0</v>
      </c>
      <c r="T75" s="34">
        <f>ROUND(S75*K75,2)</f>
        <v>0</v>
      </c>
      <c r="U75" s="34">
        <f t="shared" si="12"/>
        <v>0</v>
      </c>
      <c r="V75" s="77">
        <v>143</v>
      </c>
      <c r="W75" s="76">
        <f t="shared" si="13"/>
        <v>35.75</v>
      </c>
      <c r="X75" s="36">
        <f>ROUND(M75*$X$2,2)</f>
        <v>720.3</v>
      </c>
      <c r="Y75" s="9">
        <f t="shared" si="14"/>
        <v>5920.81</v>
      </c>
      <c r="Z75" s="76">
        <v>4321096338.6700001</v>
      </c>
      <c r="AA75" s="77">
        <v>44455</v>
      </c>
      <c r="AB75" s="17">
        <f t="shared" si="3"/>
        <v>97201.58</v>
      </c>
      <c r="AC75" s="37">
        <f t="shared" si="4"/>
        <v>0.50487300000000002</v>
      </c>
      <c r="AD75" s="77">
        <v>76423</v>
      </c>
      <c r="AE75" s="37">
        <f t="shared" si="5"/>
        <v>0.63424599999999998</v>
      </c>
      <c r="AF75" s="37">
        <f t="shared" si="23"/>
        <v>0.45631500000000003</v>
      </c>
      <c r="AG75" s="71">
        <f t="shared" si="15"/>
        <v>0.45631500000000003</v>
      </c>
      <c r="AH75" s="38">
        <f>IF(G75&gt;=1,IF(G75&lt;=5,0.06,IF(G75&lt;=10,0.05,IF(G75&lt;=15,0.04,IF(G75&lt;=19,0.03,0)))),0)</f>
        <v>0</v>
      </c>
      <c r="AI75" s="74">
        <f t="shared" si="16"/>
        <v>0.45631500000000003</v>
      </c>
      <c r="AJ75" s="77">
        <v>0</v>
      </c>
      <c r="AK75" s="77">
        <v>0</v>
      </c>
      <c r="AL75" s="11">
        <f t="shared" si="17"/>
        <v>0</v>
      </c>
      <c r="AM75" s="83"/>
      <c r="AN75" s="84"/>
      <c r="AO75" s="11">
        <f t="shared" si="18"/>
        <v>0</v>
      </c>
      <c r="AP75" s="11">
        <f>ROUND(Y75*AI75*$AP$21,0)</f>
        <v>31137720</v>
      </c>
      <c r="AQ75" s="11">
        <f t="shared" si="19"/>
        <v>31137720</v>
      </c>
      <c r="AR75" s="35">
        <v>28585010</v>
      </c>
      <c r="AS75" s="11">
        <f t="shared" si="20"/>
        <v>2552710</v>
      </c>
      <c r="AT75" s="72" t="str">
        <f t="shared" si="21"/>
        <v>Yes</v>
      </c>
      <c r="AU75" s="77">
        <v>29551526</v>
      </c>
      <c r="AV75" s="35">
        <f t="shared" si="22"/>
        <v>272118.886</v>
      </c>
      <c r="AW75" s="35">
        <f t="shared" si="6"/>
        <v>29823644.886</v>
      </c>
      <c r="AX75" s="35">
        <f>IF(C75=1,MAX(AW75,AR75),AW75)</f>
        <v>29823644.886</v>
      </c>
      <c r="AY75" s="66"/>
      <c r="AZ75" s="67"/>
      <c r="BA75" s="35"/>
      <c r="BB75" s="68"/>
      <c r="BC75" s="35"/>
      <c r="BD75" s="21"/>
      <c r="BF75" s="21"/>
      <c r="BG75" s="21"/>
      <c r="BK75" s="21"/>
      <c r="BL75" s="21"/>
      <c r="BM75" s="21"/>
      <c r="BN75" s="21"/>
      <c r="BO75" s="21"/>
    </row>
    <row r="76" spans="1:67" ht="14.35" x14ac:dyDescent="0.5">
      <c r="A76" s="8" t="s">
        <v>100</v>
      </c>
      <c r="B76" s="8"/>
      <c r="C76" s="25"/>
      <c r="D76" s="25"/>
      <c r="E76" s="25"/>
      <c r="F76" s="1">
        <v>2</v>
      </c>
      <c r="G76" s="78">
        <v>149</v>
      </c>
      <c r="H76" s="8">
        <v>50</v>
      </c>
      <c r="I76" s="3" t="s">
        <v>158</v>
      </c>
      <c r="J76" s="70"/>
      <c r="K76" s="76">
        <v>645.44000000000005</v>
      </c>
      <c r="L76" s="78"/>
      <c r="M76" s="77">
        <v>120</v>
      </c>
      <c r="N76" s="76">
        <f t="shared" si="7"/>
        <v>36</v>
      </c>
      <c r="O76" s="76">
        <f t="shared" si="8"/>
        <v>387.26</v>
      </c>
      <c r="P76" s="76">
        <f t="shared" si="9"/>
        <v>0</v>
      </c>
      <c r="Q76" s="76">
        <f t="shared" si="10"/>
        <v>0</v>
      </c>
      <c r="R76" s="65">
        <f t="shared" si="11"/>
        <v>0.19</v>
      </c>
      <c r="S76" s="65">
        <f>IF(R76&gt;0.6,+R76-0.6,0)</f>
        <v>0</v>
      </c>
      <c r="T76" s="34">
        <f>ROUND(S76*K76,2)</f>
        <v>0</v>
      </c>
      <c r="U76" s="34">
        <f t="shared" si="12"/>
        <v>0</v>
      </c>
      <c r="V76" s="77">
        <v>10</v>
      </c>
      <c r="W76" s="76">
        <f t="shared" si="13"/>
        <v>2.5</v>
      </c>
      <c r="X76" s="36">
        <f>ROUND(M76*$X$2,2)</f>
        <v>36</v>
      </c>
      <c r="Y76" s="9">
        <f t="shared" si="14"/>
        <v>683.94</v>
      </c>
      <c r="Z76" s="76">
        <v>1548254227.6700001</v>
      </c>
      <c r="AA76" s="77">
        <v>6599</v>
      </c>
      <c r="AB76" s="17">
        <f t="shared" si="3"/>
        <v>234619.51999999999</v>
      </c>
      <c r="AC76" s="37">
        <f t="shared" si="4"/>
        <v>1.2186330000000001</v>
      </c>
      <c r="AD76" s="77">
        <v>87000</v>
      </c>
      <c r="AE76" s="37">
        <f t="shared" si="5"/>
        <v>0.72202599999999995</v>
      </c>
      <c r="AF76" s="37">
        <f t="shared" si="23"/>
        <v>-6.9651000000000005E-2</v>
      </c>
      <c r="AG76" s="71">
        <f t="shared" si="15"/>
        <v>0.01</v>
      </c>
      <c r="AH76" s="38">
        <f>IF(G76&gt;=1,IF(G76&lt;=5,0.06,IF(G76&lt;=10,0.05,IF(G76&lt;=15,0.04,IF(G76&lt;=19,0.03,0)))),0)</f>
        <v>0</v>
      </c>
      <c r="AI76" s="74">
        <f t="shared" si="16"/>
        <v>0.01</v>
      </c>
      <c r="AJ76" s="77">
        <v>353</v>
      </c>
      <c r="AK76" s="77">
        <v>6</v>
      </c>
      <c r="AL76" s="11">
        <f t="shared" si="17"/>
        <v>211800</v>
      </c>
      <c r="AM76" s="83"/>
      <c r="AN76" s="84"/>
      <c r="AO76" s="11">
        <f t="shared" si="18"/>
        <v>0</v>
      </c>
      <c r="AP76" s="11">
        <f>ROUND(Y76*AI76*$AP$21,0)</f>
        <v>78824</v>
      </c>
      <c r="AQ76" s="11">
        <f t="shared" si="19"/>
        <v>290624</v>
      </c>
      <c r="AR76" s="35">
        <v>105052</v>
      </c>
      <c r="AS76" s="11">
        <f t="shared" si="20"/>
        <v>185572</v>
      </c>
      <c r="AT76" s="72" t="str">
        <f t="shared" si="21"/>
        <v>Yes</v>
      </c>
      <c r="AU76" s="77">
        <v>103926</v>
      </c>
      <c r="AV76" s="35">
        <f t="shared" si="22"/>
        <v>19781.975200000001</v>
      </c>
      <c r="AW76" s="35">
        <f t="shared" si="6"/>
        <v>123707.9752</v>
      </c>
      <c r="AX76" s="35">
        <f>IF(C76=1,MAX(AW76,AR76),AW76)</f>
        <v>123707.9752</v>
      </c>
      <c r="AY76" s="66"/>
      <c r="AZ76" s="67"/>
      <c r="BA76" s="35"/>
      <c r="BB76" s="68"/>
      <c r="BC76" s="35"/>
      <c r="BD76" s="21"/>
      <c r="BF76" s="21"/>
      <c r="BG76" s="21"/>
      <c r="BK76" s="21"/>
      <c r="BL76" s="21"/>
      <c r="BM76" s="21"/>
      <c r="BN76" s="21"/>
      <c r="BO76" s="21"/>
    </row>
    <row r="77" spans="1:67" ht="14.35" x14ac:dyDescent="0.5">
      <c r="A77" s="8" t="s">
        <v>106</v>
      </c>
      <c r="B77" s="8"/>
      <c r="C77" s="25"/>
      <c r="D77" s="25"/>
      <c r="E77" s="25"/>
      <c r="F77" s="1">
        <v>2</v>
      </c>
      <c r="G77" s="78">
        <v>147</v>
      </c>
      <c r="H77" s="8">
        <v>51</v>
      </c>
      <c r="I77" s="3" t="s">
        <v>159</v>
      </c>
      <c r="J77" s="70"/>
      <c r="K77" s="76">
        <v>9441.06</v>
      </c>
      <c r="L77" s="78"/>
      <c r="M77" s="77">
        <v>1461</v>
      </c>
      <c r="N77" s="76">
        <f t="shared" si="7"/>
        <v>438.3</v>
      </c>
      <c r="O77" s="76">
        <f t="shared" si="8"/>
        <v>5664.64</v>
      </c>
      <c r="P77" s="76">
        <f t="shared" si="9"/>
        <v>0</v>
      </c>
      <c r="Q77" s="76">
        <f t="shared" si="10"/>
        <v>0</v>
      </c>
      <c r="R77" s="65">
        <f t="shared" si="11"/>
        <v>0.15</v>
      </c>
      <c r="S77" s="65">
        <f>IF(R77&gt;0.6,+R77-0.6,0)</f>
        <v>0</v>
      </c>
      <c r="T77" s="34">
        <f>ROUND(S77*K77,2)</f>
        <v>0</v>
      </c>
      <c r="U77" s="34">
        <f t="shared" si="12"/>
        <v>0</v>
      </c>
      <c r="V77" s="77">
        <v>229</v>
      </c>
      <c r="W77" s="76">
        <f t="shared" si="13"/>
        <v>57.25</v>
      </c>
      <c r="X77" s="36">
        <f>ROUND(M77*$X$2,2)</f>
        <v>438.3</v>
      </c>
      <c r="Y77" s="9">
        <f t="shared" si="14"/>
        <v>9936.6099999999988</v>
      </c>
      <c r="Z77" s="76">
        <v>16401217199.67</v>
      </c>
      <c r="AA77" s="77">
        <v>61598</v>
      </c>
      <c r="AB77" s="17">
        <f t="shared" si="3"/>
        <v>266262.17</v>
      </c>
      <c r="AC77" s="37">
        <f t="shared" si="4"/>
        <v>1.3829880000000001</v>
      </c>
      <c r="AD77" s="77">
        <v>134559</v>
      </c>
      <c r="AE77" s="37">
        <f t="shared" si="5"/>
        <v>1.116725</v>
      </c>
      <c r="AF77" s="37">
        <f t="shared" si="23"/>
        <v>-0.30310900000000002</v>
      </c>
      <c r="AG77" s="71">
        <f t="shared" si="15"/>
        <v>0.01</v>
      </c>
      <c r="AH77" s="38">
        <f>IF(G77&gt;=1,IF(G77&lt;=5,0.06,IF(G77&lt;=10,0.05,IF(G77&lt;=15,0.04,IF(G77&lt;=19,0.03,0)))),0)</f>
        <v>0</v>
      </c>
      <c r="AI77" s="74">
        <f t="shared" si="16"/>
        <v>0.01</v>
      </c>
      <c r="AJ77" s="77">
        <v>0</v>
      </c>
      <c r="AK77" s="77">
        <v>0</v>
      </c>
      <c r="AL77" s="11">
        <f t="shared" si="17"/>
        <v>0</v>
      </c>
      <c r="AM77" s="83"/>
      <c r="AN77" s="84"/>
      <c r="AO77" s="11">
        <f t="shared" si="18"/>
        <v>0</v>
      </c>
      <c r="AP77" s="11">
        <f>ROUND(Y77*AI77*$AP$21,0)</f>
        <v>1145194</v>
      </c>
      <c r="AQ77" s="11">
        <f t="shared" si="19"/>
        <v>1145194</v>
      </c>
      <c r="AR77" s="35">
        <v>1087165</v>
      </c>
      <c r="AS77" s="11">
        <f t="shared" si="20"/>
        <v>58029</v>
      </c>
      <c r="AT77" s="72" t="str">
        <f t="shared" si="21"/>
        <v>Yes</v>
      </c>
      <c r="AU77" s="77">
        <v>1111544</v>
      </c>
      <c r="AV77" s="35">
        <f t="shared" si="22"/>
        <v>6185.8914000000004</v>
      </c>
      <c r="AW77" s="35">
        <f t="shared" si="6"/>
        <v>1117729.8914000001</v>
      </c>
      <c r="AX77" s="35">
        <f>IF(C77=1,MAX(AW77,AR77),AW77)</f>
        <v>1117729.8914000001</v>
      </c>
      <c r="AY77" s="66"/>
      <c r="AZ77" s="67"/>
      <c r="BA77" s="35"/>
      <c r="BB77" s="68"/>
      <c r="BC77" s="35"/>
      <c r="BD77" s="21"/>
      <c r="BF77" s="21"/>
      <c r="BG77" s="21"/>
      <c r="BK77" s="21"/>
      <c r="BL77" s="21"/>
      <c r="BM77" s="21"/>
      <c r="BN77" s="21"/>
      <c r="BO77" s="21"/>
    </row>
    <row r="78" spans="1:67" ht="14.35" x14ac:dyDescent="0.5">
      <c r="A78" s="8" t="s">
        <v>106</v>
      </c>
      <c r="B78" s="8"/>
      <c r="C78" s="25"/>
      <c r="D78" s="25"/>
      <c r="E78" s="25"/>
      <c r="F78" s="1">
        <v>3</v>
      </c>
      <c r="G78" s="78">
        <v>146</v>
      </c>
      <c r="H78" s="8">
        <v>52</v>
      </c>
      <c r="I78" s="3" t="s">
        <v>160</v>
      </c>
      <c r="J78" s="70"/>
      <c r="K78" s="76">
        <v>4040.75</v>
      </c>
      <c r="L78" s="78"/>
      <c r="M78" s="77">
        <v>666</v>
      </c>
      <c r="N78" s="76">
        <f t="shared" si="7"/>
        <v>199.8</v>
      </c>
      <c r="O78" s="76">
        <f t="shared" si="8"/>
        <v>2424.4499999999998</v>
      </c>
      <c r="P78" s="76">
        <f t="shared" si="9"/>
        <v>0</v>
      </c>
      <c r="Q78" s="76">
        <f t="shared" si="10"/>
        <v>0</v>
      </c>
      <c r="R78" s="65">
        <f t="shared" si="11"/>
        <v>0.16</v>
      </c>
      <c r="S78" s="65">
        <f>IF(R78&gt;0.6,+R78-0.6,0)</f>
        <v>0</v>
      </c>
      <c r="T78" s="34">
        <f>ROUND(S78*K78,2)</f>
        <v>0</v>
      </c>
      <c r="U78" s="34">
        <f t="shared" si="12"/>
        <v>0</v>
      </c>
      <c r="V78" s="77">
        <v>164</v>
      </c>
      <c r="W78" s="76">
        <f t="shared" si="13"/>
        <v>41</v>
      </c>
      <c r="X78" s="36">
        <f>ROUND(M78*$X$2,2)</f>
        <v>199.8</v>
      </c>
      <c r="Y78" s="9">
        <f t="shared" si="14"/>
        <v>4281.55</v>
      </c>
      <c r="Z78" s="76">
        <v>5372016207</v>
      </c>
      <c r="AA78" s="77">
        <v>25546</v>
      </c>
      <c r="AB78" s="17">
        <f t="shared" si="3"/>
        <v>210287.96</v>
      </c>
      <c r="AC78" s="37">
        <f t="shared" si="4"/>
        <v>1.0922529999999999</v>
      </c>
      <c r="AD78" s="77">
        <v>94606</v>
      </c>
      <c r="AE78" s="37">
        <f t="shared" si="5"/>
        <v>0.78514899999999999</v>
      </c>
      <c r="AF78" s="37">
        <f t="shared" si="23"/>
        <v>-1.22E-4</v>
      </c>
      <c r="AG78" s="71">
        <f t="shared" si="15"/>
        <v>0.01</v>
      </c>
      <c r="AH78" s="38">
        <f>IF(G78&gt;=1,IF(G78&lt;=5,0.06,IF(G78&lt;=10,0.05,IF(G78&lt;=15,0.04,IF(G78&lt;=19,0.03,0)))),0)</f>
        <v>0</v>
      </c>
      <c r="AI78" s="74">
        <f t="shared" si="16"/>
        <v>0.01</v>
      </c>
      <c r="AJ78" s="77">
        <v>0</v>
      </c>
      <c r="AK78" s="77">
        <v>0</v>
      </c>
      <c r="AL78" s="11">
        <f t="shared" si="17"/>
        <v>0</v>
      </c>
      <c r="AM78" s="83"/>
      <c r="AN78" s="84"/>
      <c r="AO78" s="11">
        <f t="shared" si="18"/>
        <v>0</v>
      </c>
      <c r="AP78" s="11">
        <f>ROUND(Y78*AI78*$AP$21,0)</f>
        <v>493449</v>
      </c>
      <c r="AQ78" s="11">
        <f t="shared" si="19"/>
        <v>493449</v>
      </c>
      <c r="AR78" s="35">
        <v>1095080</v>
      </c>
      <c r="AS78" s="11">
        <f t="shared" si="20"/>
        <v>601631</v>
      </c>
      <c r="AT78" s="72" t="str">
        <f t="shared" si="21"/>
        <v>No</v>
      </c>
      <c r="AU78" s="77">
        <v>843467</v>
      </c>
      <c r="AV78" s="35">
        <f t="shared" si="22"/>
        <v>0</v>
      </c>
      <c r="AW78" s="35">
        <f t="shared" si="6"/>
        <v>843467</v>
      </c>
      <c r="AX78" s="35">
        <f>IF(C78=1,MAX(AW78,AR78),AW78)</f>
        <v>843467</v>
      </c>
      <c r="AY78" s="66"/>
      <c r="AZ78" s="67"/>
      <c r="BA78" s="35"/>
      <c r="BB78" s="68"/>
      <c r="BC78" s="35"/>
      <c r="BD78" s="21"/>
      <c r="BF78" s="21"/>
      <c r="BG78" s="21"/>
      <c r="BK78" s="21"/>
      <c r="BL78" s="21"/>
      <c r="BM78" s="21"/>
      <c r="BN78" s="21"/>
      <c r="BO78" s="21"/>
    </row>
    <row r="79" spans="1:67" ht="14.35" x14ac:dyDescent="0.5">
      <c r="A79" s="8" t="s">
        <v>104</v>
      </c>
      <c r="B79" s="8"/>
      <c r="C79" s="25"/>
      <c r="D79" s="25"/>
      <c r="E79" s="25"/>
      <c r="F79" s="1">
        <v>5</v>
      </c>
      <c r="G79" s="78">
        <v>79</v>
      </c>
      <c r="H79" s="8">
        <v>53</v>
      </c>
      <c r="I79" s="3" t="s">
        <v>161</v>
      </c>
      <c r="J79" s="70"/>
      <c r="K79" s="76">
        <v>210.55</v>
      </c>
      <c r="L79" s="78"/>
      <c r="M79" s="77">
        <v>41</v>
      </c>
      <c r="N79" s="76">
        <f t="shared" si="7"/>
        <v>12.3</v>
      </c>
      <c r="O79" s="76">
        <f t="shared" si="8"/>
        <v>126.33</v>
      </c>
      <c r="P79" s="76">
        <f t="shared" si="9"/>
        <v>0</v>
      </c>
      <c r="Q79" s="76">
        <f t="shared" si="10"/>
        <v>0</v>
      </c>
      <c r="R79" s="65">
        <f t="shared" si="11"/>
        <v>0.19</v>
      </c>
      <c r="S79" s="65">
        <f>IF(R79&gt;0.6,+R79-0.6,0)</f>
        <v>0</v>
      </c>
      <c r="T79" s="34">
        <f>ROUND(S79*K79,2)</f>
        <v>0</v>
      </c>
      <c r="U79" s="34">
        <f t="shared" si="12"/>
        <v>0</v>
      </c>
      <c r="V79" s="77">
        <v>0</v>
      </c>
      <c r="W79" s="76">
        <f t="shared" si="13"/>
        <v>0</v>
      </c>
      <c r="X79" s="36">
        <f>ROUND(M79*$X$2,2)</f>
        <v>12.3</v>
      </c>
      <c r="Y79" s="9">
        <f t="shared" si="14"/>
        <v>222.85000000000002</v>
      </c>
      <c r="Z79" s="76">
        <v>333873795.32999998</v>
      </c>
      <c r="AA79" s="77">
        <v>1842</v>
      </c>
      <c r="AB79" s="17">
        <f t="shared" si="3"/>
        <v>181256.13</v>
      </c>
      <c r="AC79" s="37">
        <f t="shared" si="4"/>
        <v>0.94145900000000005</v>
      </c>
      <c r="AD79" s="77">
        <v>94000</v>
      </c>
      <c r="AE79" s="37">
        <f t="shared" si="5"/>
        <v>0.78012000000000004</v>
      </c>
      <c r="AF79" s="37">
        <f t="shared" si="23"/>
        <v>0.106943</v>
      </c>
      <c r="AG79" s="71">
        <f t="shared" si="15"/>
        <v>0.106943</v>
      </c>
      <c r="AH79" s="38">
        <f>IF(G79&gt;=1,IF(G79&lt;=5,0.06,IF(G79&lt;=10,0.05,IF(G79&lt;=15,0.04,IF(G79&lt;=19,0.03,0)))),0)</f>
        <v>0</v>
      </c>
      <c r="AI79" s="74">
        <f t="shared" si="16"/>
        <v>0.106943</v>
      </c>
      <c r="AJ79" s="81">
        <v>0</v>
      </c>
      <c r="AK79" s="81">
        <v>0</v>
      </c>
      <c r="AL79" s="11">
        <f t="shared" si="17"/>
        <v>0</v>
      </c>
      <c r="AM79" s="83">
        <v>49</v>
      </c>
      <c r="AN79" s="84">
        <v>4</v>
      </c>
      <c r="AO79" s="11">
        <f t="shared" si="18"/>
        <v>19600</v>
      </c>
      <c r="AP79" s="11">
        <f>ROUND(Y79*AI79*$AP$21,0)</f>
        <v>274667</v>
      </c>
      <c r="AQ79" s="11">
        <f t="shared" si="19"/>
        <v>294267</v>
      </c>
      <c r="AR79" s="35">
        <v>923278</v>
      </c>
      <c r="AS79" s="11">
        <f t="shared" si="20"/>
        <v>629011</v>
      </c>
      <c r="AT79" s="72" t="str">
        <f t="shared" si="21"/>
        <v>No</v>
      </c>
      <c r="AU79" s="77">
        <v>736256</v>
      </c>
      <c r="AV79" s="35">
        <f t="shared" si="22"/>
        <v>0</v>
      </c>
      <c r="AW79" s="35">
        <f t="shared" si="6"/>
        <v>736256</v>
      </c>
      <c r="AX79" s="35">
        <f>IF(C79=1,MAX(AW79,AR79),AW79)</f>
        <v>736256</v>
      </c>
      <c r="AY79" s="66"/>
      <c r="AZ79" s="67"/>
      <c r="BA79" s="35"/>
      <c r="BB79" s="68"/>
      <c r="BC79" s="35"/>
      <c r="BD79" s="21"/>
      <c r="BF79" s="21"/>
      <c r="BG79" s="21"/>
      <c r="BK79" s="21"/>
      <c r="BL79" s="21"/>
      <c r="BM79" s="21"/>
      <c r="BN79" s="21"/>
      <c r="BO79" s="21"/>
    </row>
    <row r="80" spans="1:67" ht="14.35" x14ac:dyDescent="0.5">
      <c r="A80" s="8" t="s">
        <v>106</v>
      </c>
      <c r="B80" s="8"/>
      <c r="C80" s="25"/>
      <c r="D80" s="25"/>
      <c r="E80" s="25"/>
      <c r="F80" s="1">
        <v>3</v>
      </c>
      <c r="G80" s="78">
        <v>140</v>
      </c>
      <c r="H80" s="8">
        <v>54</v>
      </c>
      <c r="I80" s="3" t="s">
        <v>162</v>
      </c>
      <c r="J80" s="70"/>
      <c r="K80" s="76">
        <v>5817.61</v>
      </c>
      <c r="L80" s="78"/>
      <c r="M80" s="77">
        <v>791</v>
      </c>
      <c r="N80" s="76">
        <f t="shared" si="7"/>
        <v>237.3</v>
      </c>
      <c r="O80" s="76">
        <f t="shared" si="8"/>
        <v>3490.57</v>
      </c>
      <c r="P80" s="76">
        <f t="shared" si="9"/>
        <v>0</v>
      </c>
      <c r="Q80" s="76">
        <f t="shared" si="10"/>
        <v>0</v>
      </c>
      <c r="R80" s="65">
        <f t="shared" si="11"/>
        <v>0.14000000000000001</v>
      </c>
      <c r="S80" s="65">
        <f>IF(R80&gt;0.6,+R80-0.6,0)</f>
        <v>0</v>
      </c>
      <c r="T80" s="34">
        <f>ROUND(S80*K80,2)</f>
        <v>0</v>
      </c>
      <c r="U80" s="34">
        <f t="shared" si="12"/>
        <v>0</v>
      </c>
      <c r="V80" s="77">
        <v>156</v>
      </c>
      <c r="W80" s="76">
        <f t="shared" si="13"/>
        <v>39</v>
      </c>
      <c r="X80" s="36">
        <f>ROUND(M80*$X$2,2)</f>
        <v>237.3</v>
      </c>
      <c r="Y80" s="9">
        <f t="shared" si="14"/>
        <v>6093.91</v>
      </c>
      <c r="Z80" s="76">
        <v>6101830840.6700001</v>
      </c>
      <c r="AA80" s="77">
        <v>34578</v>
      </c>
      <c r="AB80" s="17">
        <f t="shared" si="3"/>
        <v>176465.7</v>
      </c>
      <c r="AC80" s="37">
        <f t="shared" si="4"/>
        <v>0.91657699999999998</v>
      </c>
      <c r="AD80" s="77">
        <v>116625</v>
      </c>
      <c r="AE80" s="37">
        <f t="shared" si="5"/>
        <v>0.967889</v>
      </c>
      <c r="AF80" s="37">
        <f t="shared" si="23"/>
        <v>6.8029000000000006E-2</v>
      </c>
      <c r="AG80" s="71">
        <f t="shared" si="15"/>
        <v>6.8029000000000006E-2</v>
      </c>
      <c r="AH80" s="38">
        <f>IF(G80&gt;=1,IF(G80&lt;=5,0.06,IF(G80&lt;=10,0.05,IF(G80&lt;=15,0.04,IF(G80&lt;=19,0.03,0)))),0)</f>
        <v>0</v>
      </c>
      <c r="AI80" s="74">
        <f t="shared" si="16"/>
        <v>6.8029000000000006E-2</v>
      </c>
      <c r="AJ80" s="77">
        <v>0</v>
      </c>
      <c r="AK80" s="77">
        <v>0</v>
      </c>
      <c r="AL80" s="11">
        <f t="shared" si="17"/>
        <v>0</v>
      </c>
      <c r="AM80" s="83"/>
      <c r="AN80" s="84"/>
      <c r="AO80" s="11">
        <f t="shared" si="18"/>
        <v>0</v>
      </c>
      <c r="AP80" s="11">
        <f>ROUND(Y80*AI80*$AP$21,0)</f>
        <v>4777834</v>
      </c>
      <c r="AQ80" s="11">
        <f t="shared" si="19"/>
        <v>4777834</v>
      </c>
      <c r="AR80" s="35">
        <v>6654380</v>
      </c>
      <c r="AS80" s="11">
        <f t="shared" si="20"/>
        <v>1876546</v>
      </c>
      <c r="AT80" s="72" t="str">
        <f t="shared" si="21"/>
        <v>No</v>
      </c>
      <c r="AU80" s="77">
        <v>5379255</v>
      </c>
      <c r="AV80" s="35">
        <f t="shared" si="22"/>
        <v>0</v>
      </c>
      <c r="AW80" s="35">
        <f t="shared" si="6"/>
        <v>5379255</v>
      </c>
      <c r="AX80" s="35">
        <f>IF(C80=1,MAX(AW80,AR80),AW80)</f>
        <v>5379255</v>
      </c>
      <c r="AY80" s="66"/>
      <c r="AZ80" s="67"/>
      <c r="BA80" s="35"/>
      <c r="BB80" s="68"/>
      <c r="BC80" s="35"/>
      <c r="BD80" s="21"/>
      <c r="BF80" s="21"/>
      <c r="BG80" s="21"/>
      <c r="BK80" s="21"/>
      <c r="BL80" s="21"/>
      <c r="BM80" s="21"/>
      <c r="BN80" s="21"/>
      <c r="BO80" s="21"/>
    </row>
    <row r="81" spans="1:67" ht="14.35" x14ac:dyDescent="0.5">
      <c r="A81" s="8" t="s">
        <v>104</v>
      </c>
      <c r="B81" s="8"/>
      <c r="C81" s="25"/>
      <c r="D81" s="25"/>
      <c r="E81" s="25"/>
      <c r="F81" s="1">
        <v>2</v>
      </c>
      <c r="G81" s="78">
        <v>141</v>
      </c>
      <c r="H81" s="8">
        <v>55</v>
      </c>
      <c r="I81" s="3" t="s">
        <v>163</v>
      </c>
      <c r="J81" s="70"/>
      <c r="K81" s="76">
        <v>330.94</v>
      </c>
      <c r="L81" s="78"/>
      <c r="M81" s="77">
        <v>74</v>
      </c>
      <c r="N81" s="76">
        <f t="shared" si="7"/>
        <v>22.2</v>
      </c>
      <c r="O81" s="76">
        <f t="shared" si="8"/>
        <v>198.56</v>
      </c>
      <c r="P81" s="76">
        <f t="shared" si="9"/>
        <v>0</v>
      </c>
      <c r="Q81" s="76">
        <f t="shared" si="10"/>
        <v>0</v>
      </c>
      <c r="R81" s="65">
        <f t="shared" si="11"/>
        <v>0.22</v>
      </c>
      <c r="S81" s="65">
        <f>IF(R81&gt;0.6,+R81-0.6,0)</f>
        <v>0</v>
      </c>
      <c r="T81" s="34">
        <f>ROUND(S81*K81,2)</f>
        <v>0</v>
      </c>
      <c r="U81" s="34">
        <f t="shared" si="12"/>
        <v>0</v>
      </c>
      <c r="V81" s="77">
        <v>7</v>
      </c>
      <c r="W81" s="76">
        <f t="shared" si="13"/>
        <v>1.75</v>
      </c>
      <c r="X81" s="36">
        <f>ROUND(M81*$X$2,2)</f>
        <v>22.2</v>
      </c>
      <c r="Y81" s="9">
        <f t="shared" si="14"/>
        <v>354.89</v>
      </c>
      <c r="Z81" s="76">
        <v>791251335.33000004</v>
      </c>
      <c r="AA81" s="77">
        <v>2903</v>
      </c>
      <c r="AB81" s="17">
        <f t="shared" si="3"/>
        <v>272563.33</v>
      </c>
      <c r="AC81" s="37">
        <f t="shared" si="4"/>
        <v>1.415716</v>
      </c>
      <c r="AD81" s="77">
        <v>98967</v>
      </c>
      <c r="AE81" s="37">
        <f t="shared" si="5"/>
        <v>0.82134200000000002</v>
      </c>
      <c r="AF81" s="37">
        <f t="shared" si="23"/>
        <v>-0.237404</v>
      </c>
      <c r="AG81" s="71">
        <f t="shared" si="15"/>
        <v>0.01</v>
      </c>
      <c r="AH81" s="38">
        <f>IF(G81&gt;=1,IF(G81&lt;=5,0.06,IF(G81&lt;=10,0.05,IF(G81&lt;=15,0.04,IF(G81&lt;=19,0.03,0)))),0)</f>
        <v>0</v>
      </c>
      <c r="AI81" s="74">
        <f t="shared" si="16"/>
        <v>0.01</v>
      </c>
      <c r="AJ81" s="77">
        <v>341</v>
      </c>
      <c r="AK81" s="77">
        <v>13</v>
      </c>
      <c r="AL81" s="11">
        <f t="shared" si="17"/>
        <v>443300</v>
      </c>
      <c r="AM81" s="83"/>
      <c r="AN81" s="84"/>
      <c r="AO81" s="11">
        <f t="shared" si="18"/>
        <v>0</v>
      </c>
      <c r="AP81" s="11">
        <f>ROUND(Y81*AI81*$AP$21,0)</f>
        <v>40901</v>
      </c>
      <c r="AQ81" s="11">
        <f t="shared" si="19"/>
        <v>484201</v>
      </c>
      <c r="AR81" s="35">
        <v>82025</v>
      </c>
      <c r="AS81" s="11">
        <f t="shared" si="20"/>
        <v>402176</v>
      </c>
      <c r="AT81" s="72" t="str">
        <f t="shared" si="21"/>
        <v>Yes</v>
      </c>
      <c r="AU81" s="77">
        <v>80162</v>
      </c>
      <c r="AV81" s="35">
        <f t="shared" si="22"/>
        <v>42871.961600000002</v>
      </c>
      <c r="AW81" s="35">
        <f t="shared" si="6"/>
        <v>123033.96160000001</v>
      </c>
      <c r="AX81" s="35">
        <f>IF(C81=1,MAX(AW81,AR81),AW81)</f>
        <v>123033.96160000001</v>
      </c>
      <c r="AY81" s="66"/>
      <c r="AZ81" s="67"/>
      <c r="BA81" s="35"/>
      <c r="BB81" s="68"/>
      <c r="BC81" s="35"/>
      <c r="BD81" s="21"/>
      <c r="BF81" s="21"/>
      <c r="BG81" s="21"/>
      <c r="BK81" s="21"/>
      <c r="BL81" s="21"/>
      <c r="BM81" s="21"/>
      <c r="BN81" s="21"/>
      <c r="BO81" s="21"/>
    </row>
    <row r="82" spans="1:67" ht="14.35" x14ac:dyDescent="0.5">
      <c r="A82" s="8" t="s">
        <v>106</v>
      </c>
      <c r="B82" s="8"/>
      <c r="C82" s="25"/>
      <c r="D82" s="25"/>
      <c r="E82" s="25"/>
      <c r="F82" s="1">
        <v>5</v>
      </c>
      <c r="G82" s="78">
        <v>129</v>
      </c>
      <c r="H82" s="8">
        <v>56</v>
      </c>
      <c r="I82" s="3" t="s">
        <v>164</v>
      </c>
      <c r="J82" s="70"/>
      <c r="K82" s="76">
        <v>1694.85</v>
      </c>
      <c r="L82" s="78"/>
      <c r="M82" s="77">
        <v>163</v>
      </c>
      <c r="N82" s="76">
        <f t="shared" si="7"/>
        <v>48.9</v>
      </c>
      <c r="O82" s="76">
        <f t="shared" si="8"/>
        <v>1016.91</v>
      </c>
      <c r="P82" s="76">
        <f t="shared" si="9"/>
        <v>0</v>
      </c>
      <c r="Q82" s="76">
        <f t="shared" si="10"/>
        <v>0</v>
      </c>
      <c r="R82" s="65">
        <f t="shared" si="11"/>
        <v>0.1</v>
      </c>
      <c r="S82" s="65">
        <f>IF(R82&gt;0.6,+R82-0.6,0)</f>
        <v>0</v>
      </c>
      <c r="T82" s="34">
        <f>ROUND(S82*K82,2)</f>
        <v>0</v>
      </c>
      <c r="U82" s="34">
        <f t="shared" si="12"/>
        <v>0</v>
      </c>
      <c r="V82" s="77">
        <v>3</v>
      </c>
      <c r="W82" s="76">
        <f t="shared" si="13"/>
        <v>0.75</v>
      </c>
      <c r="X82" s="36">
        <f>ROUND(M82*$X$2,2)</f>
        <v>48.9</v>
      </c>
      <c r="Y82" s="9">
        <f t="shared" si="14"/>
        <v>1744.5</v>
      </c>
      <c r="Z82" s="76">
        <v>1477984689.6700001</v>
      </c>
      <c r="AA82" s="77">
        <v>11305</v>
      </c>
      <c r="AB82" s="17">
        <f t="shared" si="3"/>
        <v>130737.26</v>
      </c>
      <c r="AC82" s="37">
        <f t="shared" si="4"/>
        <v>0.67906</v>
      </c>
      <c r="AD82" s="77">
        <v>121114</v>
      </c>
      <c r="AE82" s="37">
        <f t="shared" si="5"/>
        <v>1.0051429999999999</v>
      </c>
      <c r="AF82" s="37">
        <f t="shared" si="23"/>
        <v>0.22311500000000001</v>
      </c>
      <c r="AG82" s="71">
        <f t="shared" si="15"/>
        <v>0.22311500000000001</v>
      </c>
      <c r="AH82" s="38">
        <f>IF(G82&gt;=1,IF(G82&lt;=5,0.06,IF(G82&lt;=10,0.05,IF(G82&lt;=15,0.04,IF(G82&lt;=19,0.03,0)))),0)</f>
        <v>0</v>
      </c>
      <c r="AI82" s="74">
        <f t="shared" si="16"/>
        <v>0.22311500000000001</v>
      </c>
      <c r="AJ82" s="77">
        <v>0</v>
      </c>
      <c r="AK82" s="77">
        <v>0</v>
      </c>
      <c r="AL82" s="11">
        <f t="shared" si="17"/>
        <v>0</v>
      </c>
      <c r="AM82" s="83"/>
      <c r="AN82" s="84"/>
      <c r="AO82" s="11">
        <f t="shared" si="18"/>
        <v>0</v>
      </c>
      <c r="AP82" s="11">
        <f>ROUND(Y82*AI82*$AP$21,0)</f>
        <v>4485808</v>
      </c>
      <c r="AQ82" s="11">
        <f t="shared" si="19"/>
        <v>4485808</v>
      </c>
      <c r="AR82" s="35">
        <v>5510220</v>
      </c>
      <c r="AS82" s="11">
        <f t="shared" si="20"/>
        <v>1024412</v>
      </c>
      <c r="AT82" s="72" t="str">
        <f t="shared" si="21"/>
        <v>No</v>
      </c>
      <c r="AU82" s="77">
        <v>5278314</v>
      </c>
      <c r="AV82" s="35">
        <f t="shared" si="22"/>
        <v>0</v>
      </c>
      <c r="AW82" s="35">
        <f t="shared" si="6"/>
        <v>5278314</v>
      </c>
      <c r="AX82" s="35">
        <f>IF(C82=1,MAX(AW82,AR82),AW82)</f>
        <v>5278314</v>
      </c>
      <c r="AY82" s="66"/>
      <c r="AZ82" s="67"/>
      <c r="BA82" s="35"/>
      <c r="BB82" s="68"/>
      <c r="BC82" s="35"/>
      <c r="BD82" s="21"/>
      <c r="BF82" s="21"/>
      <c r="BG82" s="21"/>
      <c r="BK82" s="21"/>
      <c r="BL82" s="21"/>
      <c r="BM82" s="21"/>
      <c r="BN82" s="21"/>
      <c r="BO82" s="21"/>
    </row>
    <row r="83" spans="1:67" ht="14.35" x14ac:dyDescent="0.5">
      <c r="A83" s="8" t="s">
        <v>106</v>
      </c>
      <c r="B83" s="8"/>
      <c r="C83" s="25"/>
      <c r="D83" s="25"/>
      <c r="E83" s="25"/>
      <c r="F83" s="1">
        <v>1</v>
      </c>
      <c r="G83" s="78">
        <v>169</v>
      </c>
      <c r="H83" s="8">
        <v>57</v>
      </c>
      <c r="I83" s="3" t="s">
        <v>165</v>
      </c>
      <c r="J83" s="70"/>
      <c r="K83" s="76">
        <v>8588.06</v>
      </c>
      <c r="L83" s="78"/>
      <c r="M83" s="77">
        <v>1891</v>
      </c>
      <c r="N83" s="76">
        <f t="shared" si="7"/>
        <v>567.29999999999995</v>
      </c>
      <c r="O83" s="76">
        <f t="shared" si="8"/>
        <v>5152.84</v>
      </c>
      <c r="P83" s="76">
        <f t="shared" si="9"/>
        <v>0</v>
      </c>
      <c r="Q83" s="76">
        <f t="shared" si="10"/>
        <v>0</v>
      </c>
      <c r="R83" s="65">
        <f t="shared" si="11"/>
        <v>0.22</v>
      </c>
      <c r="S83" s="65">
        <f>IF(R83&gt;0.6,+R83-0.6,0)</f>
        <v>0</v>
      </c>
      <c r="T83" s="34">
        <f>ROUND(S83*K83,2)</f>
        <v>0</v>
      </c>
      <c r="U83" s="34">
        <f t="shared" si="12"/>
        <v>0</v>
      </c>
      <c r="V83" s="77">
        <v>353</v>
      </c>
      <c r="W83" s="76">
        <f t="shared" si="13"/>
        <v>88.25</v>
      </c>
      <c r="X83" s="36">
        <f>ROUND(M83*$X$2,2)</f>
        <v>567.29999999999995</v>
      </c>
      <c r="Y83" s="9">
        <f t="shared" si="14"/>
        <v>9243.6099999999988</v>
      </c>
      <c r="Z83" s="76">
        <v>49439639594.330002</v>
      </c>
      <c r="AA83" s="77">
        <v>62574</v>
      </c>
      <c r="AB83" s="17">
        <f t="shared" si="3"/>
        <v>790098.76</v>
      </c>
      <c r="AC83" s="37">
        <f t="shared" si="4"/>
        <v>4.1038379999999997</v>
      </c>
      <c r="AD83" s="77">
        <v>142819</v>
      </c>
      <c r="AE83" s="37">
        <f t="shared" si="5"/>
        <v>1.185276</v>
      </c>
      <c r="AF83" s="37">
        <f t="shared" si="23"/>
        <v>-2.2282690000000001</v>
      </c>
      <c r="AG83" s="71">
        <f t="shared" si="15"/>
        <v>0.01</v>
      </c>
      <c r="AH83" s="38">
        <f>IF(G83&gt;=1,IF(G83&lt;=5,0.06,IF(G83&lt;=10,0.05,IF(G83&lt;=15,0.04,IF(G83&lt;=19,0.03,0)))),0)</f>
        <v>0</v>
      </c>
      <c r="AI83" s="74">
        <f t="shared" si="16"/>
        <v>0.01</v>
      </c>
      <c r="AJ83" s="77">
        <v>0</v>
      </c>
      <c r="AK83" s="77">
        <v>0</v>
      </c>
      <c r="AL83" s="11">
        <f t="shared" si="17"/>
        <v>0</v>
      </c>
      <c r="AM83" s="83"/>
      <c r="AN83" s="84"/>
      <c r="AO83" s="11">
        <f t="shared" si="18"/>
        <v>0</v>
      </c>
      <c r="AP83" s="11">
        <f>ROUND(Y83*AI83*$AP$21,0)</f>
        <v>1065326</v>
      </c>
      <c r="AQ83" s="11">
        <f t="shared" si="19"/>
        <v>1065326</v>
      </c>
      <c r="AR83" s="35">
        <v>136859</v>
      </c>
      <c r="AS83" s="11">
        <f t="shared" si="20"/>
        <v>928467</v>
      </c>
      <c r="AT83" s="72" t="str">
        <f t="shared" si="21"/>
        <v>Yes</v>
      </c>
      <c r="AU83" s="77">
        <v>378649</v>
      </c>
      <c r="AV83" s="35">
        <f t="shared" si="22"/>
        <v>98974.582200000004</v>
      </c>
      <c r="AW83" s="35">
        <f t="shared" si="6"/>
        <v>477623.5822</v>
      </c>
      <c r="AX83" s="35">
        <f>IF(C83=1,MAX(AW83,AR83),AW83)</f>
        <v>477623.5822</v>
      </c>
      <c r="AY83" s="66"/>
      <c r="AZ83" s="67"/>
      <c r="BA83" s="35"/>
      <c r="BB83" s="68"/>
      <c r="BC83" s="35"/>
      <c r="BD83" s="21"/>
      <c r="BF83" s="21"/>
      <c r="BG83" s="21"/>
      <c r="BK83" s="21"/>
      <c r="BL83" s="21"/>
      <c r="BM83" s="21"/>
      <c r="BN83" s="21"/>
      <c r="BO83" s="21"/>
    </row>
    <row r="84" spans="1:67" ht="14.35" x14ac:dyDescent="0.5">
      <c r="A84" s="8" t="s">
        <v>128</v>
      </c>
      <c r="B84" s="8"/>
      <c r="C84" s="25"/>
      <c r="D84" s="25"/>
      <c r="E84" s="25"/>
      <c r="F84" s="1">
        <v>9</v>
      </c>
      <c r="G84" s="79">
        <v>22</v>
      </c>
      <c r="H84" s="8">
        <v>58</v>
      </c>
      <c r="I84" s="3" t="s">
        <v>166</v>
      </c>
      <c r="J84" s="70"/>
      <c r="K84" s="76">
        <v>1546.15</v>
      </c>
      <c r="L84" s="79"/>
      <c r="M84" s="77">
        <v>788</v>
      </c>
      <c r="N84" s="76">
        <f t="shared" si="7"/>
        <v>236.4</v>
      </c>
      <c r="O84" s="76">
        <f t="shared" si="8"/>
        <v>927.69</v>
      </c>
      <c r="P84" s="76">
        <f t="shared" si="9"/>
        <v>0</v>
      </c>
      <c r="Q84" s="76">
        <f t="shared" si="10"/>
        <v>0</v>
      </c>
      <c r="R84" s="65">
        <f t="shared" si="11"/>
        <v>0.51</v>
      </c>
      <c r="S84" s="65">
        <f>IF(R84&gt;0.6,+R84-0.6,0)</f>
        <v>0</v>
      </c>
      <c r="T84" s="34">
        <f>ROUND(S84*K84,2)</f>
        <v>0</v>
      </c>
      <c r="U84" s="34">
        <f t="shared" si="12"/>
        <v>0</v>
      </c>
      <c r="V84" s="77">
        <v>21</v>
      </c>
      <c r="W84" s="76">
        <f t="shared" si="13"/>
        <v>5.25</v>
      </c>
      <c r="X84" s="36">
        <f>ROUND(M84*$X$2,2)</f>
        <v>236.4</v>
      </c>
      <c r="Y84" s="9">
        <f t="shared" si="14"/>
        <v>1787.8000000000002</v>
      </c>
      <c r="Z84" s="76">
        <v>1068224850</v>
      </c>
      <c r="AA84" s="77">
        <v>11693</v>
      </c>
      <c r="AB84" s="17">
        <f t="shared" si="3"/>
        <v>91355.93</v>
      </c>
      <c r="AC84" s="37">
        <f t="shared" si="4"/>
        <v>0.47450999999999999</v>
      </c>
      <c r="AD84" s="77">
        <v>62542</v>
      </c>
      <c r="AE84" s="37">
        <f t="shared" si="5"/>
        <v>0.51904600000000001</v>
      </c>
      <c r="AF84" s="37">
        <f t="shared" si="23"/>
        <v>0.51212899999999995</v>
      </c>
      <c r="AG84" s="71">
        <f t="shared" si="15"/>
        <v>0.51212899999999995</v>
      </c>
      <c r="AH84" s="38">
        <f>IF(G84&gt;=1,IF(G84&lt;=5,0.06,IF(G84&lt;=10,0.05,IF(G84&lt;=15,0.04,IF(G84&lt;=19,0.03,0)))),0)</f>
        <v>0</v>
      </c>
      <c r="AI84" s="74">
        <f t="shared" si="16"/>
        <v>0.51212899999999995</v>
      </c>
      <c r="AJ84" s="77">
        <v>0</v>
      </c>
      <c r="AK84" s="77">
        <v>0</v>
      </c>
      <c r="AL84" s="11">
        <f t="shared" si="17"/>
        <v>0</v>
      </c>
      <c r="AM84" s="83">
        <v>1</v>
      </c>
      <c r="AN84" s="84">
        <v>4</v>
      </c>
      <c r="AO84" s="11">
        <f t="shared" si="18"/>
        <v>400</v>
      </c>
      <c r="AP84" s="11">
        <f>ROUND(Y84*AI84*$AP$21,0)</f>
        <v>10552108</v>
      </c>
      <c r="AQ84" s="11">
        <f t="shared" si="19"/>
        <v>10552508</v>
      </c>
      <c r="AR84" s="35">
        <v>10775767</v>
      </c>
      <c r="AS84" s="11">
        <f t="shared" si="20"/>
        <v>223259</v>
      </c>
      <c r="AT84" s="72" t="str">
        <f t="shared" si="21"/>
        <v>No</v>
      </c>
      <c r="AU84" s="77">
        <v>10925151</v>
      </c>
      <c r="AV84" s="35">
        <f t="shared" si="22"/>
        <v>0</v>
      </c>
      <c r="AW84" s="35">
        <f t="shared" si="6"/>
        <v>10925151</v>
      </c>
      <c r="AX84" s="35">
        <f>IF(C84=1,MAX(AW84,AR84),AW84)</f>
        <v>10925151</v>
      </c>
      <c r="AY84" s="66"/>
      <c r="AZ84" s="67"/>
      <c r="BA84" s="35"/>
      <c r="BB84" s="68"/>
      <c r="BC84" s="35"/>
      <c r="BD84" s="21"/>
      <c r="BF84" s="21"/>
      <c r="BG84" s="21"/>
      <c r="BK84" s="21"/>
      <c r="BL84" s="21"/>
      <c r="BM84" s="21"/>
      <c r="BN84" s="21"/>
      <c r="BO84" s="21"/>
    </row>
    <row r="85" spans="1:67" ht="14.35" x14ac:dyDescent="0.5">
      <c r="A85" s="8" t="s">
        <v>115</v>
      </c>
      <c r="B85" s="8"/>
      <c r="C85" s="25">
        <v>1</v>
      </c>
      <c r="D85" s="25"/>
      <c r="E85" s="25"/>
      <c r="F85" s="1">
        <v>8</v>
      </c>
      <c r="G85" s="78">
        <v>49</v>
      </c>
      <c r="H85" s="8">
        <v>59</v>
      </c>
      <c r="I85" s="3" t="s">
        <v>167</v>
      </c>
      <c r="J85" s="70"/>
      <c r="K85" s="76">
        <v>4448.07</v>
      </c>
      <c r="L85" s="78"/>
      <c r="M85" s="77">
        <v>2390</v>
      </c>
      <c r="N85" s="76">
        <f t="shared" si="7"/>
        <v>717</v>
      </c>
      <c r="O85" s="76">
        <f t="shared" si="8"/>
        <v>2668.84</v>
      </c>
      <c r="P85" s="76">
        <f t="shared" si="9"/>
        <v>0</v>
      </c>
      <c r="Q85" s="76">
        <f t="shared" si="10"/>
        <v>0</v>
      </c>
      <c r="R85" s="65">
        <f t="shared" si="11"/>
        <v>0.54</v>
      </c>
      <c r="S85" s="65">
        <f>IF(R85&gt;0.6,+R85-0.6,0)</f>
        <v>0</v>
      </c>
      <c r="T85" s="34">
        <f>ROUND(S85*K85,2)</f>
        <v>0</v>
      </c>
      <c r="U85" s="34">
        <f t="shared" si="12"/>
        <v>0</v>
      </c>
      <c r="V85" s="77">
        <v>169</v>
      </c>
      <c r="W85" s="76">
        <f t="shared" si="13"/>
        <v>42.25</v>
      </c>
      <c r="X85" s="36">
        <f>ROUND(M85*$X$2,2)</f>
        <v>717</v>
      </c>
      <c r="Y85" s="9">
        <f t="shared" si="14"/>
        <v>5207.32</v>
      </c>
      <c r="Z85" s="76">
        <v>5815454006</v>
      </c>
      <c r="AA85" s="77">
        <v>39105</v>
      </c>
      <c r="AB85" s="17">
        <f t="shared" si="3"/>
        <v>148713.82</v>
      </c>
      <c r="AC85" s="37">
        <f t="shared" si="4"/>
        <v>0.77243200000000001</v>
      </c>
      <c r="AD85" s="77">
        <v>66999</v>
      </c>
      <c r="AE85" s="37">
        <f t="shared" si="5"/>
        <v>0.55603499999999995</v>
      </c>
      <c r="AF85" s="37">
        <f t="shared" si="23"/>
        <v>0.292487</v>
      </c>
      <c r="AG85" s="71">
        <f t="shared" si="15"/>
        <v>0.292487</v>
      </c>
      <c r="AH85" s="38">
        <f>IF(G85&gt;=1,IF(G85&lt;=5,0.06,IF(G85&lt;=10,0.05,IF(G85&lt;=15,0.04,IF(G85&lt;=19,0.03,0)))),0)</f>
        <v>0</v>
      </c>
      <c r="AI85" s="74">
        <f t="shared" si="16"/>
        <v>0.292487</v>
      </c>
      <c r="AJ85" s="77">
        <v>0</v>
      </c>
      <c r="AK85" s="77">
        <v>0</v>
      </c>
      <c r="AL85" s="11">
        <f t="shared" si="17"/>
        <v>0</v>
      </c>
      <c r="AM85" s="83"/>
      <c r="AN85" s="84"/>
      <c r="AO85" s="11">
        <f t="shared" si="18"/>
        <v>0</v>
      </c>
      <c r="AP85" s="11">
        <f>ROUND(Y85*AI85*$AP$21,0)</f>
        <v>17553421</v>
      </c>
      <c r="AQ85" s="11">
        <f t="shared" si="19"/>
        <v>17553421</v>
      </c>
      <c r="AR85" s="35">
        <v>25040045</v>
      </c>
      <c r="AS85" s="11">
        <f t="shared" si="20"/>
        <v>7486624</v>
      </c>
      <c r="AT85" s="72" t="str">
        <f t="shared" si="21"/>
        <v>No</v>
      </c>
      <c r="AU85" s="77">
        <v>25040045</v>
      </c>
      <c r="AV85" s="35">
        <f t="shared" si="22"/>
        <v>0</v>
      </c>
      <c r="AW85" s="35">
        <f t="shared" si="6"/>
        <v>25040045</v>
      </c>
      <c r="AX85" s="35">
        <f>IF(C85=1,MAX(AW85,AR85),AW85)</f>
        <v>25040045</v>
      </c>
      <c r="AY85" s="66"/>
      <c r="AZ85" s="67"/>
      <c r="BA85" s="35"/>
      <c r="BB85" s="68"/>
      <c r="BC85" s="35"/>
      <c r="BD85" s="21"/>
      <c r="BF85" s="21"/>
      <c r="BG85" s="21"/>
      <c r="BK85" s="21"/>
      <c r="BL85" s="21"/>
      <c r="BM85" s="21"/>
      <c r="BN85" s="21"/>
      <c r="BO85" s="21"/>
    </row>
    <row r="86" spans="1:67" ht="14.35" x14ac:dyDescent="0.5">
      <c r="A86" s="8" t="s">
        <v>106</v>
      </c>
      <c r="B86" s="8"/>
      <c r="C86" s="25"/>
      <c r="D86" s="25"/>
      <c r="E86" s="25"/>
      <c r="F86" s="1">
        <v>2</v>
      </c>
      <c r="G86" s="78">
        <v>150</v>
      </c>
      <c r="H86" s="8">
        <v>60</v>
      </c>
      <c r="I86" s="3" t="s">
        <v>168</v>
      </c>
      <c r="J86" s="70"/>
      <c r="K86" s="76">
        <v>3138.89</v>
      </c>
      <c r="L86" s="78"/>
      <c r="M86" s="77">
        <v>410</v>
      </c>
      <c r="N86" s="76">
        <f t="shared" si="7"/>
        <v>123</v>
      </c>
      <c r="O86" s="76">
        <f t="shared" si="8"/>
        <v>1883.33</v>
      </c>
      <c r="P86" s="76">
        <f t="shared" si="9"/>
        <v>0</v>
      </c>
      <c r="Q86" s="76">
        <f t="shared" si="10"/>
        <v>0</v>
      </c>
      <c r="R86" s="65">
        <f t="shared" si="11"/>
        <v>0.13</v>
      </c>
      <c r="S86" s="65">
        <f>IF(R86&gt;0.6,+R86-0.6,0)</f>
        <v>0</v>
      </c>
      <c r="T86" s="34">
        <f>ROUND(S86*K86,2)</f>
        <v>0</v>
      </c>
      <c r="U86" s="34">
        <f t="shared" si="12"/>
        <v>0</v>
      </c>
      <c r="V86" s="77">
        <v>59</v>
      </c>
      <c r="W86" s="76">
        <f t="shared" si="13"/>
        <v>14.75</v>
      </c>
      <c r="X86" s="36">
        <f>ROUND(M86*$X$2,2)</f>
        <v>123</v>
      </c>
      <c r="Y86" s="9">
        <f t="shared" si="14"/>
        <v>3276.64</v>
      </c>
      <c r="Z86" s="76">
        <v>4519394206.6700001</v>
      </c>
      <c r="AA86" s="77">
        <v>22285</v>
      </c>
      <c r="AB86" s="17">
        <f t="shared" si="3"/>
        <v>202799.83</v>
      </c>
      <c r="AC86" s="37">
        <f t="shared" si="4"/>
        <v>1.0533589999999999</v>
      </c>
      <c r="AD86" s="77">
        <v>110000</v>
      </c>
      <c r="AE86" s="37">
        <f t="shared" si="5"/>
        <v>0.91290700000000002</v>
      </c>
      <c r="AF86" s="37">
        <f t="shared" si="23"/>
        <v>-1.1223E-2</v>
      </c>
      <c r="AG86" s="71">
        <f t="shared" si="15"/>
        <v>0.01</v>
      </c>
      <c r="AH86" s="38">
        <f>IF(G86&gt;=1,IF(G86&lt;=5,0.06,IF(G86&lt;=10,0.05,IF(G86&lt;=15,0.04,IF(G86&lt;=19,0.03,0)))),0)</f>
        <v>0</v>
      </c>
      <c r="AI86" s="74">
        <f t="shared" si="16"/>
        <v>0.01</v>
      </c>
      <c r="AJ86" s="77">
        <v>0</v>
      </c>
      <c r="AK86" s="77">
        <v>0</v>
      </c>
      <c r="AL86" s="11">
        <f t="shared" si="17"/>
        <v>0</v>
      </c>
      <c r="AM86" s="83"/>
      <c r="AN86" s="84"/>
      <c r="AO86" s="11">
        <f t="shared" si="18"/>
        <v>0</v>
      </c>
      <c r="AP86" s="11">
        <f>ROUND(Y86*AI86*$AP$21,0)</f>
        <v>377633</v>
      </c>
      <c r="AQ86" s="11">
        <f t="shared" si="19"/>
        <v>377633</v>
      </c>
      <c r="AR86" s="35">
        <v>2740394</v>
      </c>
      <c r="AS86" s="11">
        <f t="shared" si="20"/>
        <v>2362761</v>
      </c>
      <c r="AT86" s="72" t="str">
        <f t="shared" si="21"/>
        <v>No</v>
      </c>
      <c r="AU86" s="77">
        <v>1766084</v>
      </c>
      <c r="AV86" s="35">
        <f t="shared" si="22"/>
        <v>0</v>
      </c>
      <c r="AW86" s="35">
        <f t="shared" si="6"/>
        <v>1766084</v>
      </c>
      <c r="AX86" s="35">
        <f>IF(C86=1,MAX(AW86,AR86),AW86)</f>
        <v>1766084</v>
      </c>
      <c r="AY86" s="66"/>
      <c r="AZ86" s="67"/>
      <c r="BA86" s="35"/>
      <c r="BB86" s="68"/>
      <c r="BC86" s="35"/>
      <c r="BD86" s="21"/>
      <c r="BF86" s="21"/>
      <c r="BG86" s="21"/>
      <c r="BK86" s="21"/>
      <c r="BL86" s="21"/>
      <c r="BM86" s="21"/>
      <c r="BN86" s="21"/>
      <c r="BO86" s="21"/>
    </row>
    <row r="87" spans="1:67" ht="14.35" x14ac:dyDescent="0.5">
      <c r="A87" s="8" t="s">
        <v>100</v>
      </c>
      <c r="B87" s="8"/>
      <c r="C87" s="25"/>
      <c r="D87" s="25"/>
      <c r="E87" s="25"/>
      <c r="F87" s="1">
        <v>4</v>
      </c>
      <c r="G87" s="78">
        <v>123</v>
      </c>
      <c r="H87" s="8">
        <v>61</v>
      </c>
      <c r="I87" s="3" t="s">
        <v>169</v>
      </c>
      <c r="J87" s="70"/>
      <c r="K87" s="76">
        <v>1132.01</v>
      </c>
      <c r="L87" s="78"/>
      <c r="M87" s="77">
        <v>202</v>
      </c>
      <c r="N87" s="76">
        <f t="shared" si="7"/>
        <v>60.6</v>
      </c>
      <c r="O87" s="76">
        <f t="shared" si="8"/>
        <v>679.21</v>
      </c>
      <c r="P87" s="76">
        <f t="shared" si="9"/>
        <v>0</v>
      </c>
      <c r="Q87" s="76">
        <f t="shared" si="10"/>
        <v>0</v>
      </c>
      <c r="R87" s="65">
        <f t="shared" si="11"/>
        <v>0.18</v>
      </c>
      <c r="S87" s="65">
        <f>IF(R87&gt;0.6,+R87-0.6,0)</f>
        <v>0</v>
      </c>
      <c r="T87" s="34">
        <f>ROUND(S87*K87,2)</f>
        <v>0</v>
      </c>
      <c r="U87" s="34">
        <f t="shared" si="12"/>
        <v>0</v>
      </c>
      <c r="V87" s="77">
        <v>8</v>
      </c>
      <c r="W87" s="76">
        <f t="shared" si="13"/>
        <v>2</v>
      </c>
      <c r="X87" s="36">
        <f>ROUND(M87*$X$2,2)</f>
        <v>60.6</v>
      </c>
      <c r="Y87" s="9">
        <f t="shared" si="14"/>
        <v>1194.6099999999999</v>
      </c>
      <c r="Z87" s="76">
        <v>1325103552.6700001</v>
      </c>
      <c r="AA87" s="77">
        <v>8267</v>
      </c>
      <c r="AB87" s="17">
        <f t="shared" si="3"/>
        <v>160288.32000000001</v>
      </c>
      <c r="AC87" s="37">
        <f t="shared" si="4"/>
        <v>0.83255100000000004</v>
      </c>
      <c r="AD87" s="77">
        <v>108800</v>
      </c>
      <c r="AE87" s="37">
        <f t="shared" si="5"/>
        <v>0.90294799999999997</v>
      </c>
      <c r="AF87" s="37">
        <f t="shared" si="23"/>
        <v>0.14632999999999999</v>
      </c>
      <c r="AG87" s="71">
        <f t="shared" si="15"/>
        <v>0.14632999999999999</v>
      </c>
      <c r="AH87" s="38">
        <f>IF(G87&gt;=1,IF(G87&lt;=5,0.06,IF(G87&lt;=10,0.05,IF(G87&lt;=15,0.04,IF(G87&lt;=19,0.03,0)))),0)</f>
        <v>0</v>
      </c>
      <c r="AI87" s="74">
        <f t="shared" si="16"/>
        <v>0.14632999999999999</v>
      </c>
      <c r="AJ87" s="77">
        <v>1137</v>
      </c>
      <c r="AK87" s="77">
        <v>13</v>
      </c>
      <c r="AL87" s="11">
        <f t="shared" si="17"/>
        <v>1478100</v>
      </c>
      <c r="AM87" s="83"/>
      <c r="AN87" s="84"/>
      <c r="AO87" s="11">
        <f t="shared" si="18"/>
        <v>0</v>
      </c>
      <c r="AP87" s="11">
        <f>ROUND(Y87*AI87*$AP$21,0)</f>
        <v>2014654</v>
      </c>
      <c r="AQ87" s="11">
        <f t="shared" si="19"/>
        <v>3492754</v>
      </c>
      <c r="AR87" s="35">
        <v>1971482</v>
      </c>
      <c r="AS87" s="11">
        <f t="shared" si="20"/>
        <v>1521272</v>
      </c>
      <c r="AT87" s="72" t="str">
        <f t="shared" si="21"/>
        <v>Yes</v>
      </c>
      <c r="AU87" s="77">
        <v>2019012</v>
      </c>
      <c r="AV87" s="35">
        <f t="shared" si="22"/>
        <v>162167.59520000001</v>
      </c>
      <c r="AW87" s="35">
        <f t="shared" si="6"/>
        <v>2181179.5951999999</v>
      </c>
      <c r="AX87" s="35">
        <f>IF(C87=1,MAX(AW87,AR87),AW87)</f>
        <v>2181179.5951999999</v>
      </c>
      <c r="AY87" s="66"/>
      <c r="AZ87" s="67"/>
      <c r="BA87" s="35"/>
      <c r="BB87" s="68"/>
      <c r="BC87" s="35"/>
      <c r="BD87" s="21"/>
      <c r="BF87" s="21"/>
      <c r="BG87" s="21"/>
      <c r="BK87" s="21"/>
      <c r="BL87" s="21"/>
      <c r="BM87" s="21"/>
      <c r="BN87" s="21"/>
      <c r="BO87" s="21"/>
    </row>
    <row r="88" spans="1:67" ht="14.35" x14ac:dyDescent="0.5">
      <c r="A88" s="8" t="s">
        <v>115</v>
      </c>
      <c r="B88" s="8"/>
      <c r="C88" s="25">
        <v>1</v>
      </c>
      <c r="D88" s="25">
        <v>1</v>
      </c>
      <c r="E88" s="25"/>
      <c r="F88" s="1">
        <v>9</v>
      </c>
      <c r="G88" s="79">
        <v>25</v>
      </c>
      <c r="H88" s="8">
        <v>62</v>
      </c>
      <c r="I88" s="3" t="s">
        <v>170</v>
      </c>
      <c r="J88" s="70"/>
      <c r="K88" s="76">
        <v>6226.12</v>
      </c>
      <c r="L88" s="79"/>
      <c r="M88" s="77">
        <v>2710</v>
      </c>
      <c r="N88" s="76">
        <f t="shared" si="7"/>
        <v>813</v>
      </c>
      <c r="O88" s="76">
        <f t="shared" si="8"/>
        <v>3735.67</v>
      </c>
      <c r="P88" s="76">
        <f t="shared" si="9"/>
        <v>0</v>
      </c>
      <c r="Q88" s="76">
        <f t="shared" si="10"/>
        <v>0</v>
      </c>
      <c r="R88" s="65">
        <f t="shared" si="11"/>
        <v>0.44</v>
      </c>
      <c r="S88" s="65">
        <f>IF(R88&gt;0.6,+R88-0.6,0)</f>
        <v>0</v>
      </c>
      <c r="T88" s="34">
        <f>ROUND(S88*K88,2)</f>
        <v>0</v>
      </c>
      <c r="U88" s="34">
        <f t="shared" si="12"/>
        <v>0</v>
      </c>
      <c r="V88" s="77">
        <v>353</v>
      </c>
      <c r="W88" s="76">
        <f t="shared" si="13"/>
        <v>88.25</v>
      </c>
      <c r="X88" s="36">
        <f>ROUND(M88*$X$2,2)</f>
        <v>813</v>
      </c>
      <c r="Y88" s="9">
        <f t="shared" si="14"/>
        <v>7127.37</v>
      </c>
      <c r="Z88" s="76">
        <v>5762356274</v>
      </c>
      <c r="AA88" s="77">
        <v>61206</v>
      </c>
      <c r="AB88" s="17">
        <f t="shared" si="3"/>
        <v>94146.92</v>
      </c>
      <c r="AC88" s="37">
        <f t="shared" si="4"/>
        <v>0.48900700000000002</v>
      </c>
      <c r="AD88" s="77">
        <v>75392</v>
      </c>
      <c r="AE88" s="37">
        <f t="shared" si="5"/>
        <v>0.62568999999999997</v>
      </c>
      <c r="AF88" s="37">
        <f t="shared" si="23"/>
        <v>0.46998800000000002</v>
      </c>
      <c r="AG88" s="71">
        <f t="shared" si="15"/>
        <v>0.46998800000000002</v>
      </c>
      <c r="AH88" s="38">
        <f>IF(G88&gt;=1,IF(G88&lt;=5,0.06,IF(G88&lt;=10,0.05,IF(G88&lt;=15,0.04,IF(G88&lt;=19,0.03,0)))),0)</f>
        <v>0</v>
      </c>
      <c r="AI88" s="74">
        <f t="shared" si="16"/>
        <v>0.46998800000000002</v>
      </c>
      <c r="AJ88" s="77">
        <v>0</v>
      </c>
      <c r="AK88" s="77">
        <v>0</v>
      </c>
      <c r="AL88" s="11">
        <f t="shared" si="17"/>
        <v>0</v>
      </c>
      <c r="AM88" s="83"/>
      <c r="AN88" s="84"/>
      <c r="AO88" s="11">
        <f t="shared" si="18"/>
        <v>0</v>
      </c>
      <c r="AP88" s="11">
        <f>ROUND(Y88*AI88*$AP$21,0)</f>
        <v>38606196</v>
      </c>
      <c r="AQ88" s="11">
        <f t="shared" si="19"/>
        <v>38606196</v>
      </c>
      <c r="AR88" s="35">
        <v>26945481</v>
      </c>
      <c r="AS88" s="11">
        <f t="shared" si="20"/>
        <v>11660715</v>
      </c>
      <c r="AT88" s="72" t="str">
        <f t="shared" si="21"/>
        <v>Yes</v>
      </c>
      <c r="AU88" s="77">
        <v>29931677</v>
      </c>
      <c r="AV88" s="35">
        <f t="shared" si="22"/>
        <v>1243032.219</v>
      </c>
      <c r="AW88" s="35">
        <f t="shared" si="6"/>
        <v>31174709.219000001</v>
      </c>
      <c r="AX88" s="35">
        <f>IF(C88=1,MAX(AW88,AR88),AW88)</f>
        <v>31174709.219000001</v>
      </c>
      <c r="AY88" s="66"/>
      <c r="AZ88" s="67"/>
      <c r="BA88" s="35"/>
      <c r="BB88" s="68"/>
      <c r="BC88" s="35"/>
      <c r="BD88" s="21"/>
      <c r="BF88" s="21"/>
      <c r="BG88" s="21"/>
      <c r="BK88" s="21"/>
      <c r="BL88" s="21"/>
      <c r="BM88" s="21"/>
      <c r="BN88" s="21"/>
      <c r="BO88" s="21"/>
    </row>
    <row r="89" spans="1:67" ht="14.35" x14ac:dyDescent="0.5">
      <c r="A89" s="8" t="s">
        <v>104</v>
      </c>
      <c r="B89" s="8"/>
      <c r="C89" s="25"/>
      <c r="D89" s="25"/>
      <c r="E89" s="25"/>
      <c r="F89" s="1">
        <v>7</v>
      </c>
      <c r="G89" s="78">
        <v>65</v>
      </c>
      <c r="H89" s="8">
        <v>63</v>
      </c>
      <c r="I89" s="3" t="s">
        <v>171</v>
      </c>
      <c r="J89" s="70"/>
      <c r="K89" s="76">
        <v>127</v>
      </c>
      <c r="L89" s="78"/>
      <c r="M89" s="77">
        <v>46</v>
      </c>
      <c r="N89" s="76">
        <f t="shared" si="7"/>
        <v>13.8</v>
      </c>
      <c r="O89" s="76">
        <f t="shared" si="8"/>
        <v>76.2</v>
      </c>
      <c r="P89" s="76">
        <f t="shared" si="9"/>
        <v>0</v>
      </c>
      <c r="Q89" s="76">
        <f t="shared" si="10"/>
        <v>0</v>
      </c>
      <c r="R89" s="65">
        <f t="shared" si="11"/>
        <v>0.36</v>
      </c>
      <c r="S89" s="65">
        <f>IF(R89&gt;0.6,+R89-0.6,0)</f>
        <v>0</v>
      </c>
      <c r="T89" s="34">
        <f>ROUND(S89*K89,2)</f>
        <v>0</v>
      </c>
      <c r="U89" s="34">
        <f t="shared" si="12"/>
        <v>0</v>
      </c>
      <c r="V89" s="77">
        <v>0</v>
      </c>
      <c r="W89" s="76">
        <f t="shared" si="13"/>
        <v>0</v>
      </c>
      <c r="X89" s="36">
        <f>ROUND(M89*$X$2,2)</f>
        <v>13.8</v>
      </c>
      <c r="Y89" s="9">
        <f t="shared" si="14"/>
        <v>140.80000000000001</v>
      </c>
      <c r="Z89" s="76">
        <v>217460618.66999999</v>
      </c>
      <c r="AA89" s="77">
        <v>1861</v>
      </c>
      <c r="AB89" s="17">
        <f t="shared" si="3"/>
        <v>116851.49</v>
      </c>
      <c r="AC89" s="37">
        <f t="shared" si="4"/>
        <v>0.60693600000000003</v>
      </c>
      <c r="AD89" s="77">
        <v>75288</v>
      </c>
      <c r="AE89" s="37">
        <f t="shared" si="5"/>
        <v>0.62482599999999999</v>
      </c>
      <c r="AF89" s="37">
        <f t="shared" si="23"/>
        <v>0.38769700000000001</v>
      </c>
      <c r="AG89" s="71">
        <f t="shared" si="15"/>
        <v>0.38769700000000001</v>
      </c>
      <c r="AH89" s="38">
        <f>IF(G89&gt;=1,IF(G89&lt;=5,0.06,IF(G89&lt;=10,0.05,IF(G89&lt;=15,0.04,IF(G89&lt;=19,0.03,0)))),0)</f>
        <v>0</v>
      </c>
      <c r="AI89" s="74">
        <f t="shared" si="16"/>
        <v>0.38769700000000001</v>
      </c>
      <c r="AJ89" s="77">
        <v>61</v>
      </c>
      <c r="AK89" s="77">
        <v>6</v>
      </c>
      <c r="AL89" s="11">
        <f t="shared" si="17"/>
        <v>36600</v>
      </c>
      <c r="AM89" s="83"/>
      <c r="AN89" s="84"/>
      <c r="AO89" s="11">
        <f t="shared" si="18"/>
        <v>0</v>
      </c>
      <c r="AP89" s="11">
        <f>ROUND(Y89*AI89*$AP$21,0)</f>
        <v>629124</v>
      </c>
      <c r="AQ89" s="11">
        <f t="shared" si="19"/>
        <v>665724</v>
      </c>
      <c r="AR89" s="35">
        <v>1312383</v>
      </c>
      <c r="AS89" s="11">
        <f t="shared" si="20"/>
        <v>646659</v>
      </c>
      <c r="AT89" s="72" t="str">
        <f t="shared" si="21"/>
        <v>No</v>
      </c>
      <c r="AU89" s="77">
        <v>1058408</v>
      </c>
      <c r="AV89" s="35">
        <f t="shared" si="22"/>
        <v>0</v>
      </c>
      <c r="AW89" s="35">
        <f t="shared" si="6"/>
        <v>1058408</v>
      </c>
      <c r="AX89" s="35">
        <f>IF(C89=1,MAX(AW89,AR89),AW89)</f>
        <v>1058408</v>
      </c>
      <c r="AY89" s="66"/>
      <c r="AZ89" s="67"/>
      <c r="BA89" s="35"/>
      <c r="BB89" s="68"/>
      <c r="BC89" s="35"/>
      <c r="BD89" s="21"/>
      <c r="BF89" s="21"/>
      <c r="BG89" s="21"/>
      <c r="BK89" s="21"/>
      <c r="BL89" s="21"/>
      <c r="BM89" s="21"/>
      <c r="BN89" s="21"/>
      <c r="BO89" s="21"/>
    </row>
    <row r="90" spans="1:67" ht="14.35" x14ac:dyDescent="0.5">
      <c r="A90" s="8" t="s">
        <v>120</v>
      </c>
      <c r="B90" s="8">
        <v>1</v>
      </c>
      <c r="C90" s="25">
        <v>1</v>
      </c>
      <c r="D90" s="25">
        <v>0</v>
      </c>
      <c r="E90" s="25">
        <v>1</v>
      </c>
      <c r="F90" s="1">
        <v>10</v>
      </c>
      <c r="G90" s="79">
        <v>1</v>
      </c>
      <c r="H90" s="8">
        <v>64</v>
      </c>
      <c r="I90" s="3" t="s">
        <v>172</v>
      </c>
      <c r="J90" s="70"/>
      <c r="K90" s="76">
        <v>19083.37</v>
      </c>
      <c r="L90" s="79"/>
      <c r="M90" s="77">
        <v>17335</v>
      </c>
      <c r="N90" s="76">
        <f t="shared" si="7"/>
        <v>5200.5</v>
      </c>
      <c r="O90" s="76">
        <f t="shared" si="8"/>
        <v>11450.02</v>
      </c>
      <c r="P90" s="76">
        <f t="shared" si="9"/>
        <v>5884.98</v>
      </c>
      <c r="Q90" s="76">
        <f t="shared" si="10"/>
        <v>882.75</v>
      </c>
      <c r="R90" s="65">
        <f t="shared" si="11"/>
        <v>0.91</v>
      </c>
      <c r="S90" s="65">
        <f>IF(R90&gt;0.6,+R90-0.6,0)</f>
        <v>0.31000000000000005</v>
      </c>
      <c r="T90" s="34">
        <f>ROUND(S90*K90,2)</f>
        <v>5915.84</v>
      </c>
      <c r="U90" s="34">
        <f t="shared" si="12"/>
        <v>887.38</v>
      </c>
      <c r="V90" s="77">
        <v>4263</v>
      </c>
      <c r="W90" s="76">
        <f t="shared" si="13"/>
        <v>1065.75</v>
      </c>
      <c r="X90" s="36">
        <f>ROUND(M90*$X$2,2)</f>
        <v>5200.5</v>
      </c>
      <c r="Y90" s="9">
        <f t="shared" si="14"/>
        <v>26232.37</v>
      </c>
      <c r="Z90" s="76">
        <v>6954044431.3299999</v>
      </c>
      <c r="AA90" s="77">
        <v>123628</v>
      </c>
      <c r="AB90" s="17">
        <f t="shared" si="3"/>
        <v>56249.75</v>
      </c>
      <c r="AC90" s="37">
        <f t="shared" si="4"/>
        <v>0.29216599999999998</v>
      </c>
      <c r="AD90" s="77">
        <v>34338</v>
      </c>
      <c r="AE90" s="37">
        <f t="shared" si="5"/>
        <v>0.28497600000000001</v>
      </c>
      <c r="AF90" s="37">
        <f t="shared" si="23"/>
        <v>0.70999100000000004</v>
      </c>
      <c r="AG90" s="71">
        <f t="shared" si="15"/>
        <v>0.70999100000000004</v>
      </c>
      <c r="AH90" s="38">
        <f>IF(G90&gt;=1,IF(G90&lt;=5,0.06,IF(G90&lt;=10,0.05,IF(G90&lt;=15,0.04,IF(G90&lt;=19,0.03,0)))),0)</f>
        <v>0.06</v>
      </c>
      <c r="AI90" s="74">
        <f t="shared" si="16"/>
        <v>0.76999100000000009</v>
      </c>
      <c r="AJ90" s="77">
        <v>0</v>
      </c>
      <c r="AK90" s="77">
        <v>0</v>
      </c>
      <c r="AL90" s="11">
        <f t="shared" si="17"/>
        <v>0</v>
      </c>
      <c r="AM90" s="83"/>
      <c r="AN90" s="84"/>
      <c r="AO90" s="11">
        <f t="shared" si="18"/>
        <v>0</v>
      </c>
      <c r="AP90" s="11">
        <f>ROUND(Y90*AI90*$AP$21,0)</f>
        <v>232789889</v>
      </c>
      <c r="AQ90" s="11">
        <f t="shared" si="19"/>
        <v>232789889</v>
      </c>
      <c r="AR90" s="35">
        <v>200518244</v>
      </c>
      <c r="AS90" s="11">
        <f t="shared" si="20"/>
        <v>32271645</v>
      </c>
      <c r="AT90" s="72" t="str">
        <f t="shared" si="21"/>
        <v>Yes</v>
      </c>
      <c r="AU90" s="77">
        <v>209104777</v>
      </c>
      <c r="AV90" s="35">
        <f t="shared" si="22"/>
        <v>3440157.3569999998</v>
      </c>
      <c r="AW90" s="35">
        <f t="shared" si="6"/>
        <v>212544934.35699999</v>
      </c>
      <c r="AX90" s="35">
        <f>IF(C90=1,MAX(AW90,AR90),AW90)</f>
        <v>212544934.35699999</v>
      </c>
      <c r="AY90" s="66"/>
      <c r="AZ90" s="67"/>
      <c r="BA90" s="35"/>
      <c r="BB90" s="68"/>
      <c r="BC90" s="35"/>
      <c r="BD90" s="21"/>
      <c r="BF90" s="21"/>
      <c r="BG90" s="21"/>
      <c r="BK90" s="21"/>
      <c r="BL90" s="21"/>
      <c r="BM90" s="21"/>
      <c r="BN90" s="21"/>
      <c r="BO90" s="21"/>
    </row>
    <row r="91" spans="1:67" ht="14.35" x14ac:dyDescent="0.5">
      <c r="A91" s="8" t="s">
        <v>104</v>
      </c>
      <c r="B91" s="8"/>
      <c r="C91" s="25"/>
      <c r="D91" s="25"/>
      <c r="E91" s="25"/>
      <c r="F91" s="1">
        <v>6</v>
      </c>
      <c r="G91" s="78">
        <v>124</v>
      </c>
      <c r="H91" s="8">
        <v>65</v>
      </c>
      <c r="I91" s="3" t="s">
        <v>173</v>
      </c>
      <c r="J91" s="70"/>
      <c r="K91" s="76">
        <v>229.67</v>
      </c>
      <c r="L91" s="78"/>
      <c r="M91" s="77">
        <v>46</v>
      </c>
      <c r="N91" s="76">
        <f t="shared" si="7"/>
        <v>13.8</v>
      </c>
      <c r="O91" s="76">
        <f t="shared" si="8"/>
        <v>137.80000000000001</v>
      </c>
      <c r="P91" s="76">
        <f t="shared" si="9"/>
        <v>0</v>
      </c>
      <c r="Q91" s="76">
        <f t="shared" si="10"/>
        <v>0</v>
      </c>
      <c r="R91" s="65">
        <f t="shared" si="11"/>
        <v>0.2</v>
      </c>
      <c r="S91" s="65">
        <f>IF(R91&gt;0.6,+R91-0.6,0)</f>
        <v>0</v>
      </c>
      <c r="T91" s="34">
        <f>ROUND(S91*K91,2)</f>
        <v>0</v>
      </c>
      <c r="U91" s="34">
        <f t="shared" si="12"/>
        <v>0</v>
      </c>
      <c r="V91" s="77">
        <v>2</v>
      </c>
      <c r="W91" s="76">
        <f t="shared" si="13"/>
        <v>0.5</v>
      </c>
      <c r="X91" s="36">
        <f>ROUND(M91*$X$2,2)</f>
        <v>13.8</v>
      </c>
      <c r="Y91" s="9">
        <f t="shared" si="14"/>
        <v>243.97</v>
      </c>
      <c r="Z91" s="76">
        <v>297876092.67000002</v>
      </c>
      <c r="AA91" s="77">
        <v>2041</v>
      </c>
      <c r="AB91" s="17">
        <f t="shared" ref="AB91:AB154" si="24">ROUND(Z91/AA91,2)</f>
        <v>145946.15</v>
      </c>
      <c r="AC91" s="37">
        <f t="shared" ref="AC91:AC154" si="25">(ROUND(AB91/$AC$21,6))</f>
        <v>0.75805599999999995</v>
      </c>
      <c r="AD91" s="77">
        <v>95259</v>
      </c>
      <c r="AE91" s="37">
        <f t="shared" ref="AE91:AE154" si="26">(ROUND(AD91/$AE$21,6))</f>
        <v>0.79056899999999997</v>
      </c>
      <c r="AF91" s="37">
        <f t="shared" si="23"/>
        <v>0.23219000000000001</v>
      </c>
      <c r="AG91" s="71">
        <f t="shared" si="15"/>
        <v>0.23219000000000001</v>
      </c>
      <c r="AH91" s="38">
        <f>IF(G91&gt;=1,IF(G91&lt;=5,0.06,IF(G91&lt;=10,0.05,IF(G91&lt;=15,0.04,IF(G91&lt;=19,0.03,0)))),0)</f>
        <v>0</v>
      </c>
      <c r="AI91" s="74">
        <f t="shared" si="16"/>
        <v>0.23219000000000001</v>
      </c>
      <c r="AJ91" s="77">
        <v>0</v>
      </c>
      <c r="AK91" s="77">
        <v>0</v>
      </c>
      <c r="AL91" s="11">
        <f t="shared" si="17"/>
        <v>0</v>
      </c>
      <c r="AM91" s="83">
        <v>1</v>
      </c>
      <c r="AN91" s="84">
        <v>6</v>
      </c>
      <c r="AO91" s="11">
        <f t="shared" si="18"/>
        <v>600</v>
      </c>
      <c r="AP91" s="11">
        <f>ROUND(Y91*AI91*$AP$21,0)</f>
        <v>652861</v>
      </c>
      <c r="AQ91" s="11">
        <f t="shared" si="19"/>
        <v>653461</v>
      </c>
      <c r="AR91" s="35">
        <v>1327652</v>
      </c>
      <c r="AS91" s="11">
        <f t="shared" si="20"/>
        <v>674191</v>
      </c>
      <c r="AT91" s="72" t="str">
        <f t="shared" si="21"/>
        <v>No</v>
      </c>
      <c r="AU91" s="77">
        <v>1071722</v>
      </c>
      <c r="AV91" s="35">
        <f t="shared" si="22"/>
        <v>0</v>
      </c>
      <c r="AW91" s="35">
        <f t="shared" ref="AW91:AW154" si="27">IF(AT91="Yes",+AU91+AV91,+AU91-AV91)</f>
        <v>1071722</v>
      </c>
      <c r="AX91" s="35">
        <f>IF(C91=1,MAX(AW91,AR91),AW91)</f>
        <v>1071722</v>
      </c>
      <c r="AY91" s="66"/>
      <c r="AZ91" s="67"/>
      <c r="BA91" s="35"/>
      <c r="BB91" s="68"/>
      <c r="BC91" s="35"/>
      <c r="BD91" s="21"/>
      <c r="BF91" s="21"/>
      <c r="BG91" s="21"/>
      <c r="BK91" s="21"/>
      <c r="BL91" s="21"/>
      <c r="BM91" s="21"/>
      <c r="BN91" s="21"/>
      <c r="BO91" s="21"/>
    </row>
    <row r="92" spans="1:67" ht="14.35" x14ac:dyDescent="0.5">
      <c r="A92" s="8" t="s">
        <v>100</v>
      </c>
      <c r="B92" s="8"/>
      <c r="C92" s="25"/>
      <c r="D92" s="25"/>
      <c r="E92" s="25"/>
      <c r="F92" s="1">
        <v>5</v>
      </c>
      <c r="G92" s="78">
        <v>116</v>
      </c>
      <c r="H92" s="8">
        <v>66</v>
      </c>
      <c r="I92" s="3" t="s">
        <v>174</v>
      </c>
      <c r="J92" s="70"/>
      <c r="K92" s="76">
        <v>763.32</v>
      </c>
      <c r="L92" s="78"/>
      <c r="M92" s="77">
        <v>130</v>
      </c>
      <c r="N92" s="76">
        <f t="shared" ref="N92:N155" si="28">ROUND(M92*0.3,2)</f>
        <v>39</v>
      </c>
      <c r="O92" s="76">
        <f t="shared" ref="O92:O155" si="29">ROUND(K92*0.6,2)</f>
        <v>457.99</v>
      </c>
      <c r="P92" s="76">
        <f t="shared" ref="P92:P155" si="30">MAX(M92-O92,0)</f>
        <v>0</v>
      </c>
      <c r="Q92" s="76">
        <f t="shared" ref="Q92:Q155" si="31">ROUND(P92*0.15,2)</f>
        <v>0</v>
      </c>
      <c r="R92" s="65">
        <f t="shared" ref="R92:R155" si="32">ROUND(M92/K92,2)</f>
        <v>0.17</v>
      </c>
      <c r="S92" s="65">
        <f>IF(R92&gt;0.6,+R92-0.6,0)</f>
        <v>0</v>
      </c>
      <c r="T92" s="34">
        <f>ROUND(S92*K92,2)</f>
        <v>0</v>
      </c>
      <c r="U92" s="34">
        <f t="shared" ref="U92:U155" si="33">ROUND(T92*0.15,2)</f>
        <v>0</v>
      </c>
      <c r="V92" s="77">
        <v>2</v>
      </c>
      <c r="W92" s="76">
        <f t="shared" ref="W92:W155" si="34">ROUND(V92*0.25,2)</f>
        <v>0.5</v>
      </c>
      <c r="X92" s="36">
        <f>ROUND(M92*$X$2,2)</f>
        <v>39</v>
      </c>
      <c r="Y92" s="9">
        <f t="shared" ref="Y92:Y155" si="35">+K92+N92+Q92+W92</f>
        <v>802.82</v>
      </c>
      <c r="Z92" s="76">
        <v>824633269</v>
      </c>
      <c r="AA92" s="77">
        <v>5469</v>
      </c>
      <c r="AB92" s="17">
        <f t="shared" si="24"/>
        <v>150783.19</v>
      </c>
      <c r="AC92" s="37">
        <f t="shared" si="25"/>
        <v>0.78317999999999999</v>
      </c>
      <c r="AD92" s="77">
        <v>108355</v>
      </c>
      <c r="AE92" s="37">
        <f t="shared" si="26"/>
        <v>0.89925500000000003</v>
      </c>
      <c r="AF92" s="37">
        <f t="shared" si="23"/>
        <v>0.18199799999999999</v>
      </c>
      <c r="AG92" s="71">
        <f t="shared" ref="AG92:AG155" si="36">IF(C92=1,MAX($L$7,AF92),MAX($L$6,AF92))</f>
        <v>0.18199799999999999</v>
      </c>
      <c r="AH92" s="38">
        <f>IF(G92&gt;=1,IF(G92&lt;=5,0.06,IF(G92&lt;=10,0.05,IF(G92&lt;=15,0.04,IF(G92&lt;=19,0.03,0)))),0)</f>
        <v>0</v>
      </c>
      <c r="AI92" s="74">
        <f t="shared" ref="AI92:AI155" si="37">+AH92+AG92</f>
        <v>0.18199799999999999</v>
      </c>
      <c r="AJ92" s="77">
        <v>763</v>
      </c>
      <c r="AK92" s="77">
        <v>13</v>
      </c>
      <c r="AL92" s="11">
        <f t="shared" ref="AL92:AL155" si="38">ROUND(AJ92*AK92*100,0)</f>
        <v>991900</v>
      </c>
      <c r="AM92" s="83"/>
      <c r="AN92" s="84"/>
      <c r="AO92" s="11">
        <f t="shared" ref="AO92:AO155" si="39">ROUND(AM92*AN92*100,0)</f>
        <v>0</v>
      </c>
      <c r="AP92" s="11">
        <f>ROUND(Y92*AI92*$AP$21,0)</f>
        <v>1683937</v>
      </c>
      <c r="AQ92" s="11">
        <f t="shared" ref="AQ92:AQ155" si="40">SUM(AL92+AO92+AP92)</f>
        <v>2675837</v>
      </c>
      <c r="AR92" s="35">
        <v>2708774</v>
      </c>
      <c r="AS92" s="11">
        <f t="shared" ref="AS92:AS155" si="41">ABS(SUM(AR92,-AQ92))</f>
        <v>32937</v>
      </c>
      <c r="AT92" s="72" t="str">
        <f t="shared" ref="AT92:AT155" si="42">IF(AQ92&gt;AR92,"Yes","No")</f>
        <v>No</v>
      </c>
      <c r="AU92" s="77">
        <v>2430050</v>
      </c>
      <c r="AV92" s="35">
        <f t="shared" ref="AV92:AV155" si="43">IF(AT92="Yes",+AS92*$L$9,0)</f>
        <v>0</v>
      </c>
      <c r="AW92" s="35">
        <f t="shared" si="27"/>
        <v>2430050</v>
      </c>
      <c r="AX92" s="35">
        <f>IF(C92=1,MAX(AW92,AR92),AW92)</f>
        <v>2430050</v>
      </c>
      <c r="AY92" s="66"/>
      <c r="AZ92" s="67"/>
      <c r="BA92" s="35"/>
      <c r="BB92" s="68"/>
      <c r="BC92" s="35"/>
      <c r="BD92" s="21"/>
      <c r="BF92" s="21"/>
      <c r="BG92" s="21"/>
      <c r="BK92" s="21"/>
      <c r="BL92" s="21"/>
      <c r="BM92" s="21"/>
      <c r="BN92" s="21"/>
      <c r="BO92" s="21"/>
    </row>
    <row r="93" spans="1:67" ht="14.35" x14ac:dyDescent="0.5">
      <c r="A93" s="8" t="s">
        <v>100</v>
      </c>
      <c r="B93" s="8"/>
      <c r="C93" s="25"/>
      <c r="D93" s="25"/>
      <c r="E93" s="25"/>
      <c r="F93" s="1">
        <v>4</v>
      </c>
      <c r="G93" s="78">
        <v>94</v>
      </c>
      <c r="H93" s="8">
        <v>67</v>
      </c>
      <c r="I93" s="3" t="s">
        <v>175</v>
      </c>
      <c r="J93" s="70"/>
      <c r="K93" s="76">
        <v>1246.25</v>
      </c>
      <c r="L93" s="78"/>
      <c r="M93" s="77">
        <v>190</v>
      </c>
      <c r="N93" s="76">
        <f t="shared" si="28"/>
        <v>57</v>
      </c>
      <c r="O93" s="76">
        <f t="shared" si="29"/>
        <v>747.75</v>
      </c>
      <c r="P93" s="76">
        <f t="shared" si="30"/>
        <v>0</v>
      </c>
      <c r="Q93" s="76">
        <f t="shared" si="31"/>
        <v>0</v>
      </c>
      <c r="R93" s="65">
        <f t="shared" si="32"/>
        <v>0.15</v>
      </c>
      <c r="S93" s="65">
        <f>IF(R93&gt;0.6,+R93-0.6,0)</f>
        <v>0</v>
      </c>
      <c r="T93" s="34">
        <f>ROUND(S93*K93,2)</f>
        <v>0</v>
      </c>
      <c r="U93" s="34">
        <f t="shared" si="33"/>
        <v>0</v>
      </c>
      <c r="V93" s="77">
        <v>5</v>
      </c>
      <c r="W93" s="76">
        <f t="shared" si="34"/>
        <v>1.25</v>
      </c>
      <c r="X93" s="36">
        <f>ROUND(M93*$X$2,2)</f>
        <v>57</v>
      </c>
      <c r="Y93" s="9">
        <f t="shared" si="35"/>
        <v>1304.5</v>
      </c>
      <c r="Z93" s="76">
        <v>1140486974.6700001</v>
      </c>
      <c r="AA93" s="77">
        <v>9522</v>
      </c>
      <c r="AB93" s="17">
        <f t="shared" si="24"/>
        <v>119773.89</v>
      </c>
      <c r="AC93" s="37">
        <f t="shared" si="25"/>
        <v>0.62211499999999997</v>
      </c>
      <c r="AD93" s="77">
        <v>110938</v>
      </c>
      <c r="AE93" s="37">
        <f t="shared" si="26"/>
        <v>0.92069100000000004</v>
      </c>
      <c r="AF93" s="37">
        <f t="shared" ref="AF93:AF156" si="44">ROUND(1-((AC93*$L$4)+(AE93*$L$5)),6)</f>
        <v>0.28831200000000001</v>
      </c>
      <c r="AG93" s="71">
        <f t="shared" si="36"/>
        <v>0.28831200000000001</v>
      </c>
      <c r="AH93" s="38">
        <f>IF(G93&gt;=1,IF(G93&lt;=5,0.06,IF(G93&lt;=10,0.05,IF(G93&lt;=15,0.04,IF(G93&lt;=19,0.03,0)))),0)</f>
        <v>0</v>
      </c>
      <c r="AI93" s="74">
        <f t="shared" si="37"/>
        <v>0.28831200000000001</v>
      </c>
      <c r="AJ93" s="77">
        <v>640</v>
      </c>
      <c r="AK93" s="77">
        <v>6</v>
      </c>
      <c r="AL93" s="11">
        <f t="shared" si="38"/>
        <v>384000</v>
      </c>
      <c r="AM93" s="83"/>
      <c r="AN93" s="84"/>
      <c r="AO93" s="11">
        <f t="shared" si="39"/>
        <v>0</v>
      </c>
      <c r="AP93" s="11">
        <f>ROUND(Y93*AI93*$AP$21,0)</f>
        <v>4334587</v>
      </c>
      <c r="AQ93" s="11">
        <f t="shared" si="40"/>
        <v>4718587</v>
      </c>
      <c r="AR93" s="35">
        <v>6875123</v>
      </c>
      <c r="AS93" s="11">
        <f t="shared" si="41"/>
        <v>2156536</v>
      </c>
      <c r="AT93" s="72" t="str">
        <f t="shared" si="42"/>
        <v>No</v>
      </c>
      <c r="AU93" s="77">
        <v>5997693</v>
      </c>
      <c r="AV93" s="35">
        <f t="shared" si="43"/>
        <v>0</v>
      </c>
      <c r="AW93" s="35">
        <f t="shared" si="27"/>
        <v>5997693</v>
      </c>
      <c r="AX93" s="35">
        <f>IF(C93=1,MAX(AW93,AR93),AW93)</f>
        <v>5997693</v>
      </c>
      <c r="AY93" s="66"/>
      <c r="AZ93" s="67"/>
      <c r="BA93" s="35"/>
      <c r="BB93" s="68"/>
      <c r="BC93" s="35"/>
      <c r="BD93" s="21"/>
      <c r="BF93" s="21"/>
      <c r="BG93" s="21"/>
      <c r="BK93" s="21"/>
      <c r="BL93" s="21"/>
      <c r="BM93" s="21"/>
      <c r="BN93" s="21"/>
      <c r="BO93" s="21"/>
    </row>
    <row r="94" spans="1:67" ht="14.35" x14ac:dyDescent="0.5">
      <c r="A94" s="8" t="s">
        <v>104</v>
      </c>
      <c r="B94" s="8"/>
      <c r="C94" s="25"/>
      <c r="D94" s="25"/>
      <c r="E94" s="25"/>
      <c r="F94" s="1">
        <v>2</v>
      </c>
      <c r="G94" s="78">
        <v>143</v>
      </c>
      <c r="H94" s="8">
        <v>68</v>
      </c>
      <c r="I94" s="3" t="s">
        <v>176</v>
      </c>
      <c r="J94" s="70"/>
      <c r="K94" s="76">
        <v>235.69</v>
      </c>
      <c r="L94" s="78"/>
      <c r="M94" s="77">
        <v>63</v>
      </c>
      <c r="N94" s="76">
        <f t="shared" si="28"/>
        <v>18.899999999999999</v>
      </c>
      <c r="O94" s="76">
        <f t="shared" si="29"/>
        <v>141.41</v>
      </c>
      <c r="P94" s="76">
        <f t="shared" si="30"/>
        <v>0</v>
      </c>
      <c r="Q94" s="76">
        <f t="shared" si="31"/>
        <v>0</v>
      </c>
      <c r="R94" s="65">
        <f t="shared" si="32"/>
        <v>0.27</v>
      </c>
      <c r="S94" s="65">
        <f>IF(R94&gt;0.6,+R94-0.6,0)</f>
        <v>0</v>
      </c>
      <c r="T94" s="34">
        <f>ROUND(S94*K94,2)</f>
        <v>0</v>
      </c>
      <c r="U94" s="34">
        <f t="shared" si="33"/>
        <v>0</v>
      </c>
      <c r="V94" s="77">
        <v>2</v>
      </c>
      <c r="W94" s="76">
        <f t="shared" si="34"/>
        <v>0.5</v>
      </c>
      <c r="X94" s="36">
        <f>ROUND(M94*$X$2,2)</f>
        <v>18.899999999999999</v>
      </c>
      <c r="Y94" s="9">
        <f t="shared" si="35"/>
        <v>255.09</v>
      </c>
      <c r="Z94" s="76">
        <v>872480191</v>
      </c>
      <c r="AA94" s="77">
        <v>2824</v>
      </c>
      <c r="AB94" s="17">
        <f t="shared" si="24"/>
        <v>308951.90999999997</v>
      </c>
      <c r="AC94" s="37">
        <f t="shared" si="25"/>
        <v>1.604722</v>
      </c>
      <c r="AD94" s="77">
        <v>65985</v>
      </c>
      <c r="AE94" s="37">
        <f t="shared" si="26"/>
        <v>0.54761899999999997</v>
      </c>
      <c r="AF94" s="37">
        <f t="shared" si="44"/>
        <v>-0.28759099999999999</v>
      </c>
      <c r="AG94" s="71">
        <f t="shared" si="36"/>
        <v>0.01</v>
      </c>
      <c r="AH94" s="38">
        <f>IF(G94&gt;=1,IF(G94&lt;=5,0.06,IF(G94&lt;=10,0.05,IF(G94&lt;=15,0.04,IF(G94&lt;=19,0.03,0)))),0)</f>
        <v>0</v>
      </c>
      <c r="AI94" s="74">
        <f t="shared" si="37"/>
        <v>0.01</v>
      </c>
      <c r="AJ94" s="77">
        <v>44</v>
      </c>
      <c r="AK94" s="77">
        <v>4</v>
      </c>
      <c r="AL94" s="11">
        <f t="shared" si="38"/>
        <v>17600</v>
      </c>
      <c r="AM94" s="83"/>
      <c r="AN94" s="84"/>
      <c r="AO94" s="11">
        <f t="shared" si="39"/>
        <v>0</v>
      </c>
      <c r="AP94" s="11">
        <f>ROUND(Y94*AI94*$AP$21,0)</f>
        <v>29399</v>
      </c>
      <c r="AQ94" s="11">
        <f t="shared" si="40"/>
        <v>46999</v>
      </c>
      <c r="AR94" s="35">
        <v>25634</v>
      </c>
      <c r="AS94" s="11">
        <f t="shared" si="41"/>
        <v>21365</v>
      </c>
      <c r="AT94" s="72" t="str">
        <f t="shared" si="42"/>
        <v>Yes</v>
      </c>
      <c r="AU94" s="77">
        <v>27594</v>
      </c>
      <c r="AV94" s="35">
        <f t="shared" si="43"/>
        <v>2277.509</v>
      </c>
      <c r="AW94" s="35">
        <f t="shared" si="27"/>
        <v>29871.508999999998</v>
      </c>
      <c r="AX94" s="35">
        <f>IF(C94=1,MAX(AW94,AR94),AW94)</f>
        <v>29871.508999999998</v>
      </c>
      <c r="AY94" s="66"/>
      <c r="AZ94" s="67"/>
      <c r="BA94" s="35"/>
      <c r="BB94" s="68"/>
      <c r="BC94" s="35"/>
      <c r="BD94" s="21"/>
      <c r="BF94" s="21"/>
      <c r="BG94" s="21"/>
      <c r="BK94" s="21"/>
      <c r="BL94" s="21"/>
      <c r="BM94" s="21"/>
      <c r="BN94" s="21"/>
      <c r="BO94" s="21"/>
    </row>
    <row r="95" spans="1:67" ht="14.35" x14ac:dyDescent="0.5">
      <c r="A95" s="8" t="s">
        <v>115</v>
      </c>
      <c r="B95" s="8"/>
      <c r="C95" s="25">
        <v>1</v>
      </c>
      <c r="D95" s="25">
        <v>1</v>
      </c>
      <c r="E95" s="25"/>
      <c r="F95" s="1">
        <v>10</v>
      </c>
      <c r="G95" s="79">
        <v>29</v>
      </c>
      <c r="H95" s="8">
        <v>69</v>
      </c>
      <c r="I95" s="3" t="s">
        <v>177</v>
      </c>
      <c r="J95" s="70"/>
      <c r="K95" s="76">
        <v>2115.8200000000002</v>
      </c>
      <c r="L95" s="79"/>
      <c r="M95" s="77">
        <v>1026</v>
      </c>
      <c r="N95" s="76">
        <f t="shared" si="28"/>
        <v>307.8</v>
      </c>
      <c r="O95" s="76">
        <f t="shared" si="29"/>
        <v>1269.49</v>
      </c>
      <c r="P95" s="76">
        <f t="shared" si="30"/>
        <v>0</v>
      </c>
      <c r="Q95" s="76">
        <f t="shared" si="31"/>
        <v>0</v>
      </c>
      <c r="R95" s="65">
        <f t="shared" si="32"/>
        <v>0.48</v>
      </c>
      <c r="S95" s="65">
        <f>IF(R95&gt;0.6,+R95-0.6,0)</f>
        <v>0</v>
      </c>
      <c r="T95" s="34">
        <f>ROUND(S95*K95,2)</f>
        <v>0</v>
      </c>
      <c r="U95" s="34">
        <f t="shared" si="33"/>
        <v>0</v>
      </c>
      <c r="V95" s="77">
        <v>64</v>
      </c>
      <c r="W95" s="76">
        <f t="shared" si="34"/>
        <v>16</v>
      </c>
      <c r="X95" s="36">
        <f>ROUND(M95*$X$2,2)</f>
        <v>307.8</v>
      </c>
      <c r="Y95" s="9">
        <f t="shared" si="35"/>
        <v>2439.6200000000003</v>
      </c>
      <c r="Z95" s="76">
        <v>1976101967.6700001</v>
      </c>
      <c r="AA95" s="77">
        <v>17170</v>
      </c>
      <c r="AB95" s="17">
        <f t="shared" si="24"/>
        <v>115090.39</v>
      </c>
      <c r="AC95" s="37">
        <f t="shared" si="25"/>
        <v>0.59778900000000001</v>
      </c>
      <c r="AD95" s="77">
        <v>61709</v>
      </c>
      <c r="AE95" s="37">
        <f t="shared" si="26"/>
        <v>0.51213200000000003</v>
      </c>
      <c r="AF95" s="37">
        <f t="shared" si="44"/>
        <v>0.42790800000000001</v>
      </c>
      <c r="AG95" s="71">
        <f t="shared" si="36"/>
        <v>0.42790800000000001</v>
      </c>
      <c r="AH95" s="38">
        <f>IF(G95&gt;=1,IF(G95&lt;=5,0.06,IF(G95&lt;=10,0.05,IF(G95&lt;=15,0.04,IF(G95&lt;=19,0.03,0)))),0)</f>
        <v>0</v>
      </c>
      <c r="AI95" s="74">
        <f t="shared" si="37"/>
        <v>0.42790800000000001</v>
      </c>
      <c r="AJ95" s="77">
        <v>0</v>
      </c>
      <c r="AK95" s="77">
        <v>0</v>
      </c>
      <c r="AL95" s="11">
        <f t="shared" si="38"/>
        <v>0</v>
      </c>
      <c r="AM95" s="83"/>
      <c r="AN95" s="84"/>
      <c r="AO95" s="11">
        <f t="shared" si="39"/>
        <v>0</v>
      </c>
      <c r="AP95" s="11">
        <f>ROUND(Y95*AI95*$AP$21,0)</f>
        <v>12031327</v>
      </c>
      <c r="AQ95" s="11">
        <f t="shared" si="40"/>
        <v>12031327</v>
      </c>
      <c r="AR95" s="35">
        <v>15574402</v>
      </c>
      <c r="AS95" s="11">
        <f t="shared" si="41"/>
        <v>3543075</v>
      </c>
      <c r="AT95" s="72" t="str">
        <f t="shared" si="42"/>
        <v>No</v>
      </c>
      <c r="AU95" s="77">
        <v>15574402</v>
      </c>
      <c r="AV95" s="35">
        <f t="shared" si="43"/>
        <v>0</v>
      </c>
      <c r="AW95" s="35">
        <f t="shared" si="27"/>
        <v>15574402</v>
      </c>
      <c r="AX95" s="35">
        <f>IF(C95=1,MAX(AW95,AR95),AW95)</f>
        <v>15574402</v>
      </c>
      <c r="AY95" s="66"/>
      <c r="AZ95" s="67"/>
      <c r="BA95" s="35"/>
      <c r="BB95" s="68"/>
      <c r="BC95" s="35"/>
      <c r="BD95" s="21"/>
      <c r="BF95" s="21"/>
      <c r="BG95" s="21"/>
      <c r="BK95" s="21"/>
      <c r="BL95" s="21"/>
      <c r="BM95" s="21"/>
      <c r="BN95" s="21"/>
      <c r="BO95" s="21"/>
    </row>
    <row r="96" spans="1:67" ht="14.35" x14ac:dyDescent="0.5">
      <c r="A96" s="8" t="s">
        <v>100</v>
      </c>
      <c r="B96" s="8"/>
      <c r="C96" s="25"/>
      <c r="D96" s="25"/>
      <c r="E96" s="25"/>
      <c r="F96" s="1">
        <v>3</v>
      </c>
      <c r="G96" s="78">
        <v>138</v>
      </c>
      <c r="H96" s="8">
        <v>70</v>
      </c>
      <c r="I96" s="3" t="s">
        <v>178</v>
      </c>
      <c r="J96" s="70"/>
      <c r="K96" s="76">
        <v>732.67</v>
      </c>
      <c r="L96" s="78"/>
      <c r="M96" s="77">
        <v>70</v>
      </c>
      <c r="N96" s="76">
        <f t="shared" si="28"/>
        <v>21</v>
      </c>
      <c r="O96" s="76">
        <f t="shared" si="29"/>
        <v>439.6</v>
      </c>
      <c r="P96" s="76">
        <f t="shared" si="30"/>
        <v>0</v>
      </c>
      <c r="Q96" s="76">
        <f t="shared" si="31"/>
        <v>0</v>
      </c>
      <c r="R96" s="65">
        <f t="shared" si="32"/>
        <v>0.1</v>
      </c>
      <c r="S96" s="65">
        <f>IF(R96&gt;0.6,+R96-0.6,0)</f>
        <v>0</v>
      </c>
      <c r="T96" s="34">
        <f>ROUND(S96*K96,2)</f>
        <v>0</v>
      </c>
      <c r="U96" s="34">
        <f t="shared" si="33"/>
        <v>0</v>
      </c>
      <c r="V96" s="77">
        <v>4</v>
      </c>
      <c r="W96" s="76">
        <f t="shared" si="34"/>
        <v>1</v>
      </c>
      <c r="X96" s="36">
        <f>ROUND(M96*$X$2,2)</f>
        <v>21</v>
      </c>
      <c r="Y96" s="9">
        <f t="shared" si="35"/>
        <v>754.67</v>
      </c>
      <c r="Z96" s="76">
        <v>1017848591.33</v>
      </c>
      <c r="AA96" s="77">
        <v>6414</v>
      </c>
      <c r="AB96" s="17">
        <f t="shared" si="24"/>
        <v>158691.70000000001</v>
      </c>
      <c r="AC96" s="37">
        <f t="shared" si="25"/>
        <v>0.82425800000000005</v>
      </c>
      <c r="AD96" s="77">
        <v>113068</v>
      </c>
      <c r="AE96" s="37">
        <f t="shared" si="26"/>
        <v>0.93836799999999998</v>
      </c>
      <c r="AF96" s="37">
        <f t="shared" si="44"/>
        <v>0.141509</v>
      </c>
      <c r="AG96" s="71">
        <f t="shared" si="36"/>
        <v>0.141509</v>
      </c>
      <c r="AH96" s="38">
        <f>IF(G96&gt;=1,IF(G96&lt;=5,0.06,IF(G96&lt;=10,0.05,IF(G96&lt;=15,0.04,IF(G96&lt;=19,0.03,0)))),0)</f>
        <v>0</v>
      </c>
      <c r="AI96" s="74">
        <f t="shared" si="37"/>
        <v>0.141509</v>
      </c>
      <c r="AJ96" s="77">
        <v>739</v>
      </c>
      <c r="AK96" s="77">
        <v>13</v>
      </c>
      <c r="AL96" s="11">
        <f t="shared" si="38"/>
        <v>960700</v>
      </c>
      <c r="AM96" s="83"/>
      <c r="AN96" s="84"/>
      <c r="AO96" s="11">
        <f t="shared" si="39"/>
        <v>0</v>
      </c>
      <c r="AP96" s="11">
        <f>ROUND(Y96*AI96*$AP$21,0)</f>
        <v>1230785</v>
      </c>
      <c r="AQ96" s="11">
        <f t="shared" si="40"/>
        <v>2191485</v>
      </c>
      <c r="AR96" s="35">
        <v>2173420</v>
      </c>
      <c r="AS96" s="11">
        <f t="shared" si="41"/>
        <v>18065</v>
      </c>
      <c r="AT96" s="72" t="str">
        <f t="shared" si="42"/>
        <v>Yes</v>
      </c>
      <c r="AU96" s="77">
        <v>1677663</v>
      </c>
      <c r="AV96" s="35">
        <f t="shared" si="43"/>
        <v>1925.729</v>
      </c>
      <c r="AW96" s="35">
        <f t="shared" si="27"/>
        <v>1679588.7290000001</v>
      </c>
      <c r="AX96" s="35">
        <f>IF(C96=1,MAX(AW96,AR96),AW96)</f>
        <v>1679588.7290000001</v>
      </c>
      <c r="AY96" s="66"/>
      <c r="AZ96" s="67"/>
      <c r="BA96" s="35"/>
      <c r="BB96" s="68"/>
      <c r="BC96" s="35"/>
      <c r="BD96" s="21"/>
      <c r="BF96" s="21"/>
      <c r="BG96" s="21"/>
      <c r="BK96" s="21"/>
      <c r="BL96" s="21"/>
      <c r="BM96" s="21"/>
      <c r="BN96" s="21"/>
      <c r="BO96" s="21"/>
    </row>
    <row r="97" spans="1:67" ht="14.35" x14ac:dyDescent="0.5">
      <c r="A97" s="8" t="s">
        <v>104</v>
      </c>
      <c r="B97" s="8"/>
      <c r="C97" s="25"/>
      <c r="D97" s="25"/>
      <c r="E97" s="25"/>
      <c r="F97" s="1">
        <v>7</v>
      </c>
      <c r="G97" s="78">
        <v>57</v>
      </c>
      <c r="H97" s="8">
        <v>71</v>
      </c>
      <c r="I97" s="3" t="s">
        <v>179</v>
      </c>
      <c r="J97" s="70"/>
      <c r="K97" s="76">
        <v>894</v>
      </c>
      <c r="L97" s="78"/>
      <c r="M97" s="77">
        <v>258</v>
      </c>
      <c r="N97" s="76">
        <f t="shared" si="28"/>
        <v>77.400000000000006</v>
      </c>
      <c r="O97" s="76">
        <f t="shared" si="29"/>
        <v>536.4</v>
      </c>
      <c r="P97" s="76">
        <f t="shared" si="30"/>
        <v>0</v>
      </c>
      <c r="Q97" s="76">
        <f t="shared" si="31"/>
        <v>0</v>
      </c>
      <c r="R97" s="65">
        <f t="shared" si="32"/>
        <v>0.28999999999999998</v>
      </c>
      <c r="S97" s="65">
        <f>IF(R97&gt;0.6,+R97-0.6,0)</f>
        <v>0</v>
      </c>
      <c r="T97" s="34">
        <f>ROUND(S97*K97,2)</f>
        <v>0</v>
      </c>
      <c r="U97" s="34">
        <f t="shared" si="33"/>
        <v>0</v>
      </c>
      <c r="V97" s="77">
        <v>9</v>
      </c>
      <c r="W97" s="76">
        <f t="shared" si="34"/>
        <v>2.25</v>
      </c>
      <c r="X97" s="36">
        <f>ROUND(M97*$X$2,2)</f>
        <v>77.400000000000006</v>
      </c>
      <c r="Y97" s="9">
        <f t="shared" si="35"/>
        <v>973.65</v>
      </c>
      <c r="Z97" s="76">
        <v>955595158.33000004</v>
      </c>
      <c r="AA97" s="77">
        <v>7256</v>
      </c>
      <c r="AB97" s="17">
        <f t="shared" si="24"/>
        <v>131697.24</v>
      </c>
      <c r="AC97" s="37">
        <f t="shared" si="25"/>
        <v>0.68404600000000004</v>
      </c>
      <c r="AD97" s="77">
        <v>95757</v>
      </c>
      <c r="AE97" s="37">
        <f t="shared" si="26"/>
        <v>0.79470200000000002</v>
      </c>
      <c r="AF97" s="37">
        <f t="shared" si="44"/>
        <v>0.28275699999999998</v>
      </c>
      <c r="AG97" s="71">
        <f t="shared" si="36"/>
        <v>0.28275699999999998</v>
      </c>
      <c r="AH97" s="38">
        <f>IF(G97&gt;=1,IF(G97&lt;=5,0.06,IF(G97&lt;=10,0.05,IF(G97&lt;=15,0.04,IF(G97&lt;=19,0.03,0)))),0)</f>
        <v>0</v>
      </c>
      <c r="AI97" s="74">
        <f t="shared" si="37"/>
        <v>0.28275699999999998</v>
      </c>
      <c r="AJ97" s="77">
        <v>0</v>
      </c>
      <c r="AK97" s="77">
        <v>0</v>
      </c>
      <c r="AL97" s="11">
        <f t="shared" si="38"/>
        <v>0</v>
      </c>
      <c r="AM97" s="83"/>
      <c r="AN97" s="84"/>
      <c r="AO97" s="11">
        <f t="shared" si="39"/>
        <v>0</v>
      </c>
      <c r="AP97" s="11">
        <f>ROUND(Y97*AI97*$AP$21,0)</f>
        <v>3172906</v>
      </c>
      <c r="AQ97" s="11">
        <f t="shared" si="40"/>
        <v>3172906</v>
      </c>
      <c r="AR97" s="35">
        <v>5410404</v>
      </c>
      <c r="AS97" s="11">
        <f t="shared" si="41"/>
        <v>2237498</v>
      </c>
      <c r="AT97" s="72" t="str">
        <f t="shared" si="42"/>
        <v>No</v>
      </c>
      <c r="AU97" s="77">
        <v>4578589</v>
      </c>
      <c r="AV97" s="35">
        <f t="shared" si="43"/>
        <v>0</v>
      </c>
      <c r="AW97" s="35">
        <f t="shared" si="27"/>
        <v>4578589</v>
      </c>
      <c r="AX97" s="35">
        <f>IF(C97=1,MAX(AW97,AR97),AW97)</f>
        <v>4578589</v>
      </c>
      <c r="AY97" s="66"/>
      <c r="AZ97" s="67"/>
      <c r="BA97" s="35"/>
      <c r="BB97" s="68"/>
      <c r="BC97" s="35"/>
      <c r="BD97" s="21"/>
      <c r="BF97" s="21"/>
      <c r="BG97" s="21"/>
      <c r="BK97" s="21"/>
      <c r="BL97" s="21"/>
      <c r="BM97" s="21"/>
      <c r="BN97" s="21"/>
      <c r="BO97" s="21"/>
    </row>
    <row r="98" spans="1:67" ht="14.35" x14ac:dyDescent="0.5">
      <c r="A98" s="8" t="s">
        <v>110</v>
      </c>
      <c r="B98" s="8"/>
      <c r="C98" s="25"/>
      <c r="D98" s="25"/>
      <c r="E98" s="25"/>
      <c r="F98" s="1">
        <v>7</v>
      </c>
      <c r="G98" s="78">
        <v>45</v>
      </c>
      <c r="H98" s="8">
        <v>72</v>
      </c>
      <c r="I98" s="3" t="s">
        <v>180</v>
      </c>
      <c r="J98" s="70"/>
      <c r="K98" s="76">
        <v>2319.91</v>
      </c>
      <c r="L98" s="78"/>
      <c r="M98" s="77">
        <v>666</v>
      </c>
      <c r="N98" s="76">
        <f t="shared" si="28"/>
        <v>199.8</v>
      </c>
      <c r="O98" s="76">
        <f t="shared" si="29"/>
        <v>1391.95</v>
      </c>
      <c r="P98" s="76">
        <f t="shared" si="30"/>
        <v>0</v>
      </c>
      <c r="Q98" s="76">
        <f t="shared" si="31"/>
        <v>0</v>
      </c>
      <c r="R98" s="65">
        <f t="shared" si="32"/>
        <v>0.28999999999999998</v>
      </c>
      <c r="S98" s="65">
        <f>IF(R98&gt;0.6,+R98-0.6,0)</f>
        <v>0</v>
      </c>
      <c r="T98" s="34">
        <f>ROUND(S98*K98,2)</f>
        <v>0</v>
      </c>
      <c r="U98" s="34">
        <f t="shared" si="33"/>
        <v>0</v>
      </c>
      <c r="V98" s="77">
        <v>35</v>
      </c>
      <c r="W98" s="76">
        <f t="shared" si="34"/>
        <v>8.75</v>
      </c>
      <c r="X98" s="36">
        <f>ROUND(M98*$X$2,2)</f>
        <v>199.8</v>
      </c>
      <c r="Y98" s="9">
        <f t="shared" si="35"/>
        <v>2528.46</v>
      </c>
      <c r="Z98" s="76">
        <v>1667846165.3299999</v>
      </c>
      <c r="AA98" s="77">
        <v>14850</v>
      </c>
      <c r="AB98" s="17">
        <f t="shared" si="24"/>
        <v>112312.87</v>
      </c>
      <c r="AC98" s="37">
        <f t="shared" si="25"/>
        <v>0.58336200000000005</v>
      </c>
      <c r="AD98" s="77">
        <v>91268</v>
      </c>
      <c r="AE98" s="37">
        <f t="shared" si="26"/>
        <v>0.75744699999999998</v>
      </c>
      <c r="AF98" s="37">
        <f t="shared" si="44"/>
        <v>0.36441299999999999</v>
      </c>
      <c r="AG98" s="71">
        <f t="shared" si="36"/>
        <v>0.36441299999999999</v>
      </c>
      <c r="AH98" s="38">
        <f>IF(G98&gt;=1,IF(G98&lt;=5,0.06,IF(G98&lt;=10,0.05,IF(G98&lt;=15,0.04,IF(G98&lt;=19,0.03,0)))),0)</f>
        <v>0</v>
      </c>
      <c r="AI98" s="74">
        <f t="shared" si="37"/>
        <v>0.36441299999999999</v>
      </c>
      <c r="AJ98" s="77">
        <v>0</v>
      </c>
      <c r="AK98" s="77">
        <v>0</v>
      </c>
      <c r="AL98" s="11">
        <f t="shared" si="38"/>
        <v>0</v>
      </c>
      <c r="AM98" s="83">
        <v>1</v>
      </c>
      <c r="AN98" s="84">
        <v>4</v>
      </c>
      <c r="AO98" s="11">
        <f t="shared" si="39"/>
        <v>400</v>
      </c>
      <c r="AP98" s="11">
        <f>ROUND(Y98*AI98*$AP$21,0)</f>
        <v>10619178</v>
      </c>
      <c r="AQ98" s="11">
        <f t="shared" si="40"/>
        <v>10619578</v>
      </c>
      <c r="AR98" s="35">
        <v>11977384</v>
      </c>
      <c r="AS98" s="11">
        <f t="shared" si="41"/>
        <v>1357806</v>
      </c>
      <c r="AT98" s="72" t="str">
        <f t="shared" si="42"/>
        <v>No</v>
      </c>
      <c r="AU98" s="77">
        <v>11492516</v>
      </c>
      <c r="AV98" s="35">
        <f t="shared" si="43"/>
        <v>0</v>
      </c>
      <c r="AW98" s="35">
        <f t="shared" si="27"/>
        <v>11492516</v>
      </c>
      <c r="AX98" s="35">
        <f>IF(C98=1,MAX(AW98,AR98),AW98)</f>
        <v>11492516</v>
      </c>
      <c r="AY98" s="66"/>
      <c r="AZ98" s="67"/>
      <c r="BA98" s="35"/>
      <c r="BB98" s="68"/>
      <c r="BC98" s="35"/>
      <c r="BD98" s="21"/>
      <c r="BF98" s="21"/>
      <c r="BG98" s="21"/>
      <c r="BK98" s="21"/>
      <c r="BL98" s="21"/>
      <c r="BM98" s="21"/>
      <c r="BN98" s="21"/>
      <c r="BO98" s="21"/>
    </row>
    <row r="99" spans="1:67" ht="14.35" x14ac:dyDescent="0.5">
      <c r="A99" s="8" t="s">
        <v>104</v>
      </c>
      <c r="B99" s="8"/>
      <c r="C99" s="25"/>
      <c r="D99" s="25"/>
      <c r="E99" s="25"/>
      <c r="F99" s="1">
        <v>7</v>
      </c>
      <c r="G99" s="78">
        <v>51</v>
      </c>
      <c r="H99" s="8">
        <v>73</v>
      </c>
      <c r="I99" s="3" t="s">
        <v>181</v>
      </c>
      <c r="J99" s="70"/>
      <c r="K99" s="76">
        <v>580.02</v>
      </c>
      <c r="L99" s="78"/>
      <c r="M99" s="77">
        <v>203</v>
      </c>
      <c r="N99" s="76">
        <f t="shared" si="28"/>
        <v>60.9</v>
      </c>
      <c r="O99" s="76">
        <f t="shared" si="29"/>
        <v>348.01</v>
      </c>
      <c r="P99" s="76">
        <f t="shared" si="30"/>
        <v>0</v>
      </c>
      <c r="Q99" s="76">
        <f t="shared" si="31"/>
        <v>0</v>
      </c>
      <c r="R99" s="65">
        <f t="shared" si="32"/>
        <v>0.35</v>
      </c>
      <c r="S99" s="65">
        <f>IF(R99&gt;0.6,+R99-0.6,0)</f>
        <v>0</v>
      </c>
      <c r="T99" s="34">
        <f>ROUND(S99*K99,2)</f>
        <v>0</v>
      </c>
      <c r="U99" s="34">
        <f t="shared" si="33"/>
        <v>0</v>
      </c>
      <c r="V99" s="77">
        <v>12</v>
      </c>
      <c r="W99" s="76">
        <f t="shared" si="34"/>
        <v>3</v>
      </c>
      <c r="X99" s="36">
        <f>ROUND(M99*$X$2,2)</f>
        <v>60.9</v>
      </c>
      <c r="Y99" s="9">
        <f t="shared" si="35"/>
        <v>643.91999999999996</v>
      </c>
      <c r="Z99" s="76">
        <v>579860344.33000004</v>
      </c>
      <c r="AA99" s="77">
        <v>4272</v>
      </c>
      <c r="AB99" s="17">
        <f t="shared" si="24"/>
        <v>135735.1</v>
      </c>
      <c r="AC99" s="37">
        <f t="shared" si="25"/>
        <v>0.70501899999999995</v>
      </c>
      <c r="AD99" s="77">
        <v>88553</v>
      </c>
      <c r="AE99" s="37">
        <f t="shared" si="26"/>
        <v>0.73491499999999998</v>
      </c>
      <c r="AF99" s="37">
        <f t="shared" si="44"/>
        <v>0.28601199999999999</v>
      </c>
      <c r="AG99" s="71">
        <f t="shared" si="36"/>
        <v>0.28601199999999999</v>
      </c>
      <c r="AH99" s="38">
        <f>IF(G99&gt;=1,IF(G99&lt;=5,0.06,IF(G99&lt;=10,0.05,IF(G99&lt;=15,0.04,IF(G99&lt;=19,0.03,0)))),0)</f>
        <v>0</v>
      </c>
      <c r="AI99" s="74">
        <f t="shared" si="37"/>
        <v>0.28601199999999999</v>
      </c>
      <c r="AJ99" s="81">
        <v>0</v>
      </c>
      <c r="AK99" s="81">
        <v>0</v>
      </c>
      <c r="AL99" s="11">
        <f t="shared" si="38"/>
        <v>0</v>
      </c>
      <c r="AM99" s="83">
        <v>122</v>
      </c>
      <c r="AN99" s="84">
        <v>4</v>
      </c>
      <c r="AO99" s="11">
        <f t="shared" si="39"/>
        <v>48800</v>
      </c>
      <c r="AP99" s="11">
        <f>ROUND(Y99*AI99*$AP$21,0)</f>
        <v>2122546</v>
      </c>
      <c r="AQ99" s="11">
        <f t="shared" si="40"/>
        <v>2171346</v>
      </c>
      <c r="AR99" s="35">
        <v>3518715</v>
      </c>
      <c r="AS99" s="11">
        <f t="shared" si="41"/>
        <v>1347369</v>
      </c>
      <c r="AT99" s="72" t="str">
        <f t="shared" si="42"/>
        <v>No</v>
      </c>
      <c r="AU99" s="77">
        <v>2899516</v>
      </c>
      <c r="AV99" s="35">
        <f t="shared" si="43"/>
        <v>0</v>
      </c>
      <c r="AW99" s="35">
        <f t="shared" si="27"/>
        <v>2899516</v>
      </c>
      <c r="AX99" s="35">
        <f>IF(C99=1,MAX(AW99,AR99),AW99)</f>
        <v>2899516</v>
      </c>
      <c r="AY99" s="66"/>
      <c r="AZ99" s="67"/>
      <c r="BA99" s="35"/>
      <c r="BB99" s="68"/>
      <c r="BC99" s="35"/>
      <c r="BD99" s="21"/>
      <c r="BF99" s="21"/>
      <c r="BG99" s="21"/>
      <c r="BK99" s="21"/>
      <c r="BL99" s="21"/>
      <c r="BM99" s="21"/>
      <c r="BN99" s="21"/>
      <c r="BO99" s="21"/>
    </row>
    <row r="100" spans="1:67" ht="14.35" x14ac:dyDescent="0.5">
      <c r="A100" s="8" t="s">
        <v>104</v>
      </c>
      <c r="B100" s="8"/>
      <c r="C100" s="25"/>
      <c r="D100" s="25"/>
      <c r="E100" s="25"/>
      <c r="F100" s="1">
        <v>4</v>
      </c>
      <c r="G100" s="78">
        <v>120</v>
      </c>
      <c r="H100" s="8">
        <v>74</v>
      </c>
      <c r="I100" s="3" t="s">
        <v>182</v>
      </c>
      <c r="J100" s="70"/>
      <c r="K100" s="76">
        <v>818.94</v>
      </c>
      <c r="L100" s="78"/>
      <c r="M100" s="77">
        <v>152</v>
      </c>
      <c r="N100" s="76">
        <f t="shared" si="28"/>
        <v>45.6</v>
      </c>
      <c r="O100" s="76">
        <f t="shared" si="29"/>
        <v>491.36</v>
      </c>
      <c r="P100" s="76">
        <f t="shared" si="30"/>
        <v>0</v>
      </c>
      <c r="Q100" s="76">
        <f t="shared" si="31"/>
        <v>0</v>
      </c>
      <c r="R100" s="65">
        <f t="shared" si="32"/>
        <v>0.19</v>
      </c>
      <c r="S100" s="65">
        <f>IF(R100&gt;0.6,+R100-0.6,0)</f>
        <v>0</v>
      </c>
      <c r="T100" s="34">
        <f>ROUND(S100*K100,2)</f>
        <v>0</v>
      </c>
      <c r="U100" s="34">
        <f t="shared" si="33"/>
        <v>0</v>
      </c>
      <c r="V100" s="77">
        <v>2</v>
      </c>
      <c r="W100" s="76">
        <f t="shared" si="34"/>
        <v>0.5</v>
      </c>
      <c r="X100" s="36">
        <f>ROUND(M100*$X$2,2)</f>
        <v>45.6</v>
      </c>
      <c r="Y100" s="9">
        <f t="shared" si="35"/>
        <v>865.04000000000008</v>
      </c>
      <c r="Z100" s="76">
        <v>1489543433.6700001</v>
      </c>
      <c r="AA100" s="77">
        <v>8198</v>
      </c>
      <c r="AB100" s="17">
        <f t="shared" si="24"/>
        <v>181695.95</v>
      </c>
      <c r="AC100" s="37">
        <f t="shared" si="25"/>
        <v>0.94374400000000003</v>
      </c>
      <c r="AD100" s="77">
        <v>80570</v>
      </c>
      <c r="AE100" s="37">
        <f t="shared" si="26"/>
        <v>0.66866300000000001</v>
      </c>
      <c r="AF100" s="37">
        <f t="shared" si="44"/>
        <v>0.13877999999999999</v>
      </c>
      <c r="AG100" s="71">
        <f t="shared" si="36"/>
        <v>0.13877999999999999</v>
      </c>
      <c r="AH100" s="38">
        <f>IF(G100&gt;=1,IF(G100&lt;=5,0.06,IF(G100&lt;=10,0.05,IF(G100&lt;=15,0.04,IF(G100&lt;=19,0.03,0)))),0)</f>
        <v>0</v>
      </c>
      <c r="AI100" s="74">
        <f t="shared" si="37"/>
        <v>0.13877999999999999</v>
      </c>
      <c r="AJ100" s="77">
        <v>0</v>
      </c>
      <c r="AK100" s="77">
        <v>0</v>
      </c>
      <c r="AL100" s="11">
        <f t="shared" si="38"/>
        <v>0</v>
      </c>
      <c r="AM100" s="83"/>
      <c r="AN100" s="84"/>
      <c r="AO100" s="11">
        <f t="shared" si="39"/>
        <v>0</v>
      </c>
      <c r="AP100" s="11">
        <f>ROUND(Y100*AI100*$AP$21,0)</f>
        <v>1383579</v>
      </c>
      <c r="AQ100" s="11">
        <f t="shared" si="40"/>
        <v>1383579</v>
      </c>
      <c r="AR100" s="35">
        <v>1446598</v>
      </c>
      <c r="AS100" s="11">
        <f t="shared" si="41"/>
        <v>63019</v>
      </c>
      <c r="AT100" s="72" t="str">
        <f t="shared" si="42"/>
        <v>No</v>
      </c>
      <c r="AU100" s="77">
        <v>1293502</v>
      </c>
      <c r="AV100" s="35">
        <f t="shared" si="43"/>
        <v>0</v>
      </c>
      <c r="AW100" s="35">
        <f t="shared" si="27"/>
        <v>1293502</v>
      </c>
      <c r="AX100" s="35">
        <f>IF(C100=1,MAX(AW100,AR100),AW100)</f>
        <v>1293502</v>
      </c>
      <c r="AY100" s="66"/>
      <c r="AZ100" s="67"/>
      <c r="BA100" s="35"/>
      <c r="BB100" s="68"/>
      <c r="BC100" s="35"/>
      <c r="BD100" s="21"/>
      <c r="BF100" s="21"/>
      <c r="BG100" s="21"/>
      <c r="BK100" s="21"/>
      <c r="BL100" s="21"/>
      <c r="BM100" s="21"/>
      <c r="BN100" s="21"/>
      <c r="BO100" s="21"/>
    </row>
    <row r="101" spans="1:67" ht="14.35" x14ac:dyDescent="0.5">
      <c r="A101" s="8" t="s">
        <v>100</v>
      </c>
      <c r="B101" s="8"/>
      <c r="C101" s="25"/>
      <c r="D101" s="25"/>
      <c r="E101" s="25"/>
      <c r="F101" s="1">
        <v>1</v>
      </c>
      <c r="G101" s="78">
        <v>160</v>
      </c>
      <c r="H101" s="8">
        <v>75</v>
      </c>
      <c r="I101" s="3" t="s">
        <v>183</v>
      </c>
      <c r="J101" s="70"/>
      <c r="K101" s="76">
        <v>238.79</v>
      </c>
      <c r="L101" s="78"/>
      <c r="M101" s="77">
        <v>51</v>
      </c>
      <c r="N101" s="76">
        <f t="shared" si="28"/>
        <v>15.3</v>
      </c>
      <c r="O101" s="76">
        <f t="shared" si="29"/>
        <v>143.27000000000001</v>
      </c>
      <c r="P101" s="76">
        <f t="shared" si="30"/>
        <v>0</v>
      </c>
      <c r="Q101" s="76">
        <f t="shared" si="31"/>
        <v>0</v>
      </c>
      <c r="R101" s="65">
        <f t="shared" si="32"/>
        <v>0.21</v>
      </c>
      <c r="S101" s="65">
        <f>IF(R101&gt;0.6,+R101-0.6,0)</f>
        <v>0</v>
      </c>
      <c r="T101" s="34">
        <f>ROUND(S101*K101,2)</f>
        <v>0</v>
      </c>
      <c r="U101" s="34">
        <f t="shared" si="33"/>
        <v>0</v>
      </c>
      <c r="V101" s="77">
        <v>2</v>
      </c>
      <c r="W101" s="76">
        <f t="shared" si="34"/>
        <v>0.5</v>
      </c>
      <c r="X101" s="36">
        <f>ROUND(M101*$X$2,2)</f>
        <v>15.3</v>
      </c>
      <c r="Y101" s="9">
        <f t="shared" si="35"/>
        <v>254.59</v>
      </c>
      <c r="Z101" s="76">
        <v>723969099.66999996</v>
      </c>
      <c r="AA101" s="77">
        <v>2469</v>
      </c>
      <c r="AB101" s="17">
        <f t="shared" si="24"/>
        <v>293223.61</v>
      </c>
      <c r="AC101" s="37">
        <f t="shared" si="25"/>
        <v>1.523028</v>
      </c>
      <c r="AD101" s="77">
        <v>96146</v>
      </c>
      <c r="AE101" s="37">
        <f t="shared" si="26"/>
        <v>0.79793000000000003</v>
      </c>
      <c r="AF101" s="37">
        <f t="shared" si="44"/>
        <v>-0.30549900000000002</v>
      </c>
      <c r="AG101" s="71">
        <f t="shared" si="36"/>
        <v>0.01</v>
      </c>
      <c r="AH101" s="38">
        <f>IF(G101&gt;=1,IF(G101&lt;=5,0.06,IF(G101&lt;=10,0.05,IF(G101&lt;=15,0.04,IF(G101&lt;=19,0.03,0)))),0)</f>
        <v>0</v>
      </c>
      <c r="AI101" s="74">
        <f t="shared" si="37"/>
        <v>0.01</v>
      </c>
      <c r="AJ101" s="77">
        <v>238</v>
      </c>
      <c r="AK101" s="77">
        <v>13</v>
      </c>
      <c r="AL101" s="11">
        <f t="shared" si="38"/>
        <v>309400</v>
      </c>
      <c r="AM101" s="83"/>
      <c r="AN101" s="84"/>
      <c r="AO101" s="11">
        <f t="shared" si="39"/>
        <v>0</v>
      </c>
      <c r="AP101" s="11">
        <f>ROUND(Y101*AI101*$AP$21,0)</f>
        <v>29341</v>
      </c>
      <c r="AQ101" s="11">
        <f t="shared" si="40"/>
        <v>338741</v>
      </c>
      <c r="AR101" s="35">
        <v>63069</v>
      </c>
      <c r="AS101" s="11">
        <f t="shared" si="41"/>
        <v>275672</v>
      </c>
      <c r="AT101" s="72" t="str">
        <f t="shared" si="42"/>
        <v>Yes</v>
      </c>
      <c r="AU101" s="77">
        <v>60216</v>
      </c>
      <c r="AV101" s="35">
        <f t="shared" si="43"/>
        <v>29386.635200000001</v>
      </c>
      <c r="AW101" s="35">
        <f t="shared" si="27"/>
        <v>89602.635200000004</v>
      </c>
      <c r="AX101" s="35">
        <f>IF(C101=1,MAX(AW101,AR101),AW101)</f>
        <v>89602.635200000004</v>
      </c>
      <c r="AY101" s="66"/>
      <c r="AZ101" s="67"/>
      <c r="BA101" s="35"/>
      <c r="BB101" s="68"/>
      <c r="BC101" s="35"/>
      <c r="BD101" s="21"/>
      <c r="BF101" s="21"/>
      <c r="BG101" s="21"/>
      <c r="BK101" s="21"/>
      <c r="BL101" s="21"/>
      <c r="BM101" s="21"/>
      <c r="BN101" s="21"/>
      <c r="BO101" s="21"/>
    </row>
    <row r="102" spans="1:67" ht="14.35" x14ac:dyDescent="0.5">
      <c r="A102" s="8" t="s">
        <v>106</v>
      </c>
      <c r="B102" s="8"/>
      <c r="C102" s="25"/>
      <c r="D102" s="25"/>
      <c r="E102" s="25"/>
      <c r="F102" s="1">
        <v>2</v>
      </c>
      <c r="G102" s="78">
        <v>145</v>
      </c>
      <c r="H102" s="8">
        <v>76</v>
      </c>
      <c r="I102" s="3" t="s">
        <v>184</v>
      </c>
      <c r="J102" s="70"/>
      <c r="K102" s="76">
        <v>2477.96</v>
      </c>
      <c r="L102" s="78"/>
      <c r="M102" s="77">
        <v>90</v>
      </c>
      <c r="N102" s="76">
        <f t="shared" si="28"/>
        <v>27</v>
      </c>
      <c r="O102" s="76">
        <f t="shared" si="29"/>
        <v>1486.78</v>
      </c>
      <c r="P102" s="76">
        <f t="shared" si="30"/>
        <v>0</v>
      </c>
      <c r="Q102" s="76">
        <f t="shared" si="31"/>
        <v>0</v>
      </c>
      <c r="R102" s="65">
        <f t="shared" si="32"/>
        <v>0.04</v>
      </c>
      <c r="S102" s="65">
        <f>IF(R102&gt;0.6,+R102-0.6,0)</f>
        <v>0</v>
      </c>
      <c r="T102" s="34">
        <f>ROUND(S102*K102,2)</f>
        <v>0</v>
      </c>
      <c r="U102" s="34">
        <f t="shared" si="33"/>
        <v>0</v>
      </c>
      <c r="V102" s="77">
        <v>35</v>
      </c>
      <c r="W102" s="76">
        <f t="shared" si="34"/>
        <v>8.75</v>
      </c>
      <c r="X102" s="36">
        <f>ROUND(M102*$X$2,2)</f>
        <v>27</v>
      </c>
      <c r="Y102" s="9">
        <f t="shared" si="35"/>
        <v>2513.71</v>
      </c>
      <c r="Z102" s="76">
        <v>4221142071.6700001</v>
      </c>
      <c r="AA102" s="77">
        <v>18183</v>
      </c>
      <c r="AB102" s="17">
        <f t="shared" si="24"/>
        <v>232147.72</v>
      </c>
      <c r="AC102" s="37">
        <f t="shared" si="25"/>
        <v>1.205794</v>
      </c>
      <c r="AD102" s="77">
        <v>104754</v>
      </c>
      <c r="AE102" s="37">
        <f t="shared" si="26"/>
        <v>0.86936899999999995</v>
      </c>
      <c r="AF102" s="37">
        <f t="shared" si="44"/>
        <v>-0.104867</v>
      </c>
      <c r="AG102" s="71">
        <f t="shared" si="36"/>
        <v>0.01</v>
      </c>
      <c r="AH102" s="38">
        <f>IF(G102&gt;=1,IF(G102&lt;=5,0.06,IF(G102&lt;=10,0.05,IF(G102&lt;=15,0.04,IF(G102&lt;=19,0.03,0)))),0)</f>
        <v>0</v>
      </c>
      <c r="AI102" s="74">
        <f t="shared" si="37"/>
        <v>0.01</v>
      </c>
      <c r="AJ102" s="77">
        <v>0</v>
      </c>
      <c r="AK102" s="77">
        <v>0</v>
      </c>
      <c r="AL102" s="11">
        <f t="shared" si="38"/>
        <v>0</v>
      </c>
      <c r="AM102" s="83"/>
      <c r="AN102" s="84"/>
      <c r="AO102" s="11">
        <f t="shared" si="39"/>
        <v>0</v>
      </c>
      <c r="AP102" s="11">
        <f>ROUND(Y102*AI102*$AP$21,0)</f>
        <v>289705</v>
      </c>
      <c r="AQ102" s="11">
        <f t="shared" si="40"/>
        <v>289705</v>
      </c>
      <c r="AR102" s="35">
        <v>446496</v>
      </c>
      <c r="AS102" s="11">
        <f t="shared" si="41"/>
        <v>156791</v>
      </c>
      <c r="AT102" s="72" t="str">
        <f t="shared" si="42"/>
        <v>No</v>
      </c>
      <c r="AU102" s="77">
        <v>395466</v>
      </c>
      <c r="AV102" s="35">
        <f t="shared" si="43"/>
        <v>0</v>
      </c>
      <c r="AW102" s="35">
        <f t="shared" si="27"/>
        <v>395466</v>
      </c>
      <c r="AX102" s="35">
        <f>IF(C102=1,MAX(AW102,AR102),AW102)</f>
        <v>395466</v>
      </c>
      <c r="AY102" s="66"/>
      <c r="AZ102" s="67"/>
      <c r="BA102" s="35"/>
      <c r="BB102" s="68"/>
      <c r="BC102" s="35"/>
      <c r="BD102" s="21"/>
      <c r="BF102" s="21"/>
      <c r="BG102" s="21"/>
      <c r="BK102" s="21"/>
      <c r="BL102" s="21"/>
      <c r="BM102" s="21"/>
      <c r="BN102" s="21"/>
      <c r="BO102" s="21"/>
    </row>
    <row r="103" spans="1:67" ht="14.35" x14ac:dyDescent="0.5">
      <c r="A103" s="8" t="s">
        <v>115</v>
      </c>
      <c r="B103" s="8"/>
      <c r="C103" s="25">
        <v>1</v>
      </c>
      <c r="D103" s="25">
        <v>1</v>
      </c>
      <c r="E103" s="25"/>
      <c r="F103" s="1">
        <v>9</v>
      </c>
      <c r="G103" s="79">
        <v>18</v>
      </c>
      <c r="H103" s="8">
        <v>77</v>
      </c>
      <c r="I103" s="3" t="s">
        <v>185</v>
      </c>
      <c r="J103" s="70"/>
      <c r="K103" s="76">
        <v>7390.01</v>
      </c>
      <c r="L103" s="79"/>
      <c r="M103" s="77">
        <v>4288</v>
      </c>
      <c r="N103" s="76">
        <f t="shared" si="28"/>
        <v>1286.4000000000001</v>
      </c>
      <c r="O103" s="76">
        <f t="shared" si="29"/>
        <v>4434.01</v>
      </c>
      <c r="P103" s="76">
        <f t="shared" si="30"/>
        <v>0</v>
      </c>
      <c r="Q103" s="76">
        <f t="shared" si="31"/>
        <v>0</v>
      </c>
      <c r="R103" s="65">
        <f t="shared" si="32"/>
        <v>0.57999999999999996</v>
      </c>
      <c r="S103" s="65">
        <f>IF(R103&gt;0.6,+R103-0.6,0)</f>
        <v>0</v>
      </c>
      <c r="T103" s="34">
        <f>ROUND(S103*K103,2)</f>
        <v>0</v>
      </c>
      <c r="U103" s="34">
        <f t="shared" si="33"/>
        <v>0</v>
      </c>
      <c r="V103" s="77">
        <v>521</v>
      </c>
      <c r="W103" s="76">
        <f t="shared" si="34"/>
        <v>130.25</v>
      </c>
      <c r="X103" s="36">
        <f>ROUND(M103*$X$2,2)</f>
        <v>1286.4000000000001</v>
      </c>
      <c r="Y103" s="9">
        <f t="shared" si="35"/>
        <v>8806.66</v>
      </c>
      <c r="Z103" s="76">
        <v>5990360631</v>
      </c>
      <c r="AA103" s="77">
        <v>57955</v>
      </c>
      <c r="AB103" s="17">
        <f t="shared" si="24"/>
        <v>103362.27</v>
      </c>
      <c r="AC103" s="37">
        <f t="shared" si="25"/>
        <v>0.53687200000000002</v>
      </c>
      <c r="AD103" s="77">
        <v>70736</v>
      </c>
      <c r="AE103" s="37">
        <f t="shared" si="26"/>
        <v>0.58704900000000004</v>
      </c>
      <c r="AF103" s="37">
        <f t="shared" si="44"/>
        <v>0.448075</v>
      </c>
      <c r="AG103" s="71">
        <f t="shared" si="36"/>
        <v>0.448075</v>
      </c>
      <c r="AH103" s="38">
        <f>IF(G103&gt;=1,IF(G103&lt;=5,0.06,IF(G103&lt;=10,0.05,IF(G103&lt;=15,0.04,IF(G103&lt;=19,0.03,0)))),0)</f>
        <v>0.03</v>
      </c>
      <c r="AI103" s="74">
        <f t="shared" si="37"/>
        <v>0.47807500000000003</v>
      </c>
      <c r="AJ103" s="77">
        <v>0</v>
      </c>
      <c r="AK103" s="77">
        <v>0</v>
      </c>
      <c r="AL103" s="11">
        <f t="shared" si="38"/>
        <v>0</v>
      </c>
      <c r="AM103" s="83"/>
      <c r="AN103" s="84"/>
      <c r="AO103" s="11">
        <f t="shared" si="39"/>
        <v>0</v>
      </c>
      <c r="AP103" s="11">
        <f>ROUND(Y103*AI103*$AP$21,0)</f>
        <v>48523062</v>
      </c>
      <c r="AQ103" s="11">
        <f t="shared" si="40"/>
        <v>48523062</v>
      </c>
      <c r="AR103" s="35">
        <v>34440424</v>
      </c>
      <c r="AS103" s="11">
        <f t="shared" si="41"/>
        <v>14082638</v>
      </c>
      <c r="AT103" s="72" t="str">
        <f t="shared" si="42"/>
        <v>Yes</v>
      </c>
      <c r="AU103" s="77">
        <v>38251467</v>
      </c>
      <c r="AV103" s="35">
        <f t="shared" si="43"/>
        <v>1501209.2108</v>
      </c>
      <c r="AW103" s="35">
        <f t="shared" si="27"/>
        <v>39752676.2108</v>
      </c>
      <c r="AX103" s="35">
        <f>IF(C103=1,MAX(AW103,AR103),AW103)</f>
        <v>39752676.2108</v>
      </c>
      <c r="AY103" s="66"/>
      <c r="AZ103" s="67"/>
      <c r="BA103" s="35"/>
      <c r="BB103" s="68"/>
      <c r="BC103" s="35"/>
      <c r="BD103" s="21"/>
      <c r="BF103" s="21"/>
      <c r="BG103" s="21"/>
      <c r="BK103" s="21"/>
      <c r="BL103" s="21"/>
      <c r="BM103" s="21"/>
      <c r="BN103" s="21"/>
      <c r="BO103" s="21"/>
    </row>
    <row r="104" spans="1:67" ht="14.35" x14ac:dyDescent="0.5">
      <c r="A104" s="8" t="s">
        <v>100</v>
      </c>
      <c r="B104" s="8"/>
      <c r="C104" s="25"/>
      <c r="D104" s="25"/>
      <c r="E104" s="25"/>
      <c r="F104" s="1">
        <v>8</v>
      </c>
      <c r="G104" s="80">
        <v>47</v>
      </c>
      <c r="H104" s="8">
        <v>78</v>
      </c>
      <c r="I104" s="3" t="s">
        <v>186</v>
      </c>
      <c r="J104" s="70"/>
      <c r="K104" s="76">
        <v>1579.92</v>
      </c>
      <c r="L104" s="80"/>
      <c r="M104" s="77">
        <v>464</v>
      </c>
      <c r="N104" s="76">
        <f t="shared" si="28"/>
        <v>139.19999999999999</v>
      </c>
      <c r="O104" s="76">
        <f t="shared" si="29"/>
        <v>947.95</v>
      </c>
      <c r="P104" s="76">
        <f t="shared" si="30"/>
        <v>0</v>
      </c>
      <c r="Q104" s="76">
        <f t="shared" si="31"/>
        <v>0</v>
      </c>
      <c r="R104" s="65">
        <f t="shared" si="32"/>
        <v>0.28999999999999998</v>
      </c>
      <c r="S104" s="65">
        <f>IF(R104&gt;0.6,+R104-0.6,0)</f>
        <v>0</v>
      </c>
      <c r="T104" s="34">
        <f>ROUND(S104*K104,2)</f>
        <v>0</v>
      </c>
      <c r="U104" s="34">
        <f t="shared" si="33"/>
        <v>0</v>
      </c>
      <c r="V104" s="77">
        <v>49</v>
      </c>
      <c r="W104" s="76">
        <f t="shared" si="34"/>
        <v>12.25</v>
      </c>
      <c r="X104" s="36">
        <f>ROUND(M104*$X$2,2)</f>
        <v>139.19999999999999</v>
      </c>
      <c r="Y104" s="9">
        <f t="shared" si="35"/>
        <v>1731.3700000000001</v>
      </c>
      <c r="Z104" s="76">
        <v>1606825479</v>
      </c>
      <c r="AA104" s="77">
        <v>14110</v>
      </c>
      <c r="AB104" s="17">
        <f t="shared" si="24"/>
        <v>113878.49</v>
      </c>
      <c r="AC104" s="37">
        <f t="shared" si="25"/>
        <v>0.59149399999999996</v>
      </c>
      <c r="AD104" s="77">
        <v>56807</v>
      </c>
      <c r="AE104" s="37">
        <f t="shared" si="26"/>
        <v>0.47144999999999998</v>
      </c>
      <c r="AF104" s="37">
        <f t="shared" si="44"/>
        <v>0.444519</v>
      </c>
      <c r="AG104" s="71">
        <f t="shared" si="36"/>
        <v>0.444519</v>
      </c>
      <c r="AH104" s="38">
        <f>IF(G104&gt;=1,IF(G104&lt;=5,0.06,IF(G104&lt;=10,0.05,IF(G104&lt;=15,0.04,IF(G104&lt;=19,0.03,0)))),0)</f>
        <v>0</v>
      </c>
      <c r="AI104" s="74">
        <f t="shared" si="37"/>
        <v>0.444519</v>
      </c>
      <c r="AJ104" s="77">
        <v>525</v>
      </c>
      <c r="AK104" s="77">
        <v>4</v>
      </c>
      <c r="AL104" s="11">
        <f t="shared" si="38"/>
        <v>210000</v>
      </c>
      <c r="AM104" s="83"/>
      <c r="AN104" s="84"/>
      <c r="AO104" s="11">
        <f t="shared" si="39"/>
        <v>0</v>
      </c>
      <c r="AP104" s="11">
        <f>ROUND(Y104*AI104*$AP$21,0)</f>
        <v>8869950</v>
      </c>
      <c r="AQ104" s="11">
        <f t="shared" si="40"/>
        <v>9079950</v>
      </c>
      <c r="AR104" s="35">
        <v>9947410</v>
      </c>
      <c r="AS104" s="11">
        <f t="shared" si="41"/>
        <v>867460</v>
      </c>
      <c r="AT104" s="72" t="str">
        <f t="shared" si="42"/>
        <v>No</v>
      </c>
      <c r="AU104" s="77">
        <v>9459722</v>
      </c>
      <c r="AV104" s="35">
        <f t="shared" si="43"/>
        <v>0</v>
      </c>
      <c r="AW104" s="35">
        <f t="shared" si="27"/>
        <v>9459722</v>
      </c>
      <c r="AX104" s="35">
        <f>IF(C104=1,MAX(AW104,AR104),AW104)</f>
        <v>9459722</v>
      </c>
      <c r="AY104" s="66"/>
      <c r="AZ104" s="67"/>
      <c r="BA104" s="35"/>
      <c r="BB104" s="68"/>
      <c r="BC104" s="35"/>
      <c r="BD104" s="21"/>
      <c r="BF104" s="21"/>
      <c r="BG104" s="21"/>
      <c r="BK104" s="21"/>
      <c r="BL104" s="21"/>
      <c r="BM104" s="21"/>
      <c r="BN104" s="21"/>
      <c r="BO104" s="21"/>
    </row>
    <row r="105" spans="1:67" ht="14.35" x14ac:dyDescent="0.5">
      <c r="A105" s="8" t="s">
        <v>100</v>
      </c>
      <c r="B105" s="8"/>
      <c r="C105" s="25"/>
      <c r="D105" s="25"/>
      <c r="E105" s="25"/>
      <c r="F105" s="1">
        <v>4</v>
      </c>
      <c r="G105" s="78">
        <v>101</v>
      </c>
      <c r="H105" s="8">
        <v>79</v>
      </c>
      <c r="I105" s="3" t="s">
        <v>187</v>
      </c>
      <c r="J105" s="70"/>
      <c r="K105" s="76">
        <v>934.13</v>
      </c>
      <c r="L105" s="78"/>
      <c r="M105" s="77">
        <v>137</v>
      </c>
      <c r="N105" s="76">
        <f t="shared" si="28"/>
        <v>41.1</v>
      </c>
      <c r="O105" s="76">
        <f t="shared" si="29"/>
        <v>560.48</v>
      </c>
      <c r="P105" s="76">
        <f t="shared" si="30"/>
        <v>0</v>
      </c>
      <c r="Q105" s="76">
        <f t="shared" si="31"/>
        <v>0</v>
      </c>
      <c r="R105" s="65">
        <f t="shared" si="32"/>
        <v>0.15</v>
      </c>
      <c r="S105" s="65">
        <f>IF(R105&gt;0.6,+R105-0.6,0)</f>
        <v>0</v>
      </c>
      <c r="T105" s="34">
        <f>ROUND(S105*K105,2)</f>
        <v>0</v>
      </c>
      <c r="U105" s="34">
        <f t="shared" si="33"/>
        <v>0</v>
      </c>
      <c r="V105" s="77">
        <v>7</v>
      </c>
      <c r="W105" s="76">
        <f t="shared" si="34"/>
        <v>1.75</v>
      </c>
      <c r="X105" s="36">
        <f>ROUND(M105*$X$2,2)</f>
        <v>41.1</v>
      </c>
      <c r="Y105" s="9">
        <f t="shared" si="35"/>
        <v>976.98</v>
      </c>
      <c r="Z105" s="76">
        <v>863962490</v>
      </c>
      <c r="AA105" s="77">
        <v>6394</v>
      </c>
      <c r="AB105" s="17">
        <f t="shared" si="24"/>
        <v>135120.81</v>
      </c>
      <c r="AC105" s="37">
        <f t="shared" si="25"/>
        <v>0.70182900000000004</v>
      </c>
      <c r="AD105" s="77">
        <v>109750</v>
      </c>
      <c r="AE105" s="37">
        <f t="shared" si="26"/>
        <v>0.91083199999999997</v>
      </c>
      <c r="AF105" s="37">
        <f t="shared" si="44"/>
        <v>0.23547000000000001</v>
      </c>
      <c r="AG105" s="71">
        <f t="shared" si="36"/>
        <v>0.23547000000000001</v>
      </c>
      <c r="AH105" s="38">
        <f>IF(G105&gt;=1,IF(G105&lt;=5,0.06,IF(G105&lt;=10,0.05,IF(G105&lt;=15,0.04,IF(G105&lt;=19,0.03,0)))),0)</f>
        <v>0</v>
      </c>
      <c r="AI105" s="74">
        <f t="shared" si="37"/>
        <v>0.23547000000000001</v>
      </c>
      <c r="AJ105" s="77">
        <v>489</v>
      </c>
      <c r="AK105" s="77">
        <v>6</v>
      </c>
      <c r="AL105" s="11">
        <f t="shared" si="38"/>
        <v>293400</v>
      </c>
      <c r="AM105" s="83"/>
      <c r="AN105" s="84"/>
      <c r="AO105" s="11">
        <f t="shared" si="39"/>
        <v>0</v>
      </c>
      <c r="AP105" s="11">
        <f>ROUND(Y105*AI105*$AP$21,0)</f>
        <v>2651320</v>
      </c>
      <c r="AQ105" s="11">
        <f t="shared" si="40"/>
        <v>2944720</v>
      </c>
      <c r="AR105" s="35">
        <v>3154015</v>
      </c>
      <c r="AS105" s="11">
        <f t="shared" si="41"/>
        <v>209295</v>
      </c>
      <c r="AT105" s="72" t="str">
        <f t="shared" si="42"/>
        <v>No</v>
      </c>
      <c r="AU105" s="77">
        <v>2902339</v>
      </c>
      <c r="AV105" s="35">
        <f t="shared" si="43"/>
        <v>0</v>
      </c>
      <c r="AW105" s="35">
        <f t="shared" si="27"/>
        <v>2902339</v>
      </c>
      <c r="AX105" s="35">
        <f>IF(C105=1,MAX(AW105,AR105),AW105)</f>
        <v>2902339</v>
      </c>
      <c r="AY105" s="66"/>
      <c r="AZ105" s="67"/>
      <c r="BA105" s="35"/>
      <c r="BB105" s="68"/>
      <c r="BC105" s="35"/>
      <c r="BD105" s="21"/>
      <c r="BF105" s="21"/>
      <c r="BG105" s="21"/>
      <c r="BK105" s="21"/>
      <c r="BL105" s="21"/>
      <c r="BM105" s="21"/>
      <c r="BN105" s="21"/>
      <c r="BO105" s="21"/>
    </row>
    <row r="106" spans="1:67" ht="14.35" x14ac:dyDescent="0.5">
      <c r="A106" s="8" t="s">
        <v>102</v>
      </c>
      <c r="B106" s="8">
        <v>1</v>
      </c>
      <c r="C106" s="25">
        <v>1</v>
      </c>
      <c r="D106" s="25">
        <v>0</v>
      </c>
      <c r="E106" s="25">
        <v>1</v>
      </c>
      <c r="F106" s="1">
        <v>10</v>
      </c>
      <c r="G106" s="79">
        <v>11</v>
      </c>
      <c r="H106" s="8">
        <v>80</v>
      </c>
      <c r="I106" s="3" t="s">
        <v>188</v>
      </c>
      <c r="J106" s="70"/>
      <c r="K106" s="76">
        <v>8867</v>
      </c>
      <c r="L106" s="79"/>
      <c r="M106" s="77">
        <v>6684</v>
      </c>
      <c r="N106" s="76">
        <f t="shared" si="28"/>
        <v>2005.2</v>
      </c>
      <c r="O106" s="76">
        <f t="shared" si="29"/>
        <v>5320.2</v>
      </c>
      <c r="P106" s="76">
        <f t="shared" si="30"/>
        <v>1363.8000000000002</v>
      </c>
      <c r="Q106" s="76">
        <f t="shared" si="31"/>
        <v>204.57</v>
      </c>
      <c r="R106" s="65">
        <f t="shared" si="32"/>
        <v>0.75</v>
      </c>
      <c r="S106" s="65">
        <f>IF(R106&gt;0.6,+R106-0.6,0)</f>
        <v>0.15000000000000002</v>
      </c>
      <c r="T106" s="34">
        <f>ROUND(S106*K106,2)</f>
        <v>1330.05</v>
      </c>
      <c r="U106" s="34">
        <f t="shared" si="33"/>
        <v>199.51</v>
      </c>
      <c r="V106" s="77">
        <v>1394</v>
      </c>
      <c r="W106" s="76">
        <f t="shared" si="34"/>
        <v>348.5</v>
      </c>
      <c r="X106" s="36">
        <f>ROUND(M106*$X$2,2)</f>
        <v>2005.2</v>
      </c>
      <c r="Y106" s="9">
        <f t="shared" si="35"/>
        <v>11425.27</v>
      </c>
      <c r="Z106" s="76">
        <v>4674675666.6700001</v>
      </c>
      <c r="AA106" s="77">
        <v>59864</v>
      </c>
      <c r="AB106" s="17">
        <f t="shared" si="24"/>
        <v>78088.259999999995</v>
      </c>
      <c r="AC106" s="37">
        <f t="shared" si="25"/>
        <v>0.40559699999999999</v>
      </c>
      <c r="AD106" s="77">
        <v>57886</v>
      </c>
      <c r="AE106" s="37">
        <f t="shared" si="26"/>
        <v>0.48040500000000003</v>
      </c>
      <c r="AF106" s="37">
        <f t="shared" si="44"/>
        <v>0.57196100000000005</v>
      </c>
      <c r="AG106" s="71">
        <f t="shared" si="36"/>
        <v>0.57196100000000005</v>
      </c>
      <c r="AH106" s="38">
        <f>IF(G106&gt;=1,IF(G106&lt;=5,0.06,IF(G106&lt;=10,0.05,IF(G106&lt;=15,0.04,IF(G106&lt;=19,0.03,0)))),0)</f>
        <v>0.04</v>
      </c>
      <c r="AI106" s="74">
        <f t="shared" si="37"/>
        <v>0.61196100000000009</v>
      </c>
      <c r="AJ106" s="77">
        <v>0</v>
      </c>
      <c r="AK106" s="77">
        <v>0</v>
      </c>
      <c r="AL106" s="11">
        <f t="shared" si="38"/>
        <v>0</v>
      </c>
      <c r="AM106" s="83"/>
      <c r="AN106" s="84"/>
      <c r="AO106" s="11">
        <f t="shared" si="39"/>
        <v>0</v>
      </c>
      <c r="AP106" s="11">
        <f>ROUND(Y106*AI106*$AP$21,0)</f>
        <v>80580722</v>
      </c>
      <c r="AQ106" s="11">
        <f t="shared" si="40"/>
        <v>80580722</v>
      </c>
      <c r="AR106" s="35">
        <v>60258395</v>
      </c>
      <c r="AS106" s="11">
        <f t="shared" si="41"/>
        <v>20322327</v>
      </c>
      <c r="AT106" s="72" t="str">
        <f t="shared" si="42"/>
        <v>Yes</v>
      </c>
      <c r="AU106" s="77">
        <v>64774542</v>
      </c>
      <c r="AV106" s="35">
        <f t="shared" si="43"/>
        <v>2166360.0581999999</v>
      </c>
      <c r="AW106" s="35">
        <f t="shared" si="27"/>
        <v>66940902.058200002</v>
      </c>
      <c r="AX106" s="35">
        <f>IF(C106=1,MAX(AW106,AR106),AW106)</f>
        <v>66940902.058200002</v>
      </c>
      <c r="AY106" s="66"/>
      <c r="AZ106" s="67"/>
      <c r="BA106" s="35"/>
      <c r="BB106" s="68"/>
      <c r="BC106" s="35"/>
      <c r="BD106" s="21"/>
      <c r="BF106" s="21"/>
      <c r="BG106" s="21"/>
      <c r="BK106" s="21"/>
      <c r="BL106" s="21"/>
      <c r="BM106" s="21"/>
      <c r="BN106" s="21"/>
      <c r="BO106" s="21"/>
    </row>
    <row r="107" spans="1:67" ht="14.35" x14ac:dyDescent="0.5">
      <c r="A107" s="8" t="s">
        <v>106</v>
      </c>
      <c r="B107" s="8"/>
      <c r="C107" s="25"/>
      <c r="D107" s="25"/>
      <c r="E107" s="25"/>
      <c r="F107" s="1">
        <v>3</v>
      </c>
      <c r="G107" s="78">
        <v>105</v>
      </c>
      <c r="H107" s="8">
        <v>81</v>
      </c>
      <c r="I107" s="3" t="s">
        <v>189</v>
      </c>
      <c r="J107" s="70"/>
      <c r="K107" s="76">
        <v>1206.1500000000001</v>
      </c>
      <c r="L107" s="78"/>
      <c r="M107" s="77">
        <v>205</v>
      </c>
      <c r="N107" s="76">
        <f t="shared" si="28"/>
        <v>61.5</v>
      </c>
      <c r="O107" s="76">
        <f t="shared" si="29"/>
        <v>723.69</v>
      </c>
      <c r="P107" s="76">
        <f t="shared" si="30"/>
        <v>0</v>
      </c>
      <c r="Q107" s="76">
        <f t="shared" si="31"/>
        <v>0</v>
      </c>
      <c r="R107" s="65">
        <f t="shared" si="32"/>
        <v>0.17</v>
      </c>
      <c r="S107" s="65">
        <f>IF(R107&gt;0.6,+R107-0.6,0)</f>
        <v>0</v>
      </c>
      <c r="T107" s="34">
        <f>ROUND(S107*K107,2)</f>
        <v>0</v>
      </c>
      <c r="U107" s="34">
        <f t="shared" si="33"/>
        <v>0</v>
      </c>
      <c r="V107" s="77">
        <v>26</v>
      </c>
      <c r="W107" s="76">
        <f t="shared" si="34"/>
        <v>6.5</v>
      </c>
      <c r="X107" s="36">
        <f>ROUND(M107*$X$2,2)</f>
        <v>61.5</v>
      </c>
      <c r="Y107" s="9">
        <f t="shared" si="35"/>
        <v>1274.1500000000001</v>
      </c>
      <c r="Z107" s="76">
        <v>1396744506.6700001</v>
      </c>
      <c r="AA107" s="77">
        <v>7661</v>
      </c>
      <c r="AB107" s="17">
        <f t="shared" si="24"/>
        <v>182318.82</v>
      </c>
      <c r="AC107" s="37">
        <f t="shared" si="25"/>
        <v>0.94697900000000002</v>
      </c>
      <c r="AD107" s="77">
        <v>108977</v>
      </c>
      <c r="AE107" s="37">
        <f t="shared" si="26"/>
        <v>0.90441700000000003</v>
      </c>
      <c r="AF107" s="37">
        <f t="shared" si="44"/>
        <v>6.5790000000000001E-2</v>
      </c>
      <c r="AG107" s="71">
        <f t="shared" si="36"/>
        <v>6.5790000000000001E-2</v>
      </c>
      <c r="AH107" s="38">
        <f>IF(G107&gt;=1,IF(G107&lt;=5,0.06,IF(G107&lt;=10,0.05,IF(G107&lt;=15,0.04,IF(G107&lt;=19,0.03,0)))),0)</f>
        <v>0</v>
      </c>
      <c r="AI107" s="74">
        <f t="shared" si="37"/>
        <v>6.5790000000000001E-2</v>
      </c>
      <c r="AJ107" s="77">
        <v>1208</v>
      </c>
      <c r="AK107" s="77">
        <v>13</v>
      </c>
      <c r="AL107" s="11">
        <f t="shared" si="38"/>
        <v>1570400</v>
      </c>
      <c r="AM107" s="83"/>
      <c r="AN107" s="84"/>
      <c r="AO107" s="11">
        <f t="shared" si="39"/>
        <v>0</v>
      </c>
      <c r="AP107" s="11">
        <f>ROUND(Y107*AI107*$AP$21,0)</f>
        <v>966098</v>
      </c>
      <c r="AQ107" s="11">
        <f t="shared" si="40"/>
        <v>2536498</v>
      </c>
      <c r="AR107" s="35">
        <v>855086</v>
      </c>
      <c r="AS107" s="11">
        <f t="shared" si="41"/>
        <v>1681412</v>
      </c>
      <c r="AT107" s="72" t="str">
        <f t="shared" si="42"/>
        <v>Yes</v>
      </c>
      <c r="AU107" s="77">
        <v>847757</v>
      </c>
      <c r="AV107" s="35">
        <f t="shared" si="43"/>
        <v>179238.51920000001</v>
      </c>
      <c r="AW107" s="35">
        <f t="shared" si="27"/>
        <v>1026995.5192</v>
      </c>
      <c r="AX107" s="35">
        <f>IF(C107=1,MAX(AW107,AR107),AW107)</f>
        <v>1026995.5192</v>
      </c>
      <c r="AY107" s="66"/>
      <c r="AZ107" s="67"/>
      <c r="BA107" s="35"/>
      <c r="BB107" s="68"/>
      <c r="BC107" s="35"/>
      <c r="BD107" s="21"/>
      <c r="BF107" s="21"/>
      <c r="BG107" s="21"/>
      <c r="BK107" s="21"/>
      <c r="BL107" s="21"/>
      <c r="BM107" s="21"/>
      <c r="BN107" s="21"/>
      <c r="BO107" s="21"/>
    </row>
    <row r="108" spans="1:67" ht="14.35" x14ac:dyDescent="0.5">
      <c r="A108" s="8" t="s">
        <v>100</v>
      </c>
      <c r="B108" s="8"/>
      <c r="C108" s="25"/>
      <c r="D108" s="25"/>
      <c r="E108" s="25"/>
      <c r="F108" s="1">
        <v>6</v>
      </c>
      <c r="G108" s="78">
        <v>60</v>
      </c>
      <c r="H108" s="8">
        <v>82</v>
      </c>
      <c r="I108" s="3" t="s">
        <v>190</v>
      </c>
      <c r="J108" s="70"/>
      <c r="K108" s="76">
        <v>493.4</v>
      </c>
      <c r="L108" s="78"/>
      <c r="M108" s="77">
        <v>98</v>
      </c>
      <c r="N108" s="76">
        <f t="shared" si="28"/>
        <v>29.4</v>
      </c>
      <c r="O108" s="76">
        <f t="shared" si="29"/>
        <v>296.04000000000002</v>
      </c>
      <c r="P108" s="76">
        <f t="shared" si="30"/>
        <v>0</v>
      </c>
      <c r="Q108" s="76">
        <f t="shared" si="31"/>
        <v>0</v>
      </c>
      <c r="R108" s="65">
        <f t="shared" si="32"/>
        <v>0.2</v>
      </c>
      <c r="S108" s="65">
        <f>IF(R108&gt;0.6,+R108-0.6,0)</f>
        <v>0</v>
      </c>
      <c r="T108" s="34">
        <f>ROUND(S108*K108,2)</f>
        <v>0</v>
      </c>
      <c r="U108" s="34">
        <f t="shared" si="33"/>
        <v>0</v>
      </c>
      <c r="V108" s="77">
        <v>4</v>
      </c>
      <c r="W108" s="76">
        <f t="shared" si="34"/>
        <v>1</v>
      </c>
      <c r="X108" s="36">
        <f>ROUND(M108*$X$2,2)</f>
        <v>29.4</v>
      </c>
      <c r="Y108" s="9">
        <f t="shared" si="35"/>
        <v>523.79999999999995</v>
      </c>
      <c r="Z108" s="76">
        <v>617127590</v>
      </c>
      <c r="AA108" s="77">
        <v>4385</v>
      </c>
      <c r="AB108" s="17">
        <f t="shared" si="24"/>
        <v>140736.04999999999</v>
      </c>
      <c r="AC108" s="37">
        <f t="shared" si="25"/>
        <v>0.73099499999999995</v>
      </c>
      <c r="AD108" s="77">
        <v>93750</v>
      </c>
      <c r="AE108" s="37">
        <f t="shared" si="26"/>
        <v>0.77804499999999999</v>
      </c>
      <c r="AF108" s="37">
        <f t="shared" si="44"/>
        <v>0.25489000000000001</v>
      </c>
      <c r="AG108" s="71">
        <f t="shared" si="36"/>
        <v>0.25489000000000001</v>
      </c>
      <c r="AH108" s="38">
        <f>IF(G108&gt;=1,IF(G108&lt;=5,0.06,IF(G108&lt;=10,0.05,IF(G108&lt;=15,0.04,IF(G108&lt;=19,0.03,0)))),0)</f>
        <v>0</v>
      </c>
      <c r="AI108" s="74">
        <f t="shared" si="37"/>
        <v>0.25489000000000001</v>
      </c>
      <c r="AJ108" s="77">
        <v>494</v>
      </c>
      <c r="AK108" s="77">
        <v>13</v>
      </c>
      <c r="AL108" s="11">
        <f t="shared" si="38"/>
        <v>642200</v>
      </c>
      <c r="AM108" s="83"/>
      <c r="AN108" s="84"/>
      <c r="AO108" s="11">
        <f t="shared" si="39"/>
        <v>0</v>
      </c>
      <c r="AP108" s="11">
        <f>ROUND(Y108*AI108*$AP$21,0)</f>
        <v>1538719</v>
      </c>
      <c r="AQ108" s="11">
        <f t="shared" si="40"/>
        <v>2180919</v>
      </c>
      <c r="AR108" s="35">
        <v>2099315</v>
      </c>
      <c r="AS108" s="11">
        <f t="shared" si="41"/>
        <v>81604</v>
      </c>
      <c r="AT108" s="72" t="str">
        <f t="shared" si="42"/>
        <v>Yes</v>
      </c>
      <c r="AU108" s="77">
        <v>1837504</v>
      </c>
      <c r="AV108" s="35">
        <f t="shared" si="43"/>
        <v>8698.9863999999998</v>
      </c>
      <c r="AW108" s="35">
        <f t="shared" si="27"/>
        <v>1846202.9864000001</v>
      </c>
      <c r="AX108" s="35">
        <f>IF(C108=1,MAX(AW108,AR108),AW108)</f>
        <v>1846202.9864000001</v>
      </c>
      <c r="AY108" s="66"/>
      <c r="AZ108" s="67"/>
      <c r="BA108" s="35"/>
      <c r="BB108" s="68"/>
      <c r="BC108" s="35"/>
      <c r="BD108" s="21"/>
      <c r="BF108" s="21"/>
      <c r="BG108" s="21"/>
      <c r="BK108" s="21"/>
      <c r="BL108" s="21"/>
      <c r="BM108" s="21"/>
      <c r="BN108" s="21"/>
      <c r="BO108" s="21"/>
    </row>
    <row r="109" spans="1:67" ht="14.35" x14ac:dyDescent="0.5">
      <c r="A109" s="8" t="s">
        <v>115</v>
      </c>
      <c r="B109" s="8"/>
      <c r="C109" s="25">
        <v>1</v>
      </c>
      <c r="D109" s="25">
        <v>1</v>
      </c>
      <c r="E109" s="25"/>
      <c r="F109" s="1">
        <v>9</v>
      </c>
      <c r="G109" s="79">
        <v>31</v>
      </c>
      <c r="H109" s="8">
        <v>83</v>
      </c>
      <c r="I109" s="3" t="s">
        <v>191</v>
      </c>
      <c r="J109" s="70"/>
      <c r="K109" s="76">
        <v>4603.3500000000004</v>
      </c>
      <c r="L109" s="79"/>
      <c r="M109" s="77">
        <v>2144</v>
      </c>
      <c r="N109" s="76">
        <f t="shared" si="28"/>
        <v>643.20000000000005</v>
      </c>
      <c r="O109" s="76">
        <f t="shared" si="29"/>
        <v>2762.01</v>
      </c>
      <c r="P109" s="76">
        <f t="shared" si="30"/>
        <v>0</v>
      </c>
      <c r="Q109" s="76">
        <f t="shared" si="31"/>
        <v>0</v>
      </c>
      <c r="R109" s="65">
        <f t="shared" si="32"/>
        <v>0.47</v>
      </c>
      <c r="S109" s="65">
        <f>IF(R109&gt;0.6,+R109-0.6,0)</f>
        <v>0</v>
      </c>
      <c r="T109" s="34">
        <f>ROUND(S109*K109,2)</f>
        <v>0</v>
      </c>
      <c r="U109" s="34">
        <f t="shared" si="33"/>
        <v>0</v>
      </c>
      <c r="V109" s="77">
        <v>166</v>
      </c>
      <c r="W109" s="76">
        <f t="shared" si="34"/>
        <v>41.5</v>
      </c>
      <c r="X109" s="36">
        <f>ROUND(M109*$X$2,2)</f>
        <v>643.20000000000005</v>
      </c>
      <c r="Y109" s="9">
        <f t="shared" si="35"/>
        <v>5288.05</v>
      </c>
      <c r="Z109" s="76">
        <v>5114946730.6700001</v>
      </c>
      <c r="AA109" s="77">
        <v>46473</v>
      </c>
      <c r="AB109" s="17">
        <f t="shared" si="24"/>
        <v>110062.76</v>
      </c>
      <c r="AC109" s="37">
        <f t="shared" si="25"/>
        <v>0.57167500000000004</v>
      </c>
      <c r="AD109" s="77">
        <v>67651</v>
      </c>
      <c r="AE109" s="37">
        <f t="shared" si="26"/>
        <v>0.561446</v>
      </c>
      <c r="AF109" s="37">
        <f t="shared" si="44"/>
        <v>0.431394</v>
      </c>
      <c r="AG109" s="71">
        <f t="shared" si="36"/>
        <v>0.431394</v>
      </c>
      <c r="AH109" s="38">
        <f>IF(G109&gt;=1,IF(G109&lt;=5,0.06,IF(G109&lt;=10,0.05,IF(G109&lt;=15,0.04,IF(G109&lt;=19,0.03,0)))),0)</f>
        <v>0</v>
      </c>
      <c r="AI109" s="74">
        <f t="shared" si="37"/>
        <v>0.431394</v>
      </c>
      <c r="AJ109" s="77">
        <v>0</v>
      </c>
      <c r="AK109" s="77">
        <v>0</v>
      </c>
      <c r="AL109" s="11">
        <f t="shared" si="38"/>
        <v>0</v>
      </c>
      <c r="AM109" s="83"/>
      <c r="AN109" s="84"/>
      <c r="AO109" s="11">
        <f t="shared" si="39"/>
        <v>0</v>
      </c>
      <c r="AP109" s="11">
        <f>ROUND(Y109*AI109*$AP$21,0)</f>
        <v>26291211</v>
      </c>
      <c r="AQ109" s="11">
        <f t="shared" si="40"/>
        <v>26291211</v>
      </c>
      <c r="AR109" s="35">
        <v>19515825</v>
      </c>
      <c r="AS109" s="11">
        <f t="shared" si="41"/>
        <v>6775386</v>
      </c>
      <c r="AT109" s="72" t="str">
        <f t="shared" si="42"/>
        <v>Yes</v>
      </c>
      <c r="AU109" s="77">
        <v>21551965</v>
      </c>
      <c r="AV109" s="35">
        <f t="shared" si="43"/>
        <v>722256.14760000003</v>
      </c>
      <c r="AW109" s="35">
        <f t="shared" si="27"/>
        <v>22274221.147599999</v>
      </c>
      <c r="AX109" s="35">
        <f>IF(C109=1,MAX(AW109,AR109),AW109)</f>
        <v>22274221.147599999</v>
      </c>
      <c r="AY109" s="66"/>
      <c r="AZ109" s="67"/>
      <c r="BA109" s="35"/>
      <c r="BB109" s="68"/>
      <c r="BC109" s="35"/>
      <c r="BD109" s="21"/>
      <c r="BF109" s="21"/>
      <c r="BG109" s="21"/>
      <c r="BK109" s="21"/>
      <c r="BL109" s="21"/>
      <c r="BM109" s="21"/>
      <c r="BN109" s="21"/>
      <c r="BO109" s="21"/>
    </row>
    <row r="110" spans="1:67" ht="14.35" x14ac:dyDescent="0.5">
      <c r="A110" s="8" t="s">
        <v>110</v>
      </c>
      <c r="B110" s="8"/>
      <c r="C110" s="25"/>
      <c r="D110" s="25"/>
      <c r="E110" s="25"/>
      <c r="F110" s="1">
        <v>6</v>
      </c>
      <c r="G110" s="78">
        <v>80</v>
      </c>
      <c r="H110" s="8">
        <v>84</v>
      </c>
      <c r="I110" s="3" t="s">
        <v>192</v>
      </c>
      <c r="J110" s="70"/>
      <c r="K110" s="76">
        <v>5426.46</v>
      </c>
      <c r="L110" s="78"/>
      <c r="M110" s="77">
        <v>1551</v>
      </c>
      <c r="N110" s="76">
        <f t="shared" si="28"/>
        <v>465.3</v>
      </c>
      <c r="O110" s="76">
        <f t="shared" si="29"/>
        <v>3255.88</v>
      </c>
      <c r="P110" s="76">
        <f t="shared" si="30"/>
        <v>0</v>
      </c>
      <c r="Q110" s="76">
        <f t="shared" si="31"/>
        <v>0</v>
      </c>
      <c r="R110" s="65">
        <f t="shared" si="32"/>
        <v>0.28999999999999998</v>
      </c>
      <c r="S110" s="65">
        <f>IF(R110&gt;0.6,+R110-0.6,0)</f>
        <v>0</v>
      </c>
      <c r="T110" s="34">
        <f>ROUND(S110*K110,2)</f>
        <v>0</v>
      </c>
      <c r="U110" s="34">
        <f t="shared" si="33"/>
        <v>0</v>
      </c>
      <c r="V110" s="77">
        <v>128</v>
      </c>
      <c r="W110" s="76">
        <f t="shared" si="34"/>
        <v>32</v>
      </c>
      <c r="X110" s="36">
        <f>ROUND(M110*$X$2,2)</f>
        <v>465.3</v>
      </c>
      <c r="Y110" s="9">
        <f t="shared" si="35"/>
        <v>5923.76</v>
      </c>
      <c r="Z110" s="76">
        <v>9672348317.3299999</v>
      </c>
      <c r="AA110" s="77">
        <v>54047</v>
      </c>
      <c r="AB110" s="17">
        <f t="shared" si="24"/>
        <v>178961.8</v>
      </c>
      <c r="AC110" s="37">
        <f t="shared" si="25"/>
        <v>0.92954199999999998</v>
      </c>
      <c r="AD110" s="77">
        <v>89778</v>
      </c>
      <c r="AE110" s="37">
        <f t="shared" si="26"/>
        <v>0.74508099999999999</v>
      </c>
      <c r="AF110" s="37">
        <f t="shared" si="44"/>
        <v>0.12579599999999999</v>
      </c>
      <c r="AG110" s="71">
        <f t="shared" si="36"/>
        <v>0.12579599999999999</v>
      </c>
      <c r="AH110" s="38">
        <f>IF(G110&gt;=1,IF(G110&lt;=5,0.06,IF(G110&lt;=10,0.05,IF(G110&lt;=15,0.04,IF(G110&lt;=19,0.03,0)))),0)</f>
        <v>0</v>
      </c>
      <c r="AI110" s="74">
        <f t="shared" si="37"/>
        <v>0.12579599999999999</v>
      </c>
      <c r="AJ110" s="77">
        <v>0</v>
      </c>
      <c r="AK110" s="77">
        <v>0</v>
      </c>
      <c r="AL110" s="11">
        <f t="shared" si="38"/>
        <v>0</v>
      </c>
      <c r="AM110" s="83"/>
      <c r="AN110" s="84"/>
      <c r="AO110" s="11">
        <f t="shared" si="39"/>
        <v>0</v>
      </c>
      <c r="AP110" s="11">
        <f>ROUND(Y110*AI110*$AP$21,0)</f>
        <v>8588261</v>
      </c>
      <c r="AQ110" s="11">
        <f t="shared" si="40"/>
        <v>8588261</v>
      </c>
      <c r="AR110" s="35">
        <v>10849101</v>
      </c>
      <c r="AS110" s="11">
        <f t="shared" si="41"/>
        <v>2260840</v>
      </c>
      <c r="AT110" s="72" t="str">
        <f t="shared" si="42"/>
        <v>No</v>
      </c>
      <c r="AU110" s="77">
        <v>9673235</v>
      </c>
      <c r="AV110" s="35">
        <f t="shared" si="43"/>
        <v>0</v>
      </c>
      <c r="AW110" s="35">
        <f t="shared" si="27"/>
        <v>9673235</v>
      </c>
      <c r="AX110" s="35">
        <f>IF(C110=1,MAX(AW110,AR110),AW110)</f>
        <v>9673235</v>
      </c>
      <c r="AY110" s="66"/>
      <c r="AZ110" s="67"/>
      <c r="BA110" s="35"/>
      <c r="BB110" s="68"/>
      <c r="BC110" s="35"/>
      <c r="BD110" s="21"/>
      <c r="BF110" s="21"/>
      <c r="BG110" s="21"/>
      <c r="BK110" s="21"/>
      <c r="BL110" s="21"/>
      <c r="BM110" s="21"/>
      <c r="BN110" s="21"/>
      <c r="BO110" s="21"/>
    </row>
    <row r="111" spans="1:67" ht="14.35" x14ac:dyDescent="0.5">
      <c r="A111" s="8" t="s">
        <v>106</v>
      </c>
      <c r="B111" s="8"/>
      <c r="C111" s="25"/>
      <c r="D111" s="25"/>
      <c r="E111" s="25"/>
      <c r="F111" s="1">
        <v>3</v>
      </c>
      <c r="G111" s="78">
        <v>77</v>
      </c>
      <c r="H111" s="8">
        <v>85</v>
      </c>
      <c r="I111" s="3" t="s">
        <v>193</v>
      </c>
      <c r="J111" s="70"/>
      <c r="K111" s="76">
        <v>3202.95</v>
      </c>
      <c r="L111" s="78"/>
      <c r="M111" s="77">
        <v>350</v>
      </c>
      <c r="N111" s="76">
        <f t="shared" si="28"/>
        <v>105</v>
      </c>
      <c r="O111" s="76">
        <f t="shared" si="29"/>
        <v>1921.77</v>
      </c>
      <c r="P111" s="76">
        <f t="shared" si="30"/>
        <v>0</v>
      </c>
      <c r="Q111" s="76">
        <f t="shared" si="31"/>
        <v>0</v>
      </c>
      <c r="R111" s="65">
        <f t="shared" si="32"/>
        <v>0.11</v>
      </c>
      <c r="S111" s="65">
        <f>IF(R111&gt;0.6,+R111-0.6,0)</f>
        <v>0</v>
      </c>
      <c r="T111" s="34">
        <f>ROUND(S111*K111,2)</f>
        <v>0</v>
      </c>
      <c r="U111" s="34">
        <f t="shared" si="33"/>
        <v>0</v>
      </c>
      <c r="V111" s="77">
        <v>36</v>
      </c>
      <c r="W111" s="76">
        <f t="shared" si="34"/>
        <v>9</v>
      </c>
      <c r="X111" s="36">
        <f>ROUND(M111*$X$2,2)</f>
        <v>105</v>
      </c>
      <c r="Y111" s="9">
        <f t="shared" si="35"/>
        <v>3316.95</v>
      </c>
      <c r="Z111" s="76">
        <v>3241585331.3299999</v>
      </c>
      <c r="AA111" s="77">
        <v>19621</v>
      </c>
      <c r="AB111" s="17">
        <f t="shared" si="24"/>
        <v>165210</v>
      </c>
      <c r="AC111" s="37">
        <f t="shared" si="25"/>
        <v>0.85811400000000004</v>
      </c>
      <c r="AD111" s="77">
        <v>115049</v>
      </c>
      <c r="AE111" s="37">
        <f t="shared" si="26"/>
        <v>0.95480900000000002</v>
      </c>
      <c r="AF111" s="37">
        <f t="shared" si="44"/>
        <v>0.11287800000000001</v>
      </c>
      <c r="AG111" s="71">
        <f t="shared" si="36"/>
        <v>0.11287800000000001</v>
      </c>
      <c r="AH111" s="38">
        <f>IF(G111&gt;=1,IF(G111&lt;=5,0.06,IF(G111&lt;=10,0.05,IF(G111&lt;=15,0.04,IF(G111&lt;=19,0.03,0)))),0)</f>
        <v>0</v>
      </c>
      <c r="AI111" s="74">
        <f t="shared" si="37"/>
        <v>0.11287800000000001</v>
      </c>
      <c r="AJ111" s="77">
        <v>0</v>
      </c>
      <c r="AK111" s="77">
        <v>0</v>
      </c>
      <c r="AL111" s="11">
        <f t="shared" si="38"/>
        <v>0</v>
      </c>
      <c r="AM111" s="83"/>
      <c r="AN111" s="84"/>
      <c r="AO111" s="11">
        <f t="shared" si="39"/>
        <v>0</v>
      </c>
      <c r="AP111" s="11">
        <f>ROUND(Y111*AI111*$AP$21,0)</f>
        <v>4315083</v>
      </c>
      <c r="AQ111" s="11">
        <f t="shared" si="40"/>
        <v>4315083</v>
      </c>
      <c r="AR111" s="35">
        <v>6394518</v>
      </c>
      <c r="AS111" s="11">
        <f t="shared" si="41"/>
        <v>2079435</v>
      </c>
      <c r="AT111" s="72" t="str">
        <f t="shared" si="42"/>
        <v>No</v>
      </c>
      <c r="AU111" s="77">
        <v>5272935</v>
      </c>
      <c r="AV111" s="35">
        <f t="shared" si="43"/>
        <v>0</v>
      </c>
      <c r="AW111" s="35">
        <f t="shared" si="27"/>
        <v>5272935</v>
      </c>
      <c r="AX111" s="35">
        <f>IF(C111=1,MAX(AW111,AR111),AW111)</f>
        <v>5272935</v>
      </c>
      <c r="AY111" s="66"/>
      <c r="AZ111" s="67"/>
      <c r="BA111" s="35"/>
      <c r="BB111" s="68"/>
      <c r="BC111" s="35"/>
      <c r="BD111" s="21"/>
      <c r="BF111" s="21"/>
      <c r="BG111" s="21"/>
      <c r="BK111" s="21"/>
      <c r="BL111" s="21"/>
      <c r="BM111" s="21"/>
      <c r="BN111" s="21"/>
      <c r="BO111" s="21"/>
    </row>
    <row r="112" spans="1:67" ht="14.35" x14ac:dyDescent="0.5">
      <c r="A112" s="8" t="s">
        <v>128</v>
      </c>
      <c r="B112" s="8"/>
      <c r="C112" s="25"/>
      <c r="D112" s="25"/>
      <c r="E112" s="25"/>
      <c r="F112" s="1">
        <v>8</v>
      </c>
      <c r="G112" s="79">
        <v>21</v>
      </c>
      <c r="H112" s="8">
        <v>86</v>
      </c>
      <c r="I112" s="3" t="s">
        <v>194</v>
      </c>
      <c r="J112" s="70"/>
      <c r="K112" s="76">
        <v>2127.64</v>
      </c>
      <c r="L112" s="79"/>
      <c r="M112" s="77">
        <v>968</v>
      </c>
      <c r="N112" s="76">
        <f t="shared" si="28"/>
        <v>290.39999999999998</v>
      </c>
      <c r="O112" s="76">
        <f t="shared" si="29"/>
        <v>1276.58</v>
      </c>
      <c r="P112" s="76">
        <f t="shared" si="30"/>
        <v>0</v>
      </c>
      <c r="Q112" s="76">
        <f t="shared" si="31"/>
        <v>0</v>
      </c>
      <c r="R112" s="65">
        <f t="shared" si="32"/>
        <v>0.45</v>
      </c>
      <c r="S112" s="65">
        <f>IF(R112&gt;0.6,+R112-0.6,0)</f>
        <v>0</v>
      </c>
      <c r="T112" s="34">
        <f>ROUND(S112*K112,2)</f>
        <v>0</v>
      </c>
      <c r="U112" s="34">
        <f t="shared" si="33"/>
        <v>0</v>
      </c>
      <c r="V112" s="77">
        <v>97</v>
      </c>
      <c r="W112" s="76">
        <f t="shared" si="34"/>
        <v>24.25</v>
      </c>
      <c r="X112" s="36">
        <f>ROUND(M112*$X$2,2)</f>
        <v>290.39999999999998</v>
      </c>
      <c r="Y112" s="9">
        <f t="shared" si="35"/>
        <v>2442.29</v>
      </c>
      <c r="Z112" s="76">
        <v>1897089863.3299999</v>
      </c>
      <c r="AA112" s="77">
        <v>19094</v>
      </c>
      <c r="AB112" s="17">
        <f t="shared" si="24"/>
        <v>99355.29</v>
      </c>
      <c r="AC112" s="37">
        <f t="shared" si="25"/>
        <v>0.51605999999999996</v>
      </c>
      <c r="AD112" s="77">
        <v>73765</v>
      </c>
      <c r="AE112" s="37">
        <f t="shared" si="26"/>
        <v>0.61218700000000004</v>
      </c>
      <c r="AF112" s="37">
        <f t="shared" si="44"/>
        <v>0.45510200000000001</v>
      </c>
      <c r="AG112" s="71">
        <f t="shared" si="36"/>
        <v>0.45510200000000001</v>
      </c>
      <c r="AH112" s="38">
        <f>IF(G112&gt;=1,IF(G112&lt;=5,0.06,IF(G112&lt;=10,0.05,IF(G112&lt;=15,0.04,IF(G112&lt;=19,0.03,0)))),0)</f>
        <v>0</v>
      </c>
      <c r="AI112" s="74">
        <f t="shared" si="37"/>
        <v>0.45510200000000001</v>
      </c>
      <c r="AJ112" s="77">
        <v>0</v>
      </c>
      <c r="AK112" s="77">
        <v>0</v>
      </c>
      <c r="AL112" s="11">
        <f t="shared" si="38"/>
        <v>0</v>
      </c>
      <c r="AM112" s="83">
        <v>1</v>
      </c>
      <c r="AN112" s="84">
        <v>4</v>
      </c>
      <c r="AO112" s="11">
        <f t="shared" si="39"/>
        <v>400</v>
      </c>
      <c r="AP112" s="11">
        <f>ROUND(Y112*AI112*$AP$21,0)</f>
        <v>12809935</v>
      </c>
      <c r="AQ112" s="11">
        <f t="shared" si="40"/>
        <v>12810335</v>
      </c>
      <c r="AR112" s="35">
        <v>12589621</v>
      </c>
      <c r="AS112" s="11">
        <f t="shared" si="41"/>
        <v>220714</v>
      </c>
      <c r="AT112" s="72" t="str">
        <f t="shared" si="42"/>
        <v>Yes</v>
      </c>
      <c r="AU112" s="77">
        <v>12779336</v>
      </c>
      <c r="AV112" s="35">
        <f t="shared" si="43"/>
        <v>23528.112400000002</v>
      </c>
      <c r="AW112" s="35">
        <f t="shared" si="27"/>
        <v>12802864.112400001</v>
      </c>
      <c r="AX112" s="35">
        <f>IF(C112=1,MAX(AW112,AR112),AW112)</f>
        <v>12802864.112400001</v>
      </c>
      <c r="AY112" s="66"/>
      <c r="AZ112" s="67"/>
      <c r="BA112" s="35"/>
      <c r="BB112" s="68"/>
      <c r="BC112" s="35"/>
      <c r="BD112" s="21"/>
      <c r="BF112" s="21"/>
      <c r="BG112" s="21"/>
      <c r="BK112" s="21"/>
      <c r="BL112" s="21"/>
      <c r="BM112" s="21"/>
      <c r="BN112" s="21"/>
      <c r="BO112" s="21"/>
    </row>
    <row r="113" spans="1:67" ht="14.35" x14ac:dyDescent="0.5">
      <c r="A113" s="8" t="s">
        <v>104</v>
      </c>
      <c r="B113" s="8"/>
      <c r="C113" s="25"/>
      <c r="D113" s="25"/>
      <c r="E113" s="25"/>
      <c r="F113" s="1">
        <v>3</v>
      </c>
      <c r="G113" s="78">
        <v>133</v>
      </c>
      <c r="H113" s="8">
        <v>87</v>
      </c>
      <c r="I113" s="3" t="s">
        <v>195</v>
      </c>
      <c r="J113" s="70"/>
      <c r="K113" s="76">
        <v>215.58</v>
      </c>
      <c r="L113" s="78"/>
      <c r="M113" s="77">
        <v>65</v>
      </c>
      <c r="N113" s="76">
        <f t="shared" si="28"/>
        <v>19.5</v>
      </c>
      <c r="O113" s="76">
        <f t="shared" si="29"/>
        <v>129.35</v>
      </c>
      <c r="P113" s="76">
        <f t="shared" si="30"/>
        <v>0</v>
      </c>
      <c r="Q113" s="76">
        <f t="shared" si="31"/>
        <v>0</v>
      </c>
      <c r="R113" s="65">
        <f t="shared" si="32"/>
        <v>0.3</v>
      </c>
      <c r="S113" s="65">
        <f>IF(R113&gt;0.6,+R113-0.6,0)</f>
        <v>0</v>
      </c>
      <c r="T113" s="34">
        <f>ROUND(S113*K113,2)</f>
        <v>0</v>
      </c>
      <c r="U113" s="34">
        <f t="shared" si="33"/>
        <v>0</v>
      </c>
      <c r="V113" s="77">
        <v>4</v>
      </c>
      <c r="W113" s="76">
        <f t="shared" si="34"/>
        <v>1</v>
      </c>
      <c r="X113" s="36">
        <f>ROUND(M113*$X$2,2)</f>
        <v>19.5</v>
      </c>
      <c r="Y113" s="9">
        <f t="shared" si="35"/>
        <v>236.08</v>
      </c>
      <c r="Z113" s="76">
        <v>476416325.67000002</v>
      </c>
      <c r="AA113" s="77">
        <v>2288</v>
      </c>
      <c r="AB113" s="17">
        <f t="shared" si="24"/>
        <v>208223.92</v>
      </c>
      <c r="AC113" s="37">
        <f t="shared" si="25"/>
        <v>1.0815319999999999</v>
      </c>
      <c r="AD113" s="77">
        <v>94500</v>
      </c>
      <c r="AE113" s="37">
        <f t="shared" si="26"/>
        <v>0.78427000000000002</v>
      </c>
      <c r="AF113" s="37">
        <f t="shared" si="44"/>
        <v>7.6470000000000002E-3</v>
      </c>
      <c r="AG113" s="71">
        <f t="shared" si="36"/>
        <v>0.01</v>
      </c>
      <c r="AH113" s="38">
        <f>IF(G113&gt;=1,IF(G113&lt;=5,0.06,IF(G113&lt;=10,0.05,IF(G113&lt;=15,0.04,IF(G113&lt;=19,0.03,0)))),0)</f>
        <v>0</v>
      </c>
      <c r="AI113" s="74">
        <f t="shared" si="37"/>
        <v>0.01</v>
      </c>
      <c r="AJ113" s="77">
        <v>218</v>
      </c>
      <c r="AK113" s="77">
        <v>13</v>
      </c>
      <c r="AL113" s="11">
        <f t="shared" si="38"/>
        <v>283400</v>
      </c>
      <c r="AM113" s="83"/>
      <c r="AN113" s="84"/>
      <c r="AO113" s="11">
        <f t="shared" si="39"/>
        <v>0</v>
      </c>
      <c r="AP113" s="11">
        <f>ROUND(Y113*AI113*$AP$21,0)</f>
        <v>27208</v>
      </c>
      <c r="AQ113" s="11">
        <f t="shared" si="40"/>
        <v>310608</v>
      </c>
      <c r="AR113" s="35">
        <v>102178</v>
      </c>
      <c r="AS113" s="11">
        <f t="shared" si="41"/>
        <v>208430</v>
      </c>
      <c r="AT113" s="72" t="str">
        <f t="shared" si="42"/>
        <v>Yes</v>
      </c>
      <c r="AU113" s="77">
        <v>109929</v>
      </c>
      <c r="AV113" s="35">
        <f t="shared" si="43"/>
        <v>22218.637999999999</v>
      </c>
      <c r="AW113" s="35">
        <f t="shared" si="27"/>
        <v>132147.63800000001</v>
      </c>
      <c r="AX113" s="35">
        <f>IF(C113=1,MAX(AW113,AR113),AW113)</f>
        <v>132147.63800000001</v>
      </c>
      <c r="AY113" s="66"/>
      <c r="AZ113" s="67"/>
      <c r="BA113" s="35"/>
      <c r="BB113" s="68"/>
      <c r="BC113" s="35"/>
      <c r="BD113" s="21"/>
      <c r="BF113" s="21"/>
      <c r="BG113" s="21"/>
      <c r="BK113" s="21"/>
      <c r="BL113" s="21"/>
      <c r="BM113" s="21"/>
      <c r="BN113" s="21"/>
      <c r="BO113" s="21"/>
    </row>
    <row r="114" spans="1:67" ht="14.35" x14ac:dyDescent="0.5">
      <c r="A114" s="8" t="s">
        <v>115</v>
      </c>
      <c r="B114" s="8"/>
      <c r="C114" s="25">
        <v>1</v>
      </c>
      <c r="D114" s="25">
        <v>1</v>
      </c>
      <c r="E114" s="25"/>
      <c r="F114" s="1">
        <v>10</v>
      </c>
      <c r="G114" s="79">
        <v>13</v>
      </c>
      <c r="H114" s="8">
        <v>88</v>
      </c>
      <c r="I114" s="3" t="s">
        <v>196</v>
      </c>
      <c r="J114" s="70"/>
      <c r="K114" s="76">
        <v>4538.93</v>
      </c>
      <c r="L114" s="79"/>
      <c r="M114" s="77">
        <v>2562</v>
      </c>
      <c r="N114" s="76">
        <f t="shared" si="28"/>
        <v>768.6</v>
      </c>
      <c r="O114" s="76">
        <f t="shared" si="29"/>
        <v>2723.36</v>
      </c>
      <c r="P114" s="76">
        <f t="shared" si="30"/>
        <v>0</v>
      </c>
      <c r="Q114" s="76">
        <f t="shared" si="31"/>
        <v>0</v>
      </c>
      <c r="R114" s="65">
        <f t="shared" si="32"/>
        <v>0.56000000000000005</v>
      </c>
      <c r="S114" s="65">
        <f>IF(R114&gt;0.6,+R114-0.6,0)</f>
        <v>0</v>
      </c>
      <c r="T114" s="34">
        <f>ROUND(S114*K114,2)</f>
        <v>0</v>
      </c>
      <c r="U114" s="34">
        <f t="shared" si="33"/>
        <v>0</v>
      </c>
      <c r="V114" s="77">
        <v>337</v>
      </c>
      <c r="W114" s="76">
        <f t="shared" si="34"/>
        <v>84.25</v>
      </c>
      <c r="X114" s="36">
        <f>ROUND(M114*$X$2,2)</f>
        <v>768.6</v>
      </c>
      <c r="Y114" s="9">
        <f t="shared" si="35"/>
        <v>5391.7800000000007</v>
      </c>
      <c r="Z114" s="76">
        <v>2395636456.6700001</v>
      </c>
      <c r="AA114" s="77">
        <v>31481</v>
      </c>
      <c r="AB114" s="17">
        <f t="shared" si="24"/>
        <v>76097.850000000006</v>
      </c>
      <c r="AC114" s="37">
        <f t="shared" si="25"/>
        <v>0.395258</v>
      </c>
      <c r="AD114" s="77">
        <v>70512</v>
      </c>
      <c r="AE114" s="37">
        <f t="shared" si="26"/>
        <v>0.58518999999999999</v>
      </c>
      <c r="AF114" s="37">
        <f t="shared" si="44"/>
        <v>0.54776199999999997</v>
      </c>
      <c r="AG114" s="71">
        <f t="shared" si="36"/>
        <v>0.54776199999999997</v>
      </c>
      <c r="AH114" s="38">
        <f>IF(G114&gt;=1,IF(G114&lt;=5,0.06,IF(G114&lt;=10,0.05,IF(G114&lt;=15,0.04,IF(G114&lt;=19,0.03,0)))),0)</f>
        <v>0.04</v>
      </c>
      <c r="AI114" s="74">
        <f t="shared" si="37"/>
        <v>0.58776200000000001</v>
      </c>
      <c r="AJ114" s="77">
        <v>0</v>
      </c>
      <c r="AK114" s="77">
        <v>0</v>
      </c>
      <c r="AL114" s="11">
        <f t="shared" si="38"/>
        <v>0</v>
      </c>
      <c r="AM114" s="83"/>
      <c r="AN114" s="84"/>
      <c r="AO114" s="11">
        <f t="shared" si="39"/>
        <v>0</v>
      </c>
      <c r="AP114" s="11">
        <f>ROUND(Y114*AI114*$AP$21,0)</f>
        <v>36523686</v>
      </c>
      <c r="AQ114" s="11">
        <f t="shared" si="40"/>
        <v>36523686</v>
      </c>
      <c r="AR114" s="35">
        <v>30280380</v>
      </c>
      <c r="AS114" s="11">
        <f t="shared" si="41"/>
        <v>6243306</v>
      </c>
      <c r="AT114" s="72" t="str">
        <f t="shared" si="42"/>
        <v>Yes</v>
      </c>
      <c r="AU114" s="77">
        <v>32037303</v>
      </c>
      <c r="AV114" s="35">
        <f t="shared" si="43"/>
        <v>665536.41960000002</v>
      </c>
      <c r="AW114" s="35">
        <f t="shared" si="27"/>
        <v>32702839.419599999</v>
      </c>
      <c r="AX114" s="35">
        <f>IF(C114=1,MAX(AW114,AR114),AW114)</f>
        <v>32702839.419599999</v>
      </c>
      <c r="AY114" s="66"/>
      <c r="AZ114" s="67"/>
      <c r="BA114" s="35"/>
      <c r="BB114" s="68"/>
      <c r="BC114" s="35"/>
      <c r="BD114" s="21"/>
      <c r="BF114" s="21"/>
      <c r="BG114" s="21"/>
      <c r="BK114" s="21"/>
      <c r="BL114" s="21"/>
      <c r="BM114" s="21"/>
      <c r="BN114" s="21"/>
      <c r="BO114" s="21"/>
    </row>
    <row r="115" spans="1:67" ht="14.35" x14ac:dyDescent="0.5">
      <c r="A115" s="8" t="s">
        <v>120</v>
      </c>
      <c r="B115" s="8">
        <v>1</v>
      </c>
      <c r="C115" s="25">
        <v>1</v>
      </c>
      <c r="D115" s="25">
        <v>0</v>
      </c>
      <c r="E115" s="25">
        <v>1</v>
      </c>
      <c r="F115" s="1">
        <v>10</v>
      </c>
      <c r="G115" s="79">
        <v>3</v>
      </c>
      <c r="H115" s="8">
        <v>89</v>
      </c>
      <c r="I115" s="3" t="s">
        <v>197</v>
      </c>
      <c r="J115" s="70"/>
      <c r="K115" s="76">
        <v>11097.79</v>
      </c>
      <c r="L115" s="79"/>
      <c r="M115" s="77">
        <v>8178</v>
      </c>
      <c r="N115" s="76">
        <f t="shared" si="28"/>
        <v>2453.4</v>
      </c>
      <c r="O115" s="76">
        <f t="shared" si="29"/>
        <v>6658.67</v>
      </c>
      <c r="P115" s="76">
        <f t="shared" si="30"/>
        <v>1519.33</v>
      </c>
      <c r="Q115" s="76">
        <f t="shared" si="31"/>
        <v>227.9</v>
      </c>
      <c r="R115" s="65">
        <f t="shared" si="32"/>
        <v>0.74</v>
      </c>
      <c r="S115" s="65">
        <f>IF(R115&gt;0.6,+R115-0.6,0)</f>
        <v>0.14000000000000001</v>
      </c>
      <c r="T115" s="34">
        <f>ROUND(S115*K115,2)</f>
        <v>1553.69</v>
      </c>
      <c r="U115" s="34">
        <f t="shared" si="33"/>
        <v>233.05</v>
      </c>
      <c r="V115" s="77">
        <v>1815</v>
      </c>
      <c r="W115" s="76">
        <f t="shared" si="34"/>
        <v>453.75</v>
      </c>
      <c r="X115" s="36">
        <f>ROUND(M115*$X$2,2)</f>
        <v>2453.4</v>
      </c>
      <c r="Y115" s="9">
        <f t="shared" si="35"/>
        <v>14232.84</v>
      </c>
      <c r="Z115" s="76">
        <v>3969245273.3299999</v>
      </c>
      <c r="AA115" s="77">
        <v>72839</v>
      </c>
      <c r="AB115" s="17">
        <f t="shared" si="24"/>
        <v>54493.41</v>
      </c>
      <c r="AC115" s="37">
        <f t="shared" si="25"/>
        <v>0.28304299999999999</v>
      </c>
      <c r="AD115" s="77">
        <v>45258</v>
      </c>
      <c r="AE115" s="37">
        <f t="shared" si="26"/>
        <v>0.37560300000000002</v>
      </c>
      <c r="AF115" s="37">
        <f t="shared" si="44"/>
        <v>0.68918900000000005</v>
      </c>
      <c r="AG115" s="71">
        <f t="shared" si="36"/>
        <v>0.68918900000000005</v>
      </c>
      <c r="AH115" s="38">
        <f>IF(G115&gt;=1,IF(G115&lt;=5,0.06,IF(G115&lt;=10,0.05,IF(G115&lt;=15,0.04,IF(G115&lt;=19,0.03,0)))),0)</f>
        <v>0.06</v>
      </c>
      <c r="AI115" s="74">
        <f t="shared" si="37"/>
        <v>0.7491890000000001</v>
      </c>
      <c r="AJ115" s="77">
        <v>0</v>
      </c>
      <c r="AK115" s="77">
        <v>0</v>
      </c>
      <c r="AL115" s="11">
        <f t="shared" si="38"/>
        <v>0</v>
      </c>
      <c r="AM115" s="83"/>
      <c r="AN115" s="84"/>
      <c r="AO115" s="11">
        <f t="shared" si="39"/>
        <v>0</v>
      </c>
      <c r="AP115" s="11">
        <f>ROUND(Y115*AI115*$AP$21,0)</f>
        <v>122892080</v>
      </c>
      <c r="AQ115" s="11">
        <f t="shared" si="40"/>
        <v>122892080</v>
      </c>
      <c r="AR115" s="35">
        <v>86195269</v>
      </c>
      <c r="AS115" s="11">
        <f t="shared" si="41"/>
        <v>36696811</v>
      </c>
      <c r="AT115" s="72" t="str">
        <f t="shared" si="42"/>
        <v>Yes</v>
      </c>
      <c r="AU115" s="77">
        <v>95776383</v>
      </c>
      <c r="AV115" s="35">
        <f t="shared" si="43"/>
        <v>3911880.0526000001</v>
      </c>
      <c r="AW115" s="35">
        <f t="shared" si="27"/>
        <v>99688263.052599996</v>
      </c>
      <c r="AX115" s="35">
        <f>IF(C115=1,MAX(AW115,AR115),AW115)</f>
        <v>99688263.052599996</v>
      </c>
      <c r="AY115" s="66"/>
      <c r="AZ115" s="67"/>
      <c r="BA115" s="35"/>
      <c r="BB115" s="68"/>
      <c r="BC115" s="35"/>
      <c r="BD115" s="21"/>
      <c r="BF115" s="21"/>
      <c r="BG115" s="21"/>
      <c r="BK115" s="21"/>
      <c r="BL115" s="21"/>
      <c r="BM115" s="21"/>
      <c r="BN115" s="21"/>
      <c r="BO115" s="21"/>
    </row>
    <row r="116" spans="1:67" ht="14.35" x14ac:dyDescent="0.5">
      <c r="A116" s="8" t="s">
        <v>142</v>
      </c>
      <c r="B116" s="8"/>
      <c r="C116" s="25"/>
      <c r="D116" s="25"/>
      <c r="E116" s="25"/>
      <c r="F116" s="1">
        <v>1</v>
      </c>
      <c r="G116" s="78">
        <v>168</v>
      </c>
      <c r="H116" s="8">
        <v>90</v>
      </c>
      <c r="I116" s="3" t="s">
        <v>198</v>
      </c>
      <c r="J116" s="70"/>
      <c r="K116" s="76">
        <v>4230.76</v>
      </c>
      <c r="L116" s="78"/>
      <c r="M116" s="77">
        <v>5</v>
      </c>
      <c r="N116" s="76">
        <f t="shared" si="28"/>
        <v>1.5</v>
      </c>
      <c r="O116" s="76">
        <f t="shared" si="29"/>
        <v>2538.46</v>
      </c>
      <c r="P116" s="76">
        <f t="shared" si="30"/>
        <v>0</v>
      </c>
      <c r="Q116" s="76">
        <f t="shared" si="31"/>
        <v>0</v>
      </c>
      <c r="R116" s="65">
        <f t="shared" si="32"/>
        <v>0</v>
      </c>
      <c r="S116" s="65">
        <f>IF(R116&gt;0.6,+R116-0.6,0)</f>
        <v>0</v>
      </c>
      <c r="T116" s="34">
        <f>ROUND(S116*K116,2)</f>
        <v>0</v>
      </c>
      <c r="U116" s="34">
        <f t="shared" si="33"/>
        <v>0</v>
      </c>
      <c r="V116" s="77">
        <v>29</v>
      </c>
      <c r="W116" s="76">
        <f t="shared" si="34"/>
        <v>7.25</v>
      </c>
      <c r="X116" s="36">
        <f>ROUND(M116*$X$2,2)</f>
        <v>1.5</v>
      </c>
      <c r="Y116" s="9">
        <f t="shared" si="35"/>
        <v>4239.51</v>
      </c>
      <c r="Z116" s="76">
        <v>11466893202.33</v>
      </c>
      <c r="AA116" s="77">
        <v>20273</v>
      </c>
      <c r="AB116" s="17">
        <f t="shared" si="24"/>
        <v>565623.89</v>
      </c>
      <c r="AC116" s="37">
        <f t="shared" si="25"/>
        <v>2.937897</v>
      </c>
      <c r="AD116" s="77">
        <v>192428</v>
      </c>
      <c r="AE116" s="37">
        <f t="shared" si="26"/>
        <v>1.596989</v>
      </c>
      <c r="AF116" s="37">
        <f t="shared" si="44"/>
        <v>-1.535625</v>
      </c>
      <c r="AG116" s="71">
        <f t="shared" si="36"/>
        <v>0.01</v>
      </c>
      <c r="AH116" s="38">
        <f>IF(G116&gt;=1,IF(G116&lt;=5,0.06,IF(G116&lt;=10,0.05,IF(G116&lt;=15,0.04,IF(G116&lt;=19,0.03,0)))),0)</f>
        <v>0</v>
      </c>
      <c r="AI116" s="74">
        <f t="shared" si="37"/>
        <v>0.01</v>
      </c>
      <c r="AJ116" s="77">
        <v>0</v>
      </c>
      <c r="AK116" s="77">
        <v>0</v>
      </c>
      <c r="AL116" s="11">
        <f t="shared" si="38"/>
        <v>0</v>
      </c>
      <c r="AM116" s="83"/>
      <c r="AN116" s="84"/>
      <c r="AO116" s="11">
        <f t="shared" si="39"/>
        <v>0</v>
      </c>
      <c r="AP116" s="11">
        <f>ROUND(Y116*AI116*$AP$21,0)</f>
        <v>488604</v>
      </c>
      <c r="AQ116" s="11">
        <f t="shared" si="40"/>
        <v>488604</v>
      </c>
      <c r="AR116" s="35">
        <v>339590</v>
      </c>
      <c r="AS116" s="11">
        <f t="shared" si="41"/>
        <v>149014</v>
      </c>
      <c r="AT116" s="72" t="str">
        <f t="shared" si="42"/>
        <v>Yes</v>
      </c>
      <c r="AU116" s="77">
        <v>377366</v>
      </c>
      <c r="AV116" s="35">
        <f t="shared" si="43"/>
        <v>15884.892400000001</v>
      </c>
      <c r="AW116" s="35">
        <f t="shared" si="27"/>
        <v>393250.89240000001</v>
      </c>
      <c r="AX116" s="35">
        <f>IF(C116=1,MAX(AW116,AR116),AW116)</f>
        <v>393250.89240000001</v>
      </c>
      <c r="AY116" s="66"/>
      <c r="AZ116" s="67"/>
      <c r="BA116" s="35"/>
      <c r="BB116" s="68"/>
      <c r="BC116" s="35"/>
      <c r="BD116" s="21"/>
      <c r="BF116" s="21"/>
      <c r="BG116" s="21"/>
      <c r="BK116" s="21"/>
      <c r="BL116" s="21"/>
      <c r="BM116" s="21"/>
      <c r="BN116" s="21"/>
      <c r="BO116" s="21"/>
    </row>
    <row r="117" spans="1:67" ht="14.35" x14ac:dyDescent="0.5">
      <c r="A117" s="8" t="s">
        <v>106</v>
      </c>
      <c r="B117" s="8"/>
      <c r="C117" s="25"/>
      <c r="D117" s="25"/>
      <c r="E117" s="25"/>
      <c r="F117" s="1">
        <v>3</v>
      </c>
      <c r="G117" s="78">
        <v>107</v>
      </c>
      <c r="H117" s="8">
        <v>91</v>
      </c>
      <c r="I117" s="3" t="s">
        <v>199</v>
      </c>
      <c r="J117" s="70"/>
      <c r="K117" s="76">
        <v>2053.7800000000002</v>
      </c>
      <c r="L117" s="78"/>
      <c r="M117" s="77">
        <v>277</v>
      </c>
      <c r="N117" s="76">
        <f t="shared" si="28"/>
        <v>83.1</v>
      </c>
      <c r="O117" s="76">
        <f t="shared" si="29"/>
        <v>1232.27</v>
      </c>
      <c r="P117" s="76">
        <f t="shared" si="30"/>
        <v>0</v>
      </c>
      <c r="Q117" s="76">
        <f t="shared" si="31"/>
        <v>0</v>
      </c>
      <c r="R117" s="65">
        <f t="shared" si="32"/>
        <v>0.13</v>
      </c>
      <c r="S117" s="65">
        <f>IF(R117&gt;0.6,+R117-0.6,0)</f>
        <v>0</v>
      </c>
      <c r="T117" s="34">
        <f>ROUND(S117*K117,2)</f>
        <v>0</v>
      </c>
      <c r="U117" s="34">
        <f t="shared" si="33"/>
        <v>0</v>
      </c>
      <c r="V117" s="77">
        <v>80</v>
      </c>
      <c r="W117" s="76">
        <f t="shared" si="34"/>
        <v>20</v>
      </c>
      <c r="X117" s="36">
        <f>ROUND(M117*$X$2,2)</f>
        <v>83.1</v>
      </c>
      <c r="Y117" s="9">
        <f t="shared" si="35"/>
        <v>2156.88</v>
      </c>
      <c r="Z117" s="76">
        <v>2500958862</v>
      </c>
      <c r="AA117" s="77">
        <v>13992</v>
      </c>
      <c r="AB117" s="17">
        <f t="shared" si="24"/>
        <v>178742.06</v>
      </c>
      <c r="AC117" s="37">
        <f t="shared" si="25"/>
        <v>0.92840100000000003</v>
      </c>
      <c r="AD117" s="77">
        <v>107089</v>
      </c>
      <c r="AE117" s="37">
        <f t="shared" si="26"/>
        <v>0.88874799999999998</v>
      </c>
      <c r="AF117" s="37">
        <f t="shared" si="44"/>
        <v>8.3495E-2</v>
      </c>
      <c r="AG117" s="71">
        <f t="shared" si="36"/>
        <v>8.3495E-2</v>
      </c>
      <c r="AH117" s="38">
        <f>IF(G117&gt;=1,IF(G117&lt;=5,0.06,IF(G117&lt;=10,0.05,IF(G117&lt;=15,0.04,IF(G117&lt;=19,0.03,0)))),0)</f>
        <v>0</v>
      </c>
      <c r="AI117" s="74">
        <f t="shared" si="37"/>
        <v>8.3495E-2</v>
      </c>
      <c r="AJ117" s="77">
        <v>0</v>
      </c>
      <c r="AK117" s="77">
        <v>0</v>
      </c>
      <c r="AL117" s="11">
        <f t="shared" si="38"/>
        <v>0</v>
      </c>
      <c r="AM117" s="83"/>
      <c r="AN117" s="84"/>
      <c r="AO117" s="11">
        <f t="shared" si="39"/>
        <v>0</v>
      </c>
      <c r="AP117" s="11">
        <f>ROUND(Y117*AI117*$AP$21,0)</f>
        <v>2075522</v>
      </c>
      <c r="AQ117" s="11">
        <f t="shared" si="40"/>
        <v>2075522</v>
      </c>
      <c r="AR117" s="35">
        <v>4338569</v>
      </c>
      <c r="AS117" s="11">
        <f t="shared" si="41"/>
        <v>2263047</v>
      </c>
      <c r="AT117" s="72" t="str">
        <f t="shared" si="42"/>
        <v>No</v>
      </c>
      <c r="AU117" s="77">
        <v>3481120</v>
      </c>
      <c r="AV117" s="35">
        <f t="shared" si="43"/>
        <v>0</v>
      </c>
      <c r="AW117" s="35">
        <f t="shared" si="27"/>
        <v>3481120</v>
      </c>
      <c r="AX117" s="35">
        <f>IF(C117=1,MAX(AW117,AR117),AW117)</f>
        <v>3481120</v>
      </c>
      <c r="AY117" s="66"/>
      <c r="AZ117" s="67"/>
      <c r="BA117" s="35"/>
      <c r="BB117" s="68"/>
      <c r="BC117" s="35"/>
      <c r="BD117" s="21"/>
      <c r="BF117" s="21"/>
      <c r="BG117" s="21"/>
      <c r="BK117" s="21"/>
      <c r="BL117" s="21"/>
      <c r="BM117" s="21"/>
      <c r="BN117" s="21"/>
      <c r="BO117" s="21"/>
    </row>
    <row r="118" spans="1:67" ht="14.35" x14ac:dyDescent="0.5">
      <c r="A118" s="8" t="s">
        <v>100</v>
      </c>
      <c r="B118" s="8"/>
      <c r="C118" s="25"/>
      <c r="D118" s="25"/>
      <c r="E118" s="25"/>
      <c r="F118" s="1">
        <v>5</v>
      </c>
      <c r="G118" s="78">
        <v>111</v>
      </c>
      <c r="H118" s="8">
        <v>92</v>
      </c>
      <c r="I118" s="3" t="s">
        <v>200</v>
      </c>
      <c r="J118" s="70"/>
      <c r="K118" s="76">
        <v>882.86</v>
      </c>
      <c r="L118" s="78"/>
      <c r="M118" s="77">
        <v>158</v>
      </c>
      <c r="N118" s="76">
        <f t="shared" si="28"/>
        <v>47.4</v>
      </c>
      <c r="O118" s="76">
        <f t="shared" si="29"/>
        <v>529.72</v>
      </c>
      <c r="P118" s="76">
        <f t="shared" si="30"/>
        <v>0</v>
      </c>
      <c r="Q118" s="76">
        <f t="shared" si="31"/>
        <v>0</v>
      </c>
      <c r="R118" s="65">
        <f t="shared" si="32"/>
        <v>0.18</v>
      </c>
      <c r="S118" s="65">
        <f>IF(R118&gt;0.6,+R118-0.6,0)</f>
        <v>0</v>
      </c>
      <c r="T118" s="34">
        <f>ROUND(S118*K118,2)</f>
        <v>0</v>
      </c>
      <c r="U118" s="34">
        <f t="shared" si="33"/>
        <v>0</v>
      </c>
      <c r="V118" s="77">
        <v>7</v>
      </c>
      <c r="W118" s="76">
        <f t="shared" si="34"/>
        <v>1.75</v>
      </c>
      <c r="X118" s="36">
        <f>ROUND(M118*$X$2,2)</f>
        <v>47.4</v>
      </c>
      <c r="Y118" s="9">
        <f t="shared" si="35"/>
        <v>932.01</v>
      </c>
      <c r="Z118" s="76">
        <v>968060648.66999996</v>
      </c>
      <c r="AA118" s="77">
        <v>6755</v>
      </c>
      <c r="AB118" s="17">
        <f t="shared" si="24"/>
        <v>143310.24</v>
      </c>
      <c r="AC118" s="37">
        <f t="shared" si="25"/>
        <v>0.74436500000000005</v>
      </c>
      <c r="AD118" s="77">
        <v>99926</v>
      </c>
      <c r="AE118" s="37">
        <f t="shared" si="26"/>
        <v>0.82930099999999995</v>
      </c>
      <c r="AF118" s="37">
        <f t="shared" si="44"/>
        <v>0.230154</v>
      </c>
      <c r="AG118" s="71">
        <f t="shared" si="36"/>
        <v>0.230154</v>
      </c>
      <c r="AH118" s="38">
        <f>IF(G118&gt;=1,IF(G118&lt;=5,0.06,IF(G118&lt;=10,0.05,IF(G118&lt;=15,0.04,IF(G118&lt;=19,0.03,0)))),0)</f>
        <v>0</v>
      </c>
      <c r="AI118" s="74">
        <f t="shared" si="37"/>
        <v>0.230154</v>
      </c>
      <c r="AJ118" s="77">
        <v>450</v>
      </c>
      <c r="AK118" s="77">
        <v>6</v>
      </c>
      <c r="AL118" s="11">
        <f t="shared" si="38"/>
        <v>270000</v>
      </c>
      <c r="AM118" s="83"/>
      <c r="AN118" s="84"/>
      <c r="AO118" s="11">
        <f t="shared" si="39"/>
        <v>0</v>
      </c>
      <c r="AP118" s="11">
        <f>ROUND(Y118*AI118*$AP$21,0)</f>
        <v>2472180</v>
      </c>
      <c r="AQ118" s="11">
        <f t="shared" si="40"/>
        <v>2742180</v>
      </c>
      <c r="AR118" s="35">
        <v>3113169</v>
      </c>
      <c r="AS118" s="11">
        <f t="shared" si="41"/>
        <v>370989</v>
      </c>
      <c r="AT118" s="72" t="str">
        <f t="shared" si="42"/>
        <v>No</v>
      </c>
      <c r="AU118" s="77">
        <v>2913010</v>
      </c>
      <c r="AV118" s="35">
        <f t="shared" si="43"/>
        <v>0</v>
      </c>
      <c r="AW118" s="35">
        <f t="shared" si="27"/>
        <v>2913010</v>
      </c>
      <c r="AX118" s="35">
        <f>IF(C118=1,MAX(AW118,AR118),AW118)</f>
        <v>2913010</v>
      </c>
      <c r="AY118" s="66"/>
      <c r="AZ118" s="67"/>
      <c r="BA118" s="35"/>
      <c r="BB118" s="68"/>
      <c r="BC118" s="35"/>
      <c r="BD118" s="21"/>
      <c r="BF118" s="21"/>
      <c r="BG118" s="21"/>
      <c r="BK118" s="21"/>
      <c r="BL118" s="21"/>
      <c r="BM118" s="21"/>
      <c r="BN118" s="21"/>
      <c r="BO118" s="21"/>
    </row>
    <row r="119" spans="1:67" ht="14.35" x14ac:dyDescent="0.5">
      <c r="A119" s="8" t="s">
        <v>120</v>
      </c>
      <c r="B119" s="8">
        <v>1</v>
      </c>
      <c r="C119" s="25">
        <v>1</v>
      </c>
      <c r="D119" s="25">
        <v>0</v>
      </c>
      <c r="E119" s="25">
        <v>1</v>
      </c>
      <c r="F119" s="1">
        <v>10</v>
      </c>
      <c r="G119" s="79">
        <v>6</v>
      </c>
      <c r="H119" s="8">
        <v>93</v>
      </c>
      <c r="I119" s="3" t="s">
        <v>201</v>
      </c>
      <c r="J119" s="70"/>
      <c r="K119" s="76">
        <v>18017.75</v>
      </c>
      <c r="L119" s="79"/>
      <c r="M119" s="77">
        <v>13306</v>
      </c>
      <c r="N119" s="76">
        <f t="shared" si="28"/>
        <v>3991.8</v>
      </c>
      <c r="O119" s="76">
        <f t="shared" si="29"/>
        <v>10810.65</v>
      </c>
      <c r="P119" s="76">
        <f t="shared" si="30"/>
        <v>2495.3500000000004</v>
      </c>
      <c r="Q119" s="76">
        <f t="shared" si="31"/>
        <v>374.3</v>
      </c>
      <c r="R119" s="65">
        <f t="shared" si="32"/>
        <v>0.74</v>
      </c>
      <c r="S119" s="65">
        <f>IF(R119&gt;0.6,+R119-0.6,0)</f>
        <v>0.14000000000000001</v>
      </c>
      <c r="T119" s="34">
        <f>ROUND(S119*K119,2)</f>
        <v>2522.4899999999998</v>
      </c>
      <c r="U119" s="34">
        <f t="shared" si="33"/>
        <v>378.37</v>
      </c>
      <c r="V119" s="77">
        <v>3469</v>
      </c>
      <c r="W119" s="76">
        <f t="shared" si="34"/>
        <v>867.25</v>
      </c>
      <c r="X119" s="36">
        <f>ROUND(M119*$X$2,2)</f>
        <v>3991.8</v>
      </c>
      <c r="Y119" s="9">
        <f t="shared" si="35"/>
        <v>23251.1</v>
      </c>
      <c r="Z119" s="76">
        <v>10367105845</v>
      </c>
      <c r="AA119" s="77">
        <v>130529</v>
      </c>
      <c r="AB119" s="17">
        <f t="shared" si="24"/>
        <v>79423.77</v>
      </c>
      <c r="AC119" s="37">
        <f t="shared" si="25"/>
        <v>0.41253400000000001</v>
      </c>
      <c r="AD119" s="77">
        <v>41142</v>
      </c>
      <c r="AE119" s="37">
        <f t="shared" si="26"/>
        <v>0.34144400000000003</v>
      </c>
      <c r="AF119" s="37">
        <f t="shared" si="44"/>
        <v>0.60879300000000003</v>
      </c>
      <c r="AG119" s="71">
        <f t="shared" si="36"/>
        <v>0.60879300000000003</v>
      </c>
      <c r="AH119" s="38">
        <f>IF(G119&gt;=1,IF(G119&lt;=5,0.06,IF(G119&lt;=10,0.05,IF(G119&lt;=15,0.04,IF(G119&lt;=19,0.03,0)))),0)</f>
        <v>0.05</v>
      </c>
      <c r="AI119" s="74">
        <f t="shared" si="37"/>
        <v>0.65879300000000007</v>
      </c>
      <c r="AJ119" s="77">
        <v>0</v>
      </c>
      <c r="AK119" s="77">
        <v>0</v>
      </c>
      <c r="AL119" s="11">
        <f t="shared" si="38"/>
        <v>0</v>
      </c>
      <c r="AM119" s="83"/>
      <c r="AN119" s="84"/>
      <c r="AO119" s="11">
        <f t="shared" si="39"/>
        <v>0</v>
      </c>
      <c r="AP119" s="11">
        <f>ROUND(Y119*AI119*$AP$21,0)</f>
        <v>176536054</v>
      </c>
      <c r="AQ119" s="11">
        <f t="shared" si="40"/>
        <v>176536054</v>
      </c>
      <c r="AR119" s="35">
        <v>154301977</v>
      </c>
      <c r="AS119" s="11">
        <f t="shared" si="41"/>
        <v>22234077</v>
      </c>
      <c r="AT119" s="72" t="str">
        <f t="shared" si="42"/>
        <v>Yes</v>
      </c>
      <c r="AU119" s="77">
        <v>160469961</v>
      </c>
      <c r="AV119" s="35">
        <f t="shared" si="43"/>
        <v>2370152.6082000001</v>
      </c>
      <c r="AW119" s="35">
        <f t="shared" si="27"/>
        <v>162840113.60820001</v>
      </c>
      <c r="AX119" s="35">
        <f>IF(C119=1,MAX(AW119,AR119),AW119)</f>
        <v>162840113.60820001</v>
      </c>
      <c r="AY119" s="66"/>
      <c r="AZ119" s="67"/>
      <c r="BA119" s="35"/>
      <c r="BB119" s="68"/>
      <c r="BC119" s="35"/>
      <c r="BD119" s="21"/>
      <c r="BF119" s="21"/>
      <c r="BG119" s="21"/>
      <c r="BK119" s="21"/>
      <c r="BL119" s="21"/>
      <c r="BM119" s="21"/>
      <c r="BN119" s="21"/>
      <c r="BO119" s="21"/>
    </row>
    <row r="120" spans="1:67" ht="14.35" x14ac:dyDescent="0.5">
      <c r="A120" s="8" t="s">
        <v>110</v>
      </c>
      <c r="B120" s="8"/>
      <c r="C120" s="25"/>
      <c r="D120" s="25"/>
      <c r="E120" s="25"/>
      <c r="F120" s="1">
        <v>7</v>
      </c>
      <c r="G120" s="78">
        <v>50</v>
      </c>
      <c r="H120" s="8">
        <v>94</v>
      </c>
      <c r="I120" s="3" t="s">
        <v>202</v>
      </c>
      <c r="J120" s="70"/>
      <c r="K120" s="76">
        <v>4044.15</v>
      </c>
      <c r="L120" s="78"/>
      <c r="M120" s="77">
        <v>1303</v>
      </c>
      <c r="N120" s="76">
        <f t="shared" si="28"/>
        <v>390.9</v>
      </c>
      <c r="O120" s="76">
        <f t="shared" si="29"/>
        <v>2426.4899999999998</v>
      </c>
      <c r="P120" s="76">
        <f t="shared" si="30"/>
        <v>0</v>
      </c>
      <c r="Q120" s="76">
        <f t="shared" si="31"/>
        <v>0</v>
      </c>
      <c r="R120" s="65">
        <f t="shared" si="32"/>
        <v>0.32</v>
      </c>
      <c r="S120" s="65">
        <f>IF(R120&gt;0.6,+R120-0.6,0)</f>
        <v>0</v>
      </c>
      <c r="T120" s="34">
        <f>ROUND(S120*K120,2)</f>
        <v>0</v>
      </c>
      <c r="U120" s="34">
        <f t="shared" si="33"/>
        <v>0</v>
      </c>
      <c r="V120" s="77">
        <v>267</v>
      </c>
      <c r="W120" s="76">
        <f t="shared" si="34"/>
        <v>66.75</v>
      </c>
      <c r="X120" s="36">
        <f>ROUND(M120*$X$2,2)</f>
        <v>390.9</v>
      </c>
      <c r="Y120" s="9">
        <f t="shared" si="35"/>
        <v>4501.8</v>
      </c>
      <c r="Z120" s="76">
        <v>4044186639.3299999</v>
      </c>
      <c r="AA120" s="77">
        <v>30323</v>
      </c>
      <c r="AB120" s="17">
        <f t="shared" si="24"/>
        <v>133370.26999999999</v>
      </c>
      <c r="AC120" s="37">
        <f t="shared" si="25"/>
        <v>0.69273600000000002</v>
      </c>
      <c r="AD120" s="77">
        <v>80310</v>
      </c>
      <c r="AE120" s="37">
        <f t="shared" si="26"/>
        <v>0.66650500000000001</v>
      </c>
      <c r="AF120" s="37">
        <f t="shared" si="44"/>
        <v>0.315133</v>
      </c>
      <c r="AG120" s="71">
        <f t="shared" si="36"/>
        <v>0.315133</v>
      </c>
      <c r="AH120" s="38">
        <f>IF(G120&gt;=1,IF(G120&lt;=5,0.06,IF(G120&lt;=10,0.05,IF(G120&lt;=15,0.04,IF(G120&lt;=19,0.03,0)))),0)</f>
        <v>0</v>
      </c>
      <c r="AI120" s="74">
        <f t="shared" si="37"/>
        <v>0.315133</v>
      </c>
      <c r="AJ120" s="77">
        <v>0</v>
      </c>
      <c r="AK120" s="77">
        <v>0</v>
      </c>
      <c r="AL120" s="11">
        <f t="shared" si="38"/>
        <v>0</v>
      </c>
      <c r="AM120" s="83"/>
      <c r="AN120" s="84"/>
      <c r="AO120" s="11">
        <f t="shared" si="39"/>
        <v>0</v>
      </c>
      <c r="AP120" s="11">
        <f>ROUND(Y120*AI120*$AP$21,0)</f>
        <v>16350123</v>
      </c>
      <c r="AQ120" s="11">
        <f t="shared" si="40"/>
        <v>16350123</v>
      </c>
      <c r="AR120" s="35">
        <v>12983806</v>
      </c>
      <c r="AS120" s="11">
        <f t="shared" si="41"/>
        <v>3366317</v>
      </c>
      <c r="AT120" s="72" t="str">
        <f t="shared" si="42"/>
        <v>Yes</v>
      </c>
      <c r="AU120" s="77">
        <v>13772951</v>
      </c>
      <c r="AV120" s="35">
        <f t="shared" si="43"/>
        <v>358849.3922</v>
      </c>
      <c r="AW120" s="35">
        <f t="shared" si="27"/>
        <v>14131800.392200001</v>
      </c>
      <c r="AX120" s="35">
        <f>IF(C120=1,MAX(AW120,AR120),AW120)</f>
        <v>14131800.392200001</v>
      </c>
      <c r="AY120" s="66"/>
      <c r="AZ120" s="67"/>
      <c r="BA120" s="35"/>
      <c r="BB120" s="68"/>
      <c r="BC120" s="35"/>
      <c r="BD120" s="21"/>
      <c r="BF120" s="21"/>
      <c r="BG120" s="21"/>
      <c r="BK120" s="21"/>
      <c r="BL120" s="21"/>
      <c r="BM120" s="21"/>
      <c r="BN120" s="21"/>
      <c r="BO120" s="21"/>
    </row>
    <row r="121" spans="1:67" ht="14.35" x14ac:dyDescent="0.5">
      <c r="A121" s="8" t="s">
        <v>120</v>
      </c>
      <c r="B121" s="8">
        <v>1</v>
      </c>
      <c r="C121" s="25">
        <v>1</v>
      </c>
      <c r="D121" s="25">
        <v>0</v>
      </c>
      <c r="E121" s="25">
        <v>1</v>
      </c>
      <c r="F121" s="1">
        <v>10</v>
      </c>
      <c r="G121" s="79">
        <v>4</v>
      </c>
      <c r="H121" s="8">
        <v>95</v>
      </c>
      <c r="I121" s="3" t="s">
        <v>203</v>
      </c>
      <c r="J121" s="70"/>
      <c r="K121" s="76">
        <v>3324.92</v>
      </c>
      <c r="L121" s="79"/>
      <c r="M121" s="77">
        <v>2810</v>
      </c>
      <c r="N121" s="76">
        <f t="shared" si="28"/>
        <v>843</v>
      </c>
      <c r="O121" s="76">
        <f t="shared" si="29"/>
        <v>1994.95</v>
      </c>
      <c r="P121" s="76">
        <f t="shared" si="30"/>
        <v>815.05</v>
      </c>
      <c r="Q121" s="76">
        <f t="shared" si="31"/>
        <v>122.26</v>
      </c>
      <c r="R121" s="65">
        <f t="shared" si="32"/>
        <v>0.85</v>
      </c>
      <c r="S121" s="65">
        <f>IF(R121&gt;0.6,+R121-0.6,0)</f>
        <v>0.25</v>
      </c>
      <c r="T121" s="34">
        <f>ROUND(S121*K121,2)</f>
        <v>831.23</v>
      </c>
      <c r="U121" s="34">
        <f t="shared" si="33"/>
        <v>124.68</v>
      </c>
      <c r="V121" s="77">
        <v>842</v>
      </c>
      <c r="W121" s="76">
        <f t="shared" si="34"/>
        <v>210.5</v>
      </c>
      <c r="X121" s="36">
        <f>ROUND(M121*$X$2,2)</f>
        <v>843</v>
      </c>
      <c r="Y121" s="9">
        <f t="shared" si="35"/>
        <v>4500.68</v>
      </c>
      <c r="Z121" s="76">
        <v>1978320860.3299999</v>
      </c>
      <c r="AA121" s="77">
        <v>27032</v>
      </c>
      <c r="AB121" s="17">
        <f t="shared" si="24"/>
        <v>73184.41</v>
      </c>
      <c r="AC121" s="37">
        <f t="shared" si="25"/>
        <v>0.38012600000000002</v>
      </c>
      <c r="AD121" s="77">
        <v>39675</v>
      </c>
      <c r="AE121" s="37">
        <f t="shared" si="26"/>
        <v>0.32926899999999998</v>
      </c>
      <c r="AF121" s="37">
        <f t="shared" si="44"/>
        <v>0.635131</v>
      </c>
      <c r="AG121" s="71">
        <f t="shared" si="36"/>
        <v>0.635131</v>
      </c>
      <c r="AH121" s="38">
        <f>IF(G121&gt;=1,IF(G121&lt;=5,0.06,IF(G121&lt;=10,0.05,IF(G121&lt;=15,0.04,IF(G121&lt;=19,0.03,0)))),0)</f>
        <v>0.06</v>
      </c>
      <c r="AI121" s="74">
        <f t="shared" si="37"/>
        <v>0.69513099999999994</v>
      </c>
      <c r="AJ121" s="77">
        <v>0</v>
      </c>
      <c r="AK121" s="77">
        <v>0</v>
      </c>
      <c r="AL121" s="11">
        <f t="shared" si="38"/>
        <v>0</v>
      </c>
      <c r="AM121" s="83"/>
      <c r="AN121" s="84"/>
      <c r="AO121" s="11">
        <f t="shared" si="39"/>
        <v>0</v>
      </c>
      <c r="AP121" s="11">
        <f>ROUND(Y121*AI121*$AP$21,0)</f>
        <v>36056679</v>
      </c>
      <c r="AQ121" s="11">
        <f t="shared" si="40"/>
        <v>36056679</v>
      </c>
      <c r="AR121" s="35">
        <v>25806077</v>
      </c>
      <c r="AS121" s="11">
        <f t="shared" si="41"/>
        <v>10250602</v>
      </c>
      <c r="AT121" s="72" t="str">
        <f t="shared" si="42"/>
        <v>Yes</v>
      </c>
      <c r="AU121" s="77">
        <v>28628974</v>
      </c>
      <c r="AV121" s="35">
        <f t="shared" si="43"/>
        <v>1092714.1732000001</v>
      </c>
      <c r="AW121" s="35">
        <f t="shared" si="27"/>
        <v>29721688.1732</v>
      </c>
      <c r="AX121" s="35">
        <f>IF(C121=1,MAX(AW121,AR121),AW121)</f>
        <v>29721688.1732</v>
      </c>
      <c r="AY121" s="66"/>
      <c r="AZ121" s="67"/>
      <c r="BA121" s="35"/>
      <c r="BB121" s="68"/>
      <c r="BC121" s="35"/>
      <c r="BD121" s="21"/>
      <c r="BF121" s="21"/>
      <c r="BG121" s="21"/>
      <c r="BK121" s="21"/>
      <c r="BL121" s="21"/>
      <c r="BM121" s="21"/>
      <c r="BN121" s="21"/>
      <c r="BO121" s="21"/>
    </row>
    <row r="122" spans="1:67" ht="14.35" x14ac:dyDescent="0.5">
      <c r="A122" s="8" t="s">
        <v>110</v>
      </c>
      <c r="B122" s="8"/>
      <c r="C122" s="25"/>
      <c r="D122" s="25"/>
      <c r="E122" s="25"/>
      <c r="F122" s="1">
        <v>5</v>
      </c>
      <c r="G122" s="78">
        <v>71</v>
      </c>
      <c r="H122" s="8">
        <v>96</v>
      </c>
      <c r="I122" s="3" t="s">
        <v>204</v>
      </c>
      <c r="J122" s="70"/>
      <c r="K122" s="76">
        <v>3665.1</v>
      </c>
      <c r="L122" s="78"/>
      <c r="M122" s="77">
        <v>1374</v>
      </c>
      <c r="N122" s="76">
        <f t="shared" si="28"/>
        <v>412.2</v>
      </c>
      <c r="O122" s="76">
        <f t="shared" si="29"/>
        <v>2199.06</v>
      </c>
      <c r="P122" s="76">
        <f t="shared" si="30"/>
        <v>0</v>
      </c>
      <c r="Q122" s="76">
        <f t="shared" si="31"/>
        <v>0</v>
      </c>
      <c r="R122" s="65">
        <f t="shared" si="32"/>
        <v>0.37</v>
      </c>
      <c r="S122" s="65">
        <f>IF(R122&gt;0.6,+R122-0.6,0)</f>
        <v>0</v>
      </c>
      <c r="T122" s="34">
        <f>ROUND(S122*K122,2)</f>
        <v>0</v>
      </c>
      <c r="U122" s="34">
        <f t="shared" si="33"/>
        <v>0</v>
      </c>
      <c r="V122" s="77">
        <v>177</v>
      </c>
      <c r="W122" s="76">
        <f t="shared" si="34"/>
        <v>44.25</v>
      </c>
      <c r="X122" s="36">
        <f>ROUND(M122*$X$2,2)</f>
        <v>412.2</v>
      </c>
      <c r="Y122" s="9">
        <f t="shared" si="35"/>
        <v>4121.5499999999993</v>
      </c>
      <c r="Z122" s="76">
        <v>4349146162.6700001</v>
      </c>
      <c r="AA122" s="77">
        <v>27196</v>
      </c>
      <c r="AB122" s="17">
        <f t="shared" si="24"/>
        <v>159918.6</v>
      </c>
      <c r="AC122" s="37">
        <f t="shared" si="25"/>
        <v>0.83062999999999998</v>
      </c>
      <c r="AD122" s="77">
        <v>87188</v>
      </c>
      <c r="AE122" s="37">
        <f t="shared" si="26"/>
        <v>0.72358599999999995</v>
      </c>
      <c r="AF122" s="37">
        <f t="shared" si="44"/>
        <v>0.201483</v>
      </c>
      <c r="AG122" s="71">
        <f t="shared" si="36"/>
        <v>0.201483</v>
      </c>
      <c r="AH122" s="38">
        <f>IF(G122&gt;=1,IF(G122&lt;=5,0.06,IF(G122&lt;=10,0.05,IF(G122&lt;=15,0.04,IF(G122&lt;=19,0.03,0)))),0)</f>
        <v>0</v>
      </c>
      <c r="AI122" s="74">
        <f t="shared" si="37"/>
        <v>0.201483</v>
      </c>
      <c r="AJ122" s="77">
        <v>0</v>
      </c>
      <c r="AK122" s="77">
        <v>0</v>
      </c>
      <c r="AL122" s="11">
        <f t="shared" si="38"/>
        <v>0</v>
      </c>
      <c r="AM122" s="83"/>
      <c r="AN122" s="84"/>
      <c r="AO122" s="11">
        <f t="shared" si="39"/>
        <v>0</v>
      </c>
      <c r="AP122" s="11">
        <f>ROUND(Y122*AI122*$AP$21,0)</f>
        <v>9570617</v>
      </c>
      <c r="AQ122" s="11">
        <f t="shared" si="40"/>
        <v>9570617</v>
      </c>
      <c r="AR122" s="35">
        <v>11832806</v>
      </c>
      <c r="AS122" s="11">
        <f t="shared" si="41"/>
        <v>2262189</v>
      </c>
      <c r="AT122" s="72" t="str">
        <f t="shared" si="42"/>
        <v>No</v>
      </c>
      <c r="AU122" s="77">
        <v>11124188</v>
      </c>
      <c r="AV122" s="35">
        <f t="shared" si="43"/>
        <v>0</v>
      </c>
      <c r="AW122" s="35">
        <f t="shared" si="27"/>
        <v>11124188</v>
      </c>
      <c r="AX122" s="35">
        <f>IF(C122=1,MAX(AW122,AR122),AW122)</f>
        <v>11124188</v>
      </c>
      <c r="AY122" s="66"/>
      <c r="AZ122" s="67"/>
      <c r="BA122" s="35"/>
      <c r="BB122" s="68"/>
      <c r="BC122" s="35"/>
      <c r="BD122" s="21"/>
      <c r="BF122" s="21"/>
      <c r="BG122" s="21"/>
      <c r="BK122" s="21"/>
      <c r="BL122" s="21"/>
      <c r="BM122" s="21"/>
      <c r="BN122" s="21"/>
      <c r="BO122" s="21"/>
    </row>
    <row r="123" spans="1:67" ht="14.35" x14ac:dyDescent="0.5">
      <c r="A123" s="8" t="s">
        <v>106</v>
      </c>
      <c r="B123" s="8"/>
      <c r="C123" s="25"/>
      <c r="D123" s="25"/>
      <c r="E123" s="25"/>
      <c r="F123" s="1">
        <v>3</v>
      </c>
      <c r="G123" s="78">
        <v>121</v>
      </c>
      <c r="H123" s="8">
        <v>97</v>
      </c>
      <c r="I123" s="3" t="s">
        <v>205</v>
      </c>
      <c r="J123" s="70"/>
      <c r="K123" s="76">
        <v>4034.62</v>
      </c>
      <c r="L123" s="78"/>
      <c r="M123" s="77">
        <v>582</v>
      </c>
      <c r="N123" s="76">
        <f t="shared" si="28"/>
        <v>174.6</v>
      </c>
      <c r="O123" s="76">
        <f t="shared" si="29"/>
        <v>2420.77</v>
      </c>
      <c r="P123" s="76">
        <f t="shared" si="30"/>
        <v>0</v>
      </c>
      <c r="Q123" s="76">
        <f t="shared" si="31"/>
        <v>0</v>
      </c>
      <c r="R123" s="65">
        <f t="shared" si="32"/>
        <v>0.14000000000000001</v>
      </c>
      <c r="S123" s="65">
        <f>IF(R123&gt;0.6,+R123-0.6,0)</f>
        <v>0</v>
      </c>
      <c r="T123" s="34">
        <f>ROUND(S123*K123,2)</f>
        <v>0</v>
      </c>
      <c r="U123" s="34">
        <f t="shared" si="33"/>
        <v>0</v>
      </c>
      <c r="V123" s="77">
        <v>21</v>
      </c>
      <c r="W123" s="76">
        <f t="shared" si="34"/>
        <v>5.25</v>
      </c>
      <c r="X123" s="36">
        <f>ROUND(M123*$X$2,2)</f>
        <v>174.6</v>
      </c>
      <c r="Y123" s="9">
        <f t="shared" si="35"/>
        <v>4214.47</v>
      </c>
      <c r="Z123" s="76">
        <v>4637865782</v>
      </c>
      <c r="AA123" s="77">
        <v>27853</v>
      </c>
      <c r="AB123" s="17">
        <f t="shared" si="24"/>
        <v>166512.25</v>
      </c>
      <c r="AC123" s="37">
        <f t="shared" si="25"/>
        <v>0.86487800000000004</v>
      </c>
      <c r="AD123" s="77">
        <v>123974</v>
      </c>
      <c r="AE123" s="37">
        <f t="shared" si="26"/>
        <v>1.0288790000000001</v>
      </c>
      <c r="AF123" s="37">
        <f t="shared" si="44"/>
        <v>8.5921999999999998E-2</v>
      </c>
      <c r="AG123" s="71">
        <f t="shared" si="36"/>
        <v>8.5921999999999998E-2</v>
      </c>
      <c r="AH123" s="38">
        <f>IF(G123&gt;=1,IF(G123&lt;=5,0.06,IF(G123&lt;=10,0.05,IF(G123&lt;=15,0.04,IF(G123&lt;=19,0.03,0)))),0)</f>
        <v>0</v>
      </c>
      <c r="AI123" s="74">
        <f t="shared" si="37"/>
        <v>8.5921999999999998E-2</v>
      </c>
      <c r="AJ123" s="77">
        <v>0</v>
      </c>
      <c r="AK123" s="77">
        <v>0</v>
      </c>
      <c r="AL123" s="11">
        <f t="shared" si="38"/>
        <v>0</v>
      </c>
      <c r="AM123" s="83"/>
      <c r="AN123" s="84"/>
      <c r="AO123" s="11">
        <f t="shared" si="39"/>
        <v>0</v>
      </c>
      <c r="AP123" s="11">
        <f>ROUND(Y123*AI123*$AP$21,0)</f>
        <v>4173383</v>
      </c>
      <c r="AQ123" s="11">
        <f t="shared" si="40"/>
        <v>4173383</v>
      </c>
      <c r="AR123" s="35">
        <v>4893944</v>
      </c>
      <c r="AS123" s="11">
        <f t="shared" si="41"/>
        <v>720561</v>
      </c>
      <c r="AT123" s="72" t="str">
        <f t="shared" si="42"/>
        <v>No</v>
      </c>
      <c r="AU123" s="77">
        <v>4495691</v>
      </c>
      <c r="AV123" s="35">
        <f t="shared" si="43"/>
        <v>0</v>
      </c>
      <c r="AW123" s="35">
        <f t="shared" si="27"/>
        <v>4495691</v>
      </c>
      <c r="AX123" s="35">
        <f>IF(C123=1,MAX(AW123,AR123),AW123)</f>
        <v>4495691</v>
      </c>
      <c r="AY123" s="66"/>
      <c r="AZ123" s="67"/>
      <c r="BA123" s="35"/>
      <c r="BB123" s="68"/>
      <c r="BC123" s="35"/>
      <c r="BD123" s="21"/>
      <c r="BF123" s="21"/>
      <c r="BG123" s="21"/>
      <c r="BK123" s="21"/>
      <c r="BL123" s="21"/>
      <c r="BM123" s="21"/>
      <c r="BN123" s="21"/>
      <c r="BO123" s="21"/>
    </row>
    <row r="124" spans="1:67" ht="14.35" x14ac:dyDescent="0.5">
      <c r="A124" s="8" t="s">
        <v>104</v>
      </c>
      <c r="B124" s="8"/>
      <c r="C124" s="25"/>
      <c r="D124" s="25"/>
      <c r="E124" s="25"/>
      <c r="F124" s="1">
        <v>2</v>
      </c>
      <c r="G124" s="78">
        <v>136</v>
      </c>
      <c r="H124" s="8">
        <v>98</v>
      </c>
      <c r="I124" s="3" t="s">
        <v>206</v>
      </c>
      <c r="J124" s="70"/>
      <c r="K124" s="76">
        <v>152.94999999999999</v>
      </c>
      <c r="L124" s="78"/>
      <c r="M124" s="77">
        <v>51</v>
      </c>
      <c r="N124" s="76">
        <f t="shared" si="28"/>
        <v>15.3</v>
      </c>
      <c r="O124" s="76">
        <f t="shared" si="29"/>
        <v>91.77</v>
      </c>
      <c r="P124" s="76">
        <f t="shared" si="30"/>
        <v>0</v>
      </c>
      <c r="Q124" s="76">
        <f t="shared" si="31"/>
        <v>0</v>
      </c>
      <c r="R124" s="65">
        <f t="shared" si="32"/>
        <v>0.33</v>
      </c>
      <c r="S124" s="65">
        <f>IF(R124&gt;0.6,+R124-0.6,0)</f>
        <v>0</v>
      </c>
      <c r="T124" s="34">
        <f>ROUND(S124*K124,2)</f>
        <v>0</v>
      </c>
      <c r="U124" s="34">
        <f t="shared" si="33"/>
        <v>0</v>
      </c>
      <c r="V124" s="77">
        <v>2</v>
      </c>
      <c r="W124" s="76">
        <f t="shared" si="34"/>
        <v>0.5</v>
      </c>
      <c r="X124" s="36">
        <f>ROUND(M124*$X$2,2)</f>
        <v>15.3</v>
      </c>
      <c r="Y124" s="9">
        <f t="shared" si="35"/>
        <v>168.75</v>
      </c>
      <c r="Z124" s="76">
        <v>383304826.67000002</v>
      </c>
      <c r="AA124" s="77">
        <v>1503</v>
      </c>
      <c r="AB124" s="17">
        <f t="shared" si="24"/>
        <v>255026.5</v>
      </c>
      <c r="AC124" s="37">
        <f t="shared" si="25"/>
        <v>1.3246290000000001</v>
      </c>
      <c r="AD124" s="77">
        <v>75547</v>
      </c>
      <c r="AE124" s="37">
        <f t="shared" si="26"/>
        <v>0.62697599999999998</v>
      </c>
      <c r="AF124" s="37">
        <f t="shared" si="44"/>
        <v>-0.115333</v>
      </c>
      <c r="AG124" s="71">
        <f t="shared" si="36"/>
        <v>0.01</v>
      </c>
      <c r="AH124" s="38">
        <f>IF(G124&gt;=1,IF(G124&lt;=5,0.06,IF(G124&lt;=10,0.05,IF(G124&lt;=15,0.04,IF(G124&lt;=19,0.03,0)))),0)</f>
        <v>0</v>
      </c>
      <c r="AI124" s="74">
        <f t="shared" si="37"/>
        <v>0.01</v>
      </c>
      <c r="AJ124" s="77">
        <v>72</v>
      </c>
      <c r="AK124" s="77">
        <v>6</v>
      </c>
      <c r="AL124" s="11">
        <f t="shared" si="38"/>
        <v>43200</v>
      </c>
      <c r="AM124" s="83"/>
      <c r="AN124" s="84"/>
      <c r="AO124" s="11">
        <f t="shared" si="39"/>
        <v>0</v>
      </c>
      <c r="AP124" s="11">
        <f>ROUND(Y124*AI124*$AP$21,0)</f>
        <v>19448</v>
      </c>
      <c r="AQ124" s="11">
        <f t="shared" si="40"/>
        <v>62648</v>
      </c>
      <c r="AR124" s="35">
        <v>25815</v>
      </c>
      <c r="AS124" s="11">
        <f t="shared" si="41"/>
        <v>36833</v>
      </c>
      <c r="AT124" s="72" t="str">
        <f t="shared" si="42"/>
        <v>Yes</v>
      </c>
      <c r="AU124" s="77">
        <v>25940</v>
      </c>
      <c r="AV124" s="35">
        <f t="shared" si="43"/>
        <v>3926.3978000000002</v>
      </c>
      <c r="AW124" s="35">
        <f t="shared" si="27"/>
        <v>29866.397799999999</v>
      </c>
      <c r="AX124" s="35">
        <f>IF(C124=1,MAX(AW124,AR124),AW124)</f>
        <v>29866.397799999999</v>
      </c>
      <c r="AY124" s="66"/>
      <c r="AZ124" s="67"/>
      <c r="BA124" s="35"/>
      <c r="BB124" s="68"/>
      <c r="BC124" s="35"/>
      <c r="BD124" s="21"/>
      <c r="BF124" s="21"/>
      <c r="BG124" s="21"/>
      <c r="BK124" s="21"/>
      <c r="BL124" s="21"/>
      <c r="BM124" s="21"/>
      <c r="BN124" s="21"/>
      <c r="BO124" s="21"/>
    </row>
    <row r="125" spans="1:67" ht="14.35" x14ac:dyDescent="0.5">
      <c r="A125" s="8" t="s">
        <v>104</v>
      </c>
      <c r="B125" s="8"/>
      <c r="C125" s="25"/>
      <c r="D125" s="25"/>
      <c r="E125" s="25"/>
      <c r="F125" s="1">
        <v>6</v>
      </c>
      <c r="G125" s="78">
        <v>74</v>
      </c>
      <c r="H125" s="8">
        <v>99</v>
      </c>
      <c r="I125" s="3" t="s">
        <v>207</v>
      </c>
      <c r="J125" s="70"/>
      <c r="K125" s="76">
        <v>1665.65</v>
      </c>
      <c r="L125" s="78"/>
      <c r="M125" s="77">
        <v>392</v>
      </c>
      <c r="N125" s="76">
        <f t="shared" si="28"/>
        <v>117.6</v>
      </c>
      <c r="O125" s="76">
        <f t="shared" si="29"/>
        <v>999.39</v>
      </c>
      <c r="P125" s="76">
        <f t="shared" si="30"/>
        <v>0</v>
      </c>
      <c r="Q125" s="76">
        <f t="shared" si="31"/>
        <v>0</v>
      </c>
      <c r="R125" s="65">
        <f t="shared" si="32"/>
        <v>0.24</v>
      </c>
      <c r="S125" s="65">
        <f>IF(R125&gt;0.6,+R125-0.6,0)</f>
        <v>0</v>
      </c>
      <c r="T125" s="34">
        <f>ROUND(S125*K125,2)</f>
        <v>0</v>
      </c>
      <c r="U125" s="34">
        <f t="shared" si="33"/>
        <v>0</v>
      </c>
      <c r="V125" s="77">
        <v>17</v>
      </c>
      <c r="W125" s="76">
        <f t="shared" si="34"/>
        <v>4.25</v>
      </c>
      <c r="X125" s="36">
        <f>ROUND(M125*$X$2,2)</f>
        <v>117.6</v>
      </c>
      <c r="Y125" s="9">
        <f t="shared" si="35"/>
        <v>1787.5</v>
      </c>
      <c r="Z125" s="76">
        <v>1854366817</v>
      </c>
      <c r="AA125" s="77">
        <v>14208</v>
      </c>
      <c r="AB125" s="17">
        <f t="shared" si="24"/>
        <v>130515.68</v>
      </c>
      <c r="AC125" s="37">
        <f t="shared" si="25"/>
        <v>0.67790899999999998</v>
      </c>
      <c r="AD125" s="77">
        <v>86087</v>
      </c>
      <c r="AE125" s="37">
        <f t="shared" si="26"/>
        <v>0.714449</v>
      </c>
      <c r="AF125" s="37">
        <f t="shared" si="44"/>
        <v>0.31112899999999999</v>
      </c>
      <c r="AG125" s="71">
        <f t="shared" si="36"/>
        <v>0.31112899999999999</v>
      </c>
      <c r="AH125" s="38">
        <f>IF(G125&gt;=1,IF(G125&lt;=5,0.06,IF(G125&lt;=10,0.05,IF(G125&lt;=15,0.04,IF(G125&lt;=19,0.03,0)))),0)</f>
        <v>0</v>
      </c>
      <c r="AI125" s="74">
        <f t="shared" si="37"/>
        <v>0.31112899999999999</v>
      </c>
      <c r="AJ125" s="77">
        <v>0</v>
      </c>
      <c r="AK125" s="77">
        <v>0</v>
      </c>
      <c r="AL125" s="11">
        <f t="shared" si="38"/>
        <v>0</v>
      </c>
      <c r="AM125" s="83"/>
      <c r="AN125" s="84"/>
      <c r="AO125" s="11">
        <f t="shared" si="39"/>
        <v>0</v>
      </c>
      <c r="AP125" s="11">
        <f>ROUND(Y125*AI125*$AP$21,0)</f>
        <v>6409549</v>
      </c>
      <c r="AQ125" s="11">
        <f t="shared" si="40"/>
        <v>6409549</v>
      </c>
      <c r="AR125" s="35">
        <v>8076776</v>
      </c>
      <c r="AS125" s="11">
        <f t="shared" si="41"/>
        <v>1667227</v>
      </c>
      <c r="AT125" s="72" t="str">
        <f t="shared" si="42"/>
        <v>No</v>
      </c>
      <c r="AU125" s="77">
        <v>7331325</v>
      </c>
      <c r="AV125" s="35">
        <f t="shared" si="43"/>
        <v>0</v>
      </c>
      <c r="AW125" s="35">
        <f t="shared" si="27"/>
        <v>7331325</v>
      </c>
      <c r="AX125" s="35">
        <f>IF(C125=1,MAX(AW125,AR125),AW125)</f>
        <v>7331325</v>
      </c>
      <c r="AY125" s="66"/>
      <c r="AZ125" s="67"/>
      <c r="BA125" s="35"/>
      <c r="BB125" s="68"/>
      <c r="BC125" s="35"/>
      <c r="BD125" s="21"/>
      <c r="BF125" s="21"/>
      <c r="BG125" s="21"/>
      <c r="BK125" s="21"/>
      <c r="BL125" s="21"/>
      <c r="BM125" s="21"/>
      <c r="BN125" s="21"/>
      <c r="BO125" s="21"/>
    </row>
    <row r="126" spans="1:67" ht="14.35" x14ac:dyDescent="0.5">
      <c r="A126" s="8" t="s">
        <v>128</v>
      </c>
      <c r="B126" s="8"/>
      <c r="C126" s="25"/>
      <c r="D126" s="25"/>
      <c r="E126" s="25"/>
      <c r="F126" s="1">
        <v>8</v>
      </c>
      <c r="G126" s="78">
        <v>67</v>
      </c>
      <c r="H126" s="8">
        <v>100</v>
      </c>
      <c r="I126" s="3" t="s">
        <v>208</v>
      </c>
      <c r="J126" s="70"/>
      <c r="K126" s="76">
        <v>352.41</v>
      </c>
      <c r="L126" s="78"/>
      <c r="M126" s="77">
        <v>176</v>
      </c>
      <c r="N126" s="76">
        <f t="shared" si="28"/>
        <v>52.8</v>
      </c>
      <c r="O126" s="76">
        <f t="shared" si="29"/>
        <v>211.45</v>
      </c>
      <c r="P126" s="76">
        <f t="shared" si="30"/>
        <v>0</v>
      </c>
      <c r="Q126" s="76">
        <f t="shared" si="31"/>
        <v>0</v>
      </c>
      <c r="R126" s="65">
        <f t="shared" si="32"/>
        <v>0.5</v>
      </c>
      <c r="S126" s="65">
        <f>IF(R126&gt;0.6,+R126-0.6,0)</f>
        <v>0</v>
      </c>
      <c r="T126" s="34">
        <f>ROUND(S126*K126,2)</f>
        <v>0</v>
      </c>
      <c r="U126" s="34">
        <f t="shared" si="33"/>
        <v>0</v>
      </c>
      <c r="V126" s="77">
        <v>12</v>
      </c>
      <c r="W126" s="76">
        <f t="shared" si="34"/>
        <v>3</v>
      </c>
      <c r="X126" s="36">
        <f>ROUND(M126*$X$2,2)</f>
        <v>52.8</v>
      </c>
      <c r="Y126" s="9">
        <f t="shared" si="35"/>
        <v>408.21000000000004</v>
      </c>
      <c r="Z126" s="76">
        <v>433160796.32999998</v>
      </c>
      <c r="AA126" s="77">
        <v>3302</v>
      </c>
      <c r="AB126" s="17">
        <f t="shared" si="24"/>
        <v>131181.34</v>
      </c>
      <c r="AC126" s="37">
        <f t="shared" si="25"/>
        <v>0.68136699999999994</v>
      </c>
      <c r="AD126" s="77">
        <v>68438</v>
      </c>
      <c r="AE126" s="37">
        <f t="shared" si="26"/>
        <v>0.56797699999999995</v>
      </c>
      <c r="AF126" s="37">
        <f t="shared" si="44"/>
        <v>0.35265000000000002</v>
      </c>
      <c r="AG126" s="71">
        <f t="shared" si="36"/>
        <v>0.35265000000000002</v>
      </c>
      <c r="AH126" s="38">
        <f>IF(G126&gt;=1,IF(G126&lt;=5,0.06,IF(G126&lt;=10,0.05,IF(G126&lt;=15,0.04,IF(G126&lt;=19,0.03,0)))),0)</f>
        <v>0</v>
      </c>
      <c r="AI126" s="74">
        <f t="shared" si="37"/>
        <v>0.35265000000000002</v>
      </c>
      <c r="AJ126" s="77">
        <v>106</v>
      </c>
      <c r="AK126" s="77">
        <v>4</v>
      </c>
      <c r="AL126" s="11">
        <f t="shared" si="38"/>
        <v>42400</v>
      </c>
      <c r="AM126" s="83"/>
      <c r="AN126" s="84"/>
      <c r="AO126" s="11">
        <f t="shared" si="39"/>
        <v>0</v>
      </c>
      <c r="AP126" s="11">
        <f>ROUND(Y126*AI126*$AP$21,0)</f>
        <v>1659084</v>
      </c>
      <c r="AQ126" s="11">
        <f t="shared" si="40"/>
        <v>1701484</v>
      </c>
      <c r="AR126" s="35">
        <v>2044243</v>
      </c>
      <c r="AS126" s="11">
        <f t="shared" si="41"/>
        <v>342759</v>
      </c>
      <c r="AT126" s="72" t="str">
        <f t="shared" si="42"/>
        <v>No</v>
      </c>
      <c r="AU126" s="77">
        <v>1781954</v>
      </c>
      <c r="AV126" s="35">
        <f t="shared" si="43"/>
        <v>0</v>
      </c>
      <c r="AW126" s="35">
        <f t="shared" si="27"/>
        <v>1781954</v>
      </c>
      <c r="AX126" s="35">
        <f>IF(C126=1,MAX(AW126,AR126),AW126)</f>
        <v>1781954</v>
      </c>
      <c r="AY126" s="66"/>
      <c r="AZ126" s="67"/>
      <c r="BA126" s="35"/>
      <c r="BB126" s="68"/>
      <c r="BC126" s="35"/>
      <c r="BD126" s="21"/>
      <c r="BF126" s="21"/>
      <c r="BG126" s="21"/>
      <c r="BK126" s="21"/>
      <c r="BL126" s="21"/>
      <c r="BM126" s="21"/>
      <c r="BN126" s="21"/>
      <c r="BO126" s="21"/>
    </row>
    <row r="127" spans="1:67" ht="14.35" x14ac:dyDescent="0.5">
      <c r="A127" s="8" t="s">
        <v>110</v>
      </c>
      <c r="B127" s="8"/>
      <c r="C127" s="25"/>
      <c r="D127" s="25"/>
      <c r="E127" s="25"/>
      <c r="F127" s="1">
        <v>4</v>
      </c>
      <c r="G127" s="78">
        <v>93</v>
      </c>
      <c r="H127" s="8">
        <v>101</v>
      </c>
      <c r="I127" s="3" t="s">
        <v>209</v>
      </c>
      <c r="J127" s="70"/>
      <c r="K127" s="76">
        <v>3126.45</v>
      </c>
      <c r="L127" s="78"/>
      <c r="M127" s="77">
        <v>639</v>
      </c>
      <c r="N127" s="76">
        <f t="shared" si="28"/>
        <v>191.7</v>
      </c>
      <c r="O127" s="76">
        <f t="shared" si="29"/>
        <v>1875.87</v>
      </c>
      <c r="P127" s="76">
        <f t="shared" si="30"/>
        <v>0</v>
      </c>
      <c r="Q127" s="76">
        <f t="shared" si="31"/>
        <v>0</v>
      </c>
      <c r="R127" s="65">
        <f t="shared" si="32"/>
        <v>0.2</v>
      </c>
      <c r="S127" s="65">
        <f>IF(R127&gt;0.6,+R127-0.6,0)</f>
        <v>0</v>
      </c>
      <c r="T127" s="34">
        <f>ROUND(S127*K127,2)</f>
        <v>0</v>
      </c>
      <c r="U127" s="34">
        <f t="shared" si="33"/>
        <v>0</v>
      </c>
      <c r="V127" s="77">
        <v>105</v>
      </c>
      <c r="W127" s="76">
        <f t="shared" si="34"/>
        <v>26.25</v>
      </c>
      <c r="X127" s="36">
        <f>ROUND(M127*$X$2,2)</f>
        <v>191.7</v>
      </c>
      <c r="Y127" s="9">
        <f t="shared" si="35"/>
        <v>3344.3999999999996</v>
      </c>
      <c r="Z127" s="76">
        <v>4261260702.6700001</v>
      </c>
      <c r="AA127" s="77">
        <v>23786</v>
      </c>
      <c r="AB127" s="17">
        <f t="shared" si="24"/>
        <v>179149.95</v>
      </c>
      <c r="AC127" s="37">
        <f t="shared" si="25"/>
        <v>0.93052000000000001</v>
      </c>
      <c r="AD127" s="77">
        <v>99094</v>
      </c>
      <c r="AE127" s="37">
        <f t="shared" si="26"/>
        <v>0.82239600000000002</v>
      </c>
      <c r="AF127" s="37">
        <f t="shared" si="44"/>
        <v>0.10191699999999999</v>
      </c>
      <c r="AG127" s="71">
        <f t="shared" si="36"/>
        <v>0.10191699999999999</v>
      </c>
      <c r="AH127" s="38">
        <f>IF(G127&gt;=1,IF(G127&lt;=5,0.06,IF(G127&lt;=10,0.05,IF(G127&lt;=15,0.04,IF(G127&lt;=19,0.03,0)))),0)</f>
        <v>0</v>
      </c>
      <c r="AI127" s="74">
        <f t="shared" si="37"/>
        <v>0.10191699999999999</v>
      </c>
      <c r="AJ127" s="77">
        <v>0</v>
      </c>
      <c r="AK127" s="77">
        <v>0</v>
      </c>
      <c r="AL127" s="11">
        <f t="shared" si="38"/>
        <v>0</v>
      </c>
      <c r="AM127" s="83"/>
      <c r="AN127" s="84"/>
      <c r="AO127" s="11">
        <f t="shared" si="39"/>
        <v>0</v>
      </c>
      <c r="AP127" s="11">
        <f>ROUND(Y127*AI127*$AP$21,0)</f>
        <v>3928310</v>
      </c>
      <c r="AQ127" s="11">
        <f t="shared" si="40"/>
        <v>3928310</v>
      </c>
      <c r="AR127" s="35">
        <v>3842088</v>
      </c>
      <c r="AS127" s="11">
        <f t="shared" si="41"/>
        <v>86222</v>
      </c>
      <c r="AT127" s="72" t="str">
        <f t="shared" si="42"/>
        <v>Yes</v>
      </c>
      <c r="AU127" s="77">
        <v>3851360</v>
      </c>
      <c r="AV127" s="35">
        <f t="shared" si="43"/>
        <v>9191.2651999999998</v>
      </c>
      <c r="AW127" s="35">
        <f t="shared" si="27"/>
        <v>3860551.2651999998</v>
      </c>
      <c r="AX127" s="35">
        <f>IF(C127=1,MAX(AW127,AR127),AW127)</f>
        <v>3860551.2651999998</v>
      </c>
      <c r="AY127" s="66"/>
      <c r="AZ127" s="67"/>
      <c r="BA127" s="35"/>
      <c r="BB127" s="68"/>
      <c r="BC127" s="35"/>
      <c r="BD127" s="21"/>
      <c r="BF127" s="21"/>
      <c r="BG127" s="21"/>
      <c r="BK127" s="21"/>
      <c r="BL127" s="21"/>
      <c r="BM127" s="21"/>
      <c r="BN127" s="21"/>
      <c r="BO127" s="21"/>
    </row>
    <row r="128" spans="1:67" ht="14.35" x14ac:dyDescent="0.5">
      <c r="A128" s="8" t="s">
        <v>104</v>
      </c>
      <c r="B128" s="8"/>
      <c r="C128" s="25"/>
      <c r="D128" s="25"/>
      <c r="E128" s="25"/>
      <c r="F128" s="1">
        <v>4</v>
      </c>
      <c r="G128" s="78">
        <v>81</v>
      </c>
      <c r="H128" s="8">
        <v>102</v>
      </c>
      <c r="I128" s="3" t="s">
        <v>210</v>
      </c>
      <c r="J128" s="70"/>
      <c r="K128" s="76">
        <v>709.57</v>
      </c>
      <c r="L128" s="78"/>
      <c r="M128" s="77">
        <v>156</v>
      </c>
      <c r="N128" s="76">
        <f t="shared" si="28"/>
        <v>46.8</v>
      </c>
      <c r="O128" s="76">
        <f t="shared" si="29"/>
        <v>425.74</v>
      </c>
      <c r="P128" s="76">
        <f t="shared" si="30"/>
        <v>0</v>
      </c>
      <c r="Q128" s="76">
        <f t="shared" si="31"/>
        <v>0</v>
      </c>
      <c r="R128" s="65">
        <f t="shared" si="32"/>
        <v>0.22</v>
      </c>
      <c r="S128" s="65">
        <f>IF(R128&gt;0.6,+R128-0.6,0)</f>
        <v>0</v>
      </c>
      <c r="T128" s="34">
        <f>ROUND(S128*K128,2)</f>
        <v>0</v>
      </c>
      <c r="U128" s="34">
        <f t="shared" si="33"/>
        <v>0</v>
      </c>
      <c r="V128" s="77">
        <v>0</v>
      </c>
      <c r="W128" s="76">
        <f t="shared" si="34"/>
        <v>0</v>
      </c>
      <c r="X128" s="36">
        <f>ROUND(M128*$X$2,2)</f>
        <v>46.8</v>
      </c>
      <c r="Y128" s="9">
        <f t="shared" si="35"/>
        <v>756.37</v>
      </c>
      <c r="Z128" s="76">
        <v>829466418.33000004</v>
      </c>
      <c r="AA128" s="77">
        <v>5242</v>
      </c>
      <c r="AB128" s="17">
        <f t="shared" si="24"/>
        <v>158234.72</v>
      </c>
      <c r="AC128" s="37">
        <f t="shared" si="25"/>
        <v>0.82188399999999995</v>
      </c>
      <c r="AD128" s="77">
        <v>76985</v>
      </c>
      <c r="AE128" s="37">
        <f t="shared" si="26"/>
        <v>0.63890999999999998</v>
      </c>
      <c r="AF128" s="37">
        <f t="shared" si="44"/>
        <v>0.23300799999999999</v>
      </c>
      <c r="AG128" s="71">
        <f t="shared" si="36"/>
        <v>0.23300799999999999</v>
      </c>
      <c r="AH128" s="38">
        <f>IF(G128&gt;=1,IF(G128&lt;=5,0.06,IF(G128&lt;=10,0.05,IF(G128&lt;=15,0.04,IF(G128&lt;=19,0.03,0)))),0)</f>
        <v>0</v>
      </c>
      <c r="AI128" s="74">
        <f t="shared" si="37"/>
        <v>0.23300799999999999</v>
      </c>
      <c r="AJ128" s="77">
        <v>0</v>
      </c>
      <c r="AK128" s="77">
        <v>0</v>
      </c>
      <c r="AL128" s="11">
        <f t="shared" si="38"/>
        <v>0</v>
      </c>
      <c r="AM128" s="83"/>
      <c r="AN128" s="84"/>
      <c r="AO128" s="11">
        <f t="shared" si="39"/>
        <v>0</v>
      </c>
      <c r="AP128" s="11">
        <f>ROUND(Y128*AI128*$AP$21,0)</f>
        <v>2031169</v>
      </c>
      <c r="AQ128" s="11">
        <f t="shared" si="40"/>
        <v>2031169</v>
      </c>
      <c r="AR128" s="35">
        <v>2834470</v>
      </c>
      <c r="AS128" s="11">
        <f t="shared" si="41"/>
        <v>803301</v>
      </c>
      <c r="AT128" s="72" t="str">
        <f t="shared" si="42"/>
        <v>No</v>
      </c>
      <c r="AU128" s="77">
        <v>2584204</v>
      </c>
      <c r="AV128" s="35">
        <f t="shared" si="43"/>
        <v>0</v>
      </c>
      <c r="AW128" s="35">
        <f t="shared" si="27"/>
        <v>2584204</v>
      </c>
      <c r="AX128" s="35">
        <f>IF(C128=1,MAX(AW128,AR128),AW128)</f>
        <v>2584204</v>
      </c>
      <c r="AY128" s="66"/>
      <c r="AZ128" s="67"/>
      <c r="BA128" s="35"/>
      <c r="BB128" s="68"/>
      <c r="BC128" s="35"/>
      <c r="BD128" s="21"/>
      <c r="BF128" s="21"/>
      <c r="BG128" s="21"/>
      <c r="BK128" s="21"/>
      <c r="BL128" s="21"/>
      <c r="BM128" s="21"/>
      <c r="BN128" s="21"/>
      <c r="BO128" s="21"/>
    </row>
    <row r="129" spans="1:67" ht="14.35" x14ac:dyDescent="0.5">
      <c r="A129" s="8" t="s">
        <v>102</v>
      </c>
      <c r="B129" s="8">
        <v>1</v>
      </c>
      <c r="C129" s="25">
        <v>1</v>
      </c>
      <c r="D129" s="25">
        <v>1</v>
      </c>
      <c r="E129" s="25"/>
      <c r="F129" s="1">
        <v>3</v>
      </c>
      <c r="G129" s="78">
        <v>96</v>
      </c>
      <c r="H129" s="8">
        <v>103</v>
      </c>
      <c r="I129" s="3" t="s">
        <v>211</v>
      </c>
      <c r="J129" s="70"/>
      <c r="K129" s="76">
        <v>11932.34</v>
      </c>
      <c r="L129" s="78"/>
      <c r="M129" s="77">
        <v>7064</v>
      </c>
      <c r="N129" s="76">
        <f t="shared" si="28"/>
        <v>2119.1999999999998</v>
      </c>
      <c r="O129" s="76">
        <f t="shared" si="29"/>
        <v>7159.4</v>
      </c>
      <c r="P129" s="76">
        <f t="shared" si="30"/>
        <v>0</v>
      </c>
      <c r="Q129" s="76">
        <f t="shared" si="31"/>
        <v>0</v>
      </c>
      <c r="R129" s="65">
        <f t="shared" si="32"/>
        <v>0.59</v>
      </c>
      <c r="S129" s="65">
        <f>IF(R129&gt;0.6,+R129-0.6,0)</f>
        <v>0</v>
      </c>
      <c r="T129" s="34">
        <f>ROUND(S129*K129,2)</f>
        <v>0</v>
      </c>
      <c r="U129" s="34">
        <f t="shared" si="33"/>
        <v>0</v>
      </c>
      <c r="V129" s="77">
        <v>1972</v>
      </c>
      <c r="W129" s="76">
        <f t="shared" si="34"/>
        <v>493</v>
      </c>
      <c r="X129" s="36">
        <f>ROUND(M129*$X$2,2)</f>
        <v>2119.1999999999998</v>
      </c>
      <c r="Y129" s="9">
        <f t="shared" si="35"/>
        <v>14544.54</v>
      </c>
      <c r="Z129" s="76">
        <v>19622013158.669998</v>
      </c>
      <c r="AA129" s="77">
        <v>88436</v>
      </c>
      <c r="AB129" s="17">
        <f t="shared" si="24"/>
        <v>221878.12</v>
      </c>
      <c r="AC129" s="37">
        <f t="shared" si="25"/>
        <v>1.1524529999999999</v>
      </c>
      <c r="AD129" s="77">
        <v>82474</v>
      </c>
      <c r="AE129" s="37">
        <f t="shared" si="26"/>
        <v>0.68446399999999996</v>
      </c>
      <c r="AF129" s="37">
        <f t="shared" si="44"/>
        <v>-1.2056000000000001E-2</v>
      </c>
      <c r="AG129" s="71">
        <f t="shared" si="36"/>
        <v>0.1</v>
      </c>
      <c r="AH129" s="38">
        <f>IF(G129&gt;=1,IF(G129&lt;=5,0.06,IF(G129&lt;=10,0.05,IF(G129&lt;=15,0.04,IF(G129&lt;=19,0.03,0)))),0)</f>
        <v>0</v>
      </c>
      <c r="AI129" s="74">
        <f t="shared" si="37"/>
        <v>0.1</v>
      </c>
      <c r="AJ129" s="77">
        <v>0</v>
      </c>
      <c r="AK129" s="77">
        <v>0</v>
      </c>
      <c r="AL129" s="11">
        <f t="shared" si="38"/>
        <v>0</v>
      </c>
      <c r="AM129" s="83"/>
      <c r="AN129" s="84"/>
      <c r="AO129" s="11">
        <f t="shared" si="39"/>
        <v>0</v>
      </c>
      <c r="AP129" s="11">
        <f>ROUND(Y129*AI129*$AP$21,0)</f>
        <v>16762582</v>
      </c>
      <c r="AQ129" s="11">
        <f t="shared" si="40"/>
        <v>16762582</v>
      </c>
      <c r="AR129" s="35">
        <v>11243340</v>
      </c>
      <c r="AS129" s="11">
        <f t="shared" si="41"/>
        <v>5519242</v>
      </c>
      <c r="AT129" s="72" t="str">
        <f t="shared" si="42"/>
        <v>Yes</v>
      </c>
      <c r="AU129" s="77">
        <v>12590479</v>
      </c>
      <c r="AV129" s="35">
        <f t="shared" si="43"/>
        <v>588351.19720000005</v>
      </c>
      <c r="AW129" s="35">
        <f t="shared" si="27"/>
        <v>13178830.1972</v>
      </c>
      <c r="AX129" s="35">
        <f>IF(C129=1,MAX(AW129,AR129),AW129)</f>
        <v>13178830.1972</v>
      </c>
      <c r="AY129" s="66"/>
      <c r="AZ129" s="67"/>
      <c r="BA129" s="35"/>
      <c r="BB129" s="68"/>
      <c r="BC129" s="35"/>
      <c r="BD129" s="21"/>
      <c r="BF129" s="21"/>
      <c r="BG129" s="21"/>
      <c r="BK129" s="21"/>
      <c r="BL129" s="21"/>
      <c r="BM129" s="21"/>
      <c r="BN129" s="21"/>
      <c r="BO129" s="21"/>
    </row>
    <row r="130" spans="1:67" ht="14.35" x14ac:dyDescent="0.5">
      <c r="A130" s="8" t="s">
        <v>102</v>
      </c>
      <c r="B130" s="8">
        <v>1</v>
      </c>
      <c r="C130" s="25">
        <v>1</v>
      </c>
      <c r="D130" s="25">
        <v>0</v>
      </c>
      <c r="E130" s="25">
        <v>1</v>
      </c>
      <c r="F130" s="1">
        <v>10</v>
      </c>
      <c r="G130" s="79">
        <v>7</v>
      </c>
      <c r="H130" s="8">
        <v>104</v>
      </c>
      <c r="I130" s="3" t="s">
        <v>212</v>
      </c>
      <c r="J130" s="70"/>
      <c r="K130" s="76">
        <v>5078.3100000000004</v>
      </c>
      <c r="L130" s="79"/>
      <c r="M130" s="77">
        <v>3373</v>
      </c>
      <c r="N130" s="76">
        <f t="shared" si="28"/>
        <v>1011.9</v>
      </c>
      <c r="O130" s="76">
        <f t="shared" si="29"/>
        <v>3046.99</v>
      </c>
      <c r="P130" s="76">
        <f t="shared" si="30"/>
        <v>326.01000000000022</v>
      </c>
      <c r="Q130" s="76">
        <f t="shared" si="31"/>
        <v>48.9</v>
      </c>
      <c r="R130" s="65">
        <f t="shared" si="32"/>
        <v>0.66</v>
      </c>
      <c r="S130" s="65">
        <f>IF(R130&gt;0.6,+R130-0.6,0)</f>
        <v>6.0000000000000053E-2</v>
      </c>
      <c r="T130" s="34">
        <f>ROUND(S130*K130,2)</f>
        <v>304.7</v>
      </c>
      <c r="U130" s="34">
        <f t="shared" si="33"/>
        <v>45.71</v>
      </c>
      <c r="V130" s="77">
        <v>815</v>
      </c>
      <c r="W130" s="76">
        <f t="shared" si="34"/>
        <v>203.75</v>
      </c>
      <c r="X130" s="36">
        <f>ROUND(M130*$X$2,2)</f>
        <v>1011.9</v>
      </c>
      <c r="Y130" s="9">
        <f t="shared" si="35"/>
        <v>6342.86</v>
      </c>
      <c r="Z130" s="76">
        <v>2784442113.6700001</v>
      </c>
      <c r="AA130" s="77">
        <v>39567</v>
      </c>
      <c r="AB130" s="17">
        <f t="shared" si="24"/>
        <v>70372.84</v>
      </c>
      <c r="AC130" s="37">
        <f t="shared" si="25"/>
        <v>0.36552200000000001</v>
      </c>
      <c r="AD130" s="77">
        <v>55391</v>
      </c>
      <c r="AE130" s="37">
        <f t="shared" si="26"/>
        <v>0.459698</v>
      </c>
      <c r="AF130" s="37">
        <f t="shared" si="44"/>
        <v>0.60622500000000001</v>
      </c>
      <c r="AG130" s="71">
        <f t="shared" si="36"/>
        <v>0.60622500000000001</v>
      </c>
      <c r="AH130" s="38">
        <f>IF(G130&gt;=1,IF(G130&lt;=5,0.06,IF(G130&lt;=10,0.05,IF(G130&lt;=15,0.04,IF(G130&lt;=19,0.03,0)))),0)</f>
        <v>0.05</v>
      </c>
      <c r="AI130" s="74">
        <f t="shared" si="37"/>
        <v>0.65622500000000006</v>
      </c>
      <c r="AJ130" s="81">
        <v>0</v>
      </c>
      <c r="AK130" s="81">
        <v>0</v>
      </c>
      <c r="AL130" s="11">
        <f t="shared" si="38"/>
        <v>0</v>
      </c>
      <c r="AM130" s="83">
        <v>1462</v>
      </c>
      <c r="AN130" s="84">
        <v>4</v>
      </c>
      <c r="AO130" s="11">
        <f t="shared" si="39"/>
        <v>584800</v>
      </c>
      <c r="AP130" s="11">
        <f>ROUND(Y130*AI130*$AP$21,0)</f>
        <v>47971007</v>
      </c>
      <c r="AQ130" s="11">
        <f t="shared" si="40"/>
        <v>48555807</v>
      </c>
      <c r="AR130" s="35">
        <v>36209664</v>
      </c>
      <c r="AS130" s="11">
        <f t="shared" si="41"/>
        <v>12346143</v>
      </c>
      <c r="AT130" s="72" t="str">
        <f t="shared" si="42"/>
        <v>Yes</v>
      </c>
      <c r="AU130" s="77">
        <v>39228238</v>
      </c>
      <c r="AV130" s="35">
        <f t="shared" si="43"/>
        <v>1316098.8437999999</v>
      </c>
      <c r="AW130" s="35">
        <f t="shared" si="27"/>
        <v>40544336.843800001</v>
      </c>
      <c r="AX130" s="35">
        <f>IF(C130=1,MAX(AW130,AR130),AW130)</f>
        <v>40544336.843800001</v>
      </c>
      <c r="AY130" s="66"/>
      <c r="AZ130" s="67"/>
      <c r="BA130" s="35"/>
      <c r="BB130" s="68"/>
      <c r="BC130" s="35"/>
      <c r="BD130" s="21"/>
      <c r="BF130" s="21"/>
      <c r="BG130" s="21"/>
      <c r="BK130" s="21"/>
      <c r="BL130" s="21"/>
      <c r="BM130" s="21"/>
      <c r="BN130" s="21"/>
      <c r="BO130" s="21"/>
    </row>
    <row r="131" spans="1:67" ht="14.35" x14ac:dyDescent="0.5">
      <c r="A131" s="8" t="s">
        <v>100</v>
      </c>
      <c r="B131" s="8"/>
      <c r="C131" s="25"/>
      <c r="D131" s="25"/>
      <c r="E131" s="25"/>
      <c r="F131" s="1">
        <v>2</v>
      </c>
      <c r="G131" s="78">
        <v>144</v>
      </c>
      <c r="H131" s="8">
        <v>105</v>
      </c>
      <c r="I131" s="3" t="s">
        <v>213</v>
      </c>
      <c r="J131" s="70"/>
      <c r="K131" s="76">
        <v>1045.92</v>
      </c>
      <c r="L131" s="78"/>
      <c r="M131" s="77">
        <v>197</v>
      </c>
      <c r="N131" s="76">
        <f t="shared" si="28"/>
        <v>59.1</v>
      </c>
      <c r="O131" s="76">
        <f t="shared" si="29"/>
        <v>627.54999999999995</v>
      </c>
      <c r="P131" s="76">
        <f t="shared" si="30"/>
        <v>0</v>
      </c>
      <c r="Q131" s="76">
        <f t="shared" si="31"/>
        <v>0</v>
      </c>
      <c r="R131" s="65">
        <f t="shared" si="32"/>
        <v>0.19</v>
      </c>
      <c r="S131" s="65">
        <f>IF(R131&gt;0.6,+R131-0.6,0)</f>
        <v>0</v>
      </c>
      <c r="T131" s="34">
        <f>ROUND(S131*K131,2)</f>
        <v>0</v>
      </c>
      <c r="U131" s="34">
        <f t="shared" si="33"/>
        <v>0</v>
      </c>
      <c r="V131" s="77">
        <v>24</v>
      </c>
      <c r="W131" s="76">
        <f t="shared" si="34"/>
        <v>6</v>
      </c>
      <c r="X131" s="36">
        <f>ROUND(M131*$X$2,2)</f>
        <v>59.1</v>
      </c>
      <c r="Y131" s="9">
        <f t="shared" si="35"/>
        <v>1111.02</v>
      </c>
      <c r="Z131" s="76">
        <v>2305620831.6700001</v>
      </c>
      <c r="AA131" s="77">
        <v>7431</v>
      </c>
      <c r="AB131" s="17">
        <f t="shared" si="24"/>
        <v>310270.59999999998</v>
      </c>
      <c r="AC131" s="37">
        <f t="shared" si="25"/>
        <v>1.6115710000000001</v>
      </c>
      <c r="AD131" s="77">
        <v>92383</v>
      </c>
      <c r="AE131" s="37">
        <f t="shared" si="26"/>
        <v>0.76670000000000005</v>
      </c>
      <c r="AF131" s="37">
        <f t="shared" si="44"/>
        <v>-0.35810999999999998</v>
      </c>
      <c r="AG131" s="71">
        <f t="shared" si="36"/>
        <v>0.01</v>
      </c>
      <c r="AH131" s="38">
        <f>IF(G131&gt;=1,IF(G131&lt;=5,0.06,IF(G131&lt;=10,0.05,IF(G131&lt;=15,0.04,IF(G131&lt;=19,0.03,0)))),0)</f>
        <v>0</v>
      </c>
      <c r="AI131" s="74">
        <f t="shared" si="37"/>
        <v>0.01</v>
      </c>
      <c r="AJ131" s="77">
        <v>1044</v>
      </c>
      <c r="AK131" s="77">
        <v>13</v>
      </c>
      <c r="AL131" s="11">
        <f t="shared" si="38"/>
        <v>1357200</v>
      </c>
      <c r="AM131" s="83"/>
      <c r="AN131" s="84"/>
      <c r="AO131" s="11">
        <f t="shared" si="39"/>
        <v>0</v>
      </c>
      <c r="AP131" s="11">
        <f>ROUND(Y131*AI131*$AP$21,0)</f>
        <v>128045</v>
      </c>
      <c r="AQ131" s="11">
        <f t="shared" si="40"/>
        <v>1485245</v>
      </c>
      <c r="AR131" s="35">
        <v>247462</v>
      </c>
      <c r="AS131" s="11">
        <f t="shared" si="41"/>
        <v>1237783</v>
      </c>
      <c r="AT131" s="72" t="str">
        <f t="shared" si="42"/>
        <v>Yes</v>
      </c>
      <c r="AU131" s="77">
        <v>238583</v>
      </c>
      <c r="AV131" s="35">
        <f t="shared" si="43"/>
        <v>131947.6678</v>
      </c>
      <c r="AW131" s="35">
        <f t="shared" si="27"/>
        <v>370530.6678</v>
      </c>
      <c r="AX131" s="35">
        <f>IF(C131=1,MAX(AW131,AR131),AW131)</f>
        <v>370530.6678</v>
      </c>
      <c r="AY131" s="66"/>
      <c r="AZ131" s="67"/>
      <c r="BA131" s="35"/>
      <c r="BB131" s="68"/>
      <c r="BC131" s="35"/>
      <c r="BD131" s="21"/>
      <c r="BF131" s="21"/>
      <c r="BG131" s="21"/>
      <c r="BK131" s="21"/>
      <c r="BL131" s="21"/>
      <c r="BM131" s="21"/>
      <c r="BN131" s="21"/>
      <c r="BO131" s="21"/>
    </row>
    <row r="132" spans="1:67" ht="14.35" x14ac:dyDescent="0.5">
      <c r="A132" s="8" t="s">
        <v>110</v>
      </c>
      <c r="B132" s="8"/>
      <c r="C132" s="25"/>
      <c r="D132" s="25"/>
      <c r="E132" s="25"/>
      <c r="F132" s="1">
        <v>2</v>
      </c>
      <c r="G132" s="78">
        <v>139</v>
      </c>
      <c r="H132" s="8">
        <v>106</v>
      </c>
      <c r="I132" s="3" t="s">
        <v>214</v>
      </c>
      <c r="J132" s="70"/>
      <c r="K132" s="76">
        <v>1052.2</v>
      </c>
      <c r="L132" s="78"/>
      <c r="M132" s="77">
        <v>280</v>
      </c>
      <c r="N132" s="76">
        <f t="shared" si="28"/>
        <v>84</v>
      </c>
      <c r="O132" s="76">
        <f t="shared" si="29"/>
        <v>631.32000000000005</v>
      </c>
      <c r="P132" s="76">
        <f t="shared" si="30"/>
        <v>0</v>
      </c>
      <c r="Q132" s="76">
        <f t="shared" si="31"/>
        <v>0</v>
      </c>
      <c r="R132" s="65">
        <f t="shared" si="32"/>
        <v>0.27</v>
      </c>
      <c r="S132" s="65">
        <f>IF(R132&gt;0.6,+R132-0.6,0)</f>
        <v>0</v>
      </c>
      <c r="T132" s="34">
        <f>ROUND(S132*K132,2)</f>
        <v>0</v>
      </c>
      <c r="U132" s="34">
        <f t="shared" si="33"/>
        <v>0</v>
      </c>
      <c r="V132" s="77">
        <v>69</v>
      </c>
      <c r="W132" s="76">
        <f t="shared" si="34"/>
        <v>17.25</v>
      </c>
      <c r="X132" s="36">
        <f>ROUND(M132*$X$2,2)</f>
        <v>84</v>
      </c>
      <c r="Y132" s="9">
        <f t="shared" si="35"/>
        <v>1153.45</v>
      </c>
      <c r="Z132" s="76">
        <v>3245522279</v>
      </c>
      <c r="AA132" s="77">
        <v>10118</v>
      </c>
      <c r="AB132" s="17">
        <f t="shared" si="24"/>
        <v>320767.18</v>
      </c>
      <c r="AC132" s="37">
        <f t="shared" si="25"/>
        <v>1.666091</v>
      </c>
      <c r="AD132" s="77">
        <v>81411</v>
      </c>
      <c r="AE132" s="37">
        <f t="shared" si="26"/>
        <v>0.67564199999999996</v>
      </c>
      <c r="AF132" s="37">
        <f t="shared" si="44"/>
        <v>-0.36895600000000001</v>
      </c>
      <c r="AG132" s="71">
        <f t="shared" si="36"/>
        <v>0.01</v>
      </c>
      <c r="AH132" s="38">
        <f>IF(G132&gt;=1,IF(G132&lt;=5,0.06,IF(G132&lt;=10,0.05,IF(G132&lt;=15,0.04,IF(G132&lt;=19,0.03,0)))),0)</f>
        <v>0</v>
      </c>
      <c r="AI132" s="74">
        <f t="shared" si="37"/>
        <v>0.01</v>
      </c>
      <c r="AJ132" s="77">
        <v>0</v>
      </c>
      <c r="AK132" s="77">
        <v>0</v>
      </c>
      <c r="AL132" s="11">
        <f t="shared" si="38"/>
        <v>0</v>
      </c>
      <c r="AM132" s="83"/>
      <c r="AN132" s="84"/>
      <c r="AO132" s="11">
        <f t="shared" si="39"/>
        <v>0</v>
      </c>
      <c r="AP132" s="11">
        <f>ROUND(Y132*AI132*$AP$21,0)</f>
        <v>132935</v>
      </c>
      <c r="AQ132" s="11">
        <f t="shared" si="40"/>
        <v>132935</v>
      </c>
      <c r="AR132" s="35">
        <v>122907</v>
      </c>
      <c r="AS132" s="11">
        <f t="shared" si="41"/>
        <v>10028</v>
      </c>
      <c r="AT132" s="72" t="str">
        <f t="shared" si="42"/>
        <v>Yes</v>
      </c>
      <c r="AU132" s="77">
        <v>129714</v>
      </c>
      <c r="AV132" s="35">
        <f t="shared" si="43"/>
        <v>1068.9848</v>
      </c>
      <c r="AW132" s="35">
        <f t="shared" si="27"/>
        <v>130782.98480000001</v>
      </c>
      <c r="AX132" s="35">
        <f>IF(C132=1,MAX(AW132,AR132),AW132)</f>
        <v>130782.98480000001</v>
      </c>
      <c r="AY132" s="66"/>
      <c r="AZ132" s="67"/>
      <c r="BA132" s="35"/>
      <c r="BB132" s="68"/>
      <c r="BC132" s="35"/>
      <c r="BD132" s="21"/>
      <c r="BF132" s="21"/>
      <c r="BG132" s="21"/>
      <c r="BK132" s="21"/>
      <c r="BL132" s="21"/>
      <c r="BM132" s="21"/>
      <c r="BN132" s="21"/>
      <c r="BO132" s="21"/>
    </row>
    <row r="133" spans="1:67" ht="14.35" x14ac:dyDescent="0.5">
      <c r="A133" s="8" t="s">
        <v>106</v>
      </c>
      <c r="B133" s="8"/>
      <c r="C133" s="25"/>
      <c r="D133" s="25"/>
      <c r="E133" s="25"/>
      <c r="F133" s="1">
        <v>3</v>
      </c>
      <c r="G133" s="78">
        <v>131</v>
      </c>
      <c r="H133" s="8">
        <v>107</v>
      </c>
      <c r="I133" s="3" t="s">
        <v>215</v>
      </c>
      <c r="J133" s="70"/>
      <c r="K133" s="76">
        <v>2310.44</v>
      </c>
      <c r="L133" s="78"/>
      <c r="M133" s="77">
        <v>316</v>
      </c>
      <c r="N133" s="76">
        <f t="shared" si="28"/>
        <v>94.8</v>
      </c>
      <c r="O133" s="76">
        <f t="shared" si="29"/>
        <v>1386.26</v>
      </c>
      <c r="P133" s="76">
        <f t="shared" si="30"/>
        <v>0</v>
      </c>
      <c r="Q133" s="76">
        <f t="shared" si="31"/>
        <v>0</v>
      </c>
      <c r="R133" s="65">
        <f t="shared" si="32"/>
        <v>0.14000000000000001</v>
      </c>
      <c r="S133" s="65">
        <f>IF(R133&gt;0.6,+R133-0.6,0)</f>
        <v>0</v>
      </c>
      <c r="T133" s="34">
        <f>ROUND(S133*K133,2)</f>
        <v>0</v>
      </c>
      <c r="U133" s="34">
        <f t="shared" si="33"/>
        <v>0</v>
      </c>
      <c r="V133" s="77">
        <v>72</v>
      </c>
      <c r="W133" s="76">
        <f t="shared" si="34"/>
        <v>18</v>
      </c>
      <c r="X133" s="36">
        <f>ROUND(M133*$X$2,2)</f>
        <v>94.8</v>
      </c>
      <c r="Y133" s="9">
        <f t="shared" si="35"/>
        <v>2423.2400000000002</v>
      </c>
      <c r="Z133" s="76">
        <v>3050518712</v>
      </c>
      <c r="AA133" s="77">
        <v>13937</v>
      </c>
      <c r="AB133" s="17">
        <f t="shared" si="24"/>
        <v>218879.15</v>
      </c>
      <c r="AC133" s="37">
        <f t="shared" si="25"/>
        <v>1.136876</v>
      </c>
      <c r="AD133" s="77">
        <v>117215</v>
      </c>
      <c r="AE133" s="37">
        <f t="shared" si="26"/>
        <v>0.97278500000000001</v>
      </c>
      <c r="AF133" s="37">
        <f t="shared" si="44"/>
        <v>-8.7649000000000005E-2</v>
      </c>
      <c r="AG133" s="71">
        <f t="shared" si="36"/>
        <v>0.01</v>
      </c>
      <c r="AH133" s="38">
        <f>IF(G133&gt;=1,IF(G133&lt;=5,0.06,IF(G133&lt;=10,0.05,IF(G133&lt;=15,0.04,IF(G133&lt;=19,0.03,0)))),0)</f>
        <v>0</v>
      </c>
      <c r="AI133" s="74">
        <f t="shared" si="37"/>
        <v>0.01</v>
      </c>
      <c r="AJ133" s="77">
        <v>1095</v>
      </c>
      <c r="AK133" s="77">
        <v>6</v>
      </c>
      <c r="AL133" s="11">
        <f t="shared" si="38"/>
        <v>657000</v>
      </c>
      <c r="AM133" s="83"/>
      <c r="AN133" s="84"/>
      <c r="AO133" s="11">
        <f t="shared" si="39"/>
        <v>0</v>
      </c>
      <c r="AP133" s="11">
        <f>ROUND(Y133*AI133*$AP$21,0)</f>
        <v>279278</v>
      </c>
      <c r="AQ133" s="11">
        <f t="shared" si="40"/>
        <v>936278</v>
      </c>
      <c r="AR133" s="35">
        <v>1509226</v>
      </c>
      <c r="AS133" s="11">
        <f t="shared" si="41"/>
        <v>572948</v>
      </c>
      <c r="AT133" s="72" t="str">
        <f t="shared" si="42"/>
        <v>No</v>
      </c>
      <c r="AU133" s="77">
        <v>1015498</v>
      </c>
      <c r="AV133" s="35">
        <f t="shared" si="43"/>
        <v>0</v>
      </c>
      <c r="AW133" s="35">
        <f t="shared" si="27"/>
        <v>1015498</v>
      </c>
      <c r="AX133" s="35">
        <f>IF(C133=1,MAX(AW133,AR133),AW133)</f>
        <v>1015498</v>
      </c>
      <c r="AY133" s="66"/>
      <c r="AZ133" s="67"/>
      <c r="BA133" s="35"/>
      <c r="BB133" s="68"/>
      <c r="BC133" s="35"/>
      <c r="BD133" s="21"/>
      <c r="BF133" s="21"/>
      <c r="BG133" s="21"/>
      <c r="BK133" s="21"/>
      <c r="BL133" s="21"/>
      <c r="BM133" s="21"/>
      <c r="BN133" s="21"/>
      <c r="BO133" s="21"/>
    </row>
    <row r="134" spans="1:67" ht="14.35" x14ac:dyDescent="0.5">
      <c r="A134" s="8" t="s">
        <v>100</v>
      </c>
      <c r="B134" s="8"/>
      <c r="C134" s="25"/>
      <c r="D134" s="25"/>
      <c r="E134" s="25"/>
      <c r="F134" s="1">
        <v>3</v>
      </c>
      <c r="G134" s="78">
        <v>126</v>
      </c>
      <c r="H134" s="8">
        <v>108</v>
      </c>
      <c r="I134" s="3" t="s">
        <v>216</v>
      </c>
      <c r="J134" s="70"/>
      <c r="K134" s="76">
        <v>1681.03</v>
      </c>
      <c r="L134" s="78"/>
      <c r="M134" s="77">
        <v>224</v>
      </c>
      <c r="N134" s="76">
        <f t="shared" si="28"/>
        <v>67.2</v>
      </c>
      <c r="O134" s="76">
        <f t="shared" si="29"/>
        <v>1008.62</v>
      </c>
      <c r="P134" s="76">
        <f t="shared" si="30"/>
        <v>0</v>
      </c>
      <c r="Q134" s="76">
        <f t="shared" si="31"/>
        <v>0</v>
      </c>
      <c r="R134" s="65">
        <f t="shared" si="32"/>
        <v>0.13</v>
      </c>
      <c r="S134" s="65">
        <f>IF(R134&gt;0.6,+R134-0.6,0)</f>
        <v>0</v>
      </c>
      <c r="T134" s="34">
        <f>ROUND(S134*K134,2)</f>
        <v>0</v>
      </c>
      <c r="U134" s="34">
        <f t="shared" si="33"/>
        <v>0</v>
      </c>
      <c r="V134" s="77">
        <v>39</v>
      </c>
      <c r="W134" s="76">
        <f t="shared" si="34"/>
        <v>9.75</v>
      </c>
      <c r="X134" s="36">
        <f>ROUND(M134*$X$2,2)</f>
        <v>67.2</v>
      </c>
      <c r="Y134" s="9">
        <f t="shared" si="35"/>
        <v>1757.98</v>
      </c>
      <c r="Z134" s="76">
        <v>2275743653.6700001</v>
      </c>
      <c r="AA134" s="77">
        <v>13022</v>
      </c>
      <c r="AB134" s="17">
        <f t="shared" si="24"/>
        <v>174761.45</v>
      </c>
      <c r="AC134" s="37">
        <f t="shared" si="25"/>
        <v>0.907725</v>
      </c>
      <c r="AD134" s="77">
        <v>106047</v>
      </c>
      <c r="AE134" s="37">
        <f t="shared" si="26"/>
        <v>0.88009999999999999</v>
      </c>
      <c r="AF134" s="37">
        <f t="shared" si="44"/>
        <v>0.100563</v>
      </c>
      <c r="AG134" s="71">
        <f t="shared" si="36"/>
        <v>0.100563</v>
      </c>
      <c r="AH134" s="38">
        <f>IF(G134&gt;=1,IF(G134&lt;=5,0.06,IF(G134&lt;=10,0.05,IF(G134&lt;=15,0.04,IF(G134&lt;=19,0.03,0)))),0)</f>
        <v>0</v>
      </c>
      <c r="AI134" s="74">
        <f t="shared" si="37"/>
        <v>0.100563</v>
      </c>
      <c r="AJ134" s="77">
        <v>0</v>
      </c>
      <c r="AK134" s="77">
        <v>0</v>
      </c>
      <c r="AL134" s="11">
        <f t="shared" si="38"/>
        <v>0</v>
      </c>
      <c r="AM134" s="83"/>
      <c r="AN134" s="84"/>
      <c r="AO134" s="11">
        <f t="shared" si="39"/>
        <v>0</v>
      </c>
      <c r="AP134" s="11">
        <f>ROUND(Y134*AI134*$AP$21,0)</f>
        <v>2037479</v>
      </c>
      <c r="AQ134" s="11">
        <f t="shared" si="40"/>
        <v>2037479</v>
      </c>
      <c r="AR134" s="35">
        <v>4528763</v>
      </c>
      <c r="AS134" s="11">
        <f t="shared" si="41"/>
        <v>2491284</v>
      </c>
      <c r="AT134" s="72" t="str">
        <f t="shared" si="42"/>
        <v>No</v>
      </c>
      <c r="AU134" s="77">
        <v>3677011</v>
      </c>
      <c r="AV134" s="35">
        <f t="shared" si="43"/>
        <v>0</v>
      </c>
      <c r="AW134" s="35">
        <f t="shared" si="27"/>
        <v>3677011</v>
      </c>
      <c r="AX134" s="35">
        <f>IF(C134=1,MAX(AW134,AR134),AW134)</f>
        <v>3677011</v>
      </c>
      <c r="AY134" s="66"/>
      <c r="AZ134" s="67"/>
      <c r="BA134" s="35"/>
      <c r="BB134" s="68"/>
      <c r="BC134" s="35"/>
      <c r="BD134" s="21"/>
      <c r="BF134" s="21"/>
      <c r="BG134" s="21"/>
      <c r="BK134" s="21"/>
      <c r="BL134" s="21"/>
      <c r="BM134" s="21"/>
      <c r="BN134" s="21"/>
      <c r="BO134" s="21"/>
    </row>
    <row r="135" spans="1:67" ht="14.35" x14ac:dyDescent="0.5">
      <c r="A135" s="8" t="s">
        <v>115</v>
      </c>
      <c r="B135" s="8"/>
      <c r="C135" s="25"/>
      <c r="D135" s="25"/>
      <c r="E135" s="25"/>
      <c r="F135" s="1">
        <v>9</v>
      </c>
      <c r="G135" s="79">
        <v>23</v>
      </c>
      <c r="H135" s="8">
        <v>109</v>
      </c>
      <c r="I135" s="3" t="s">
        <v>217</v>
      </c>
      <c r="J135" s="70"/>
      <c r="K135" s="76">
        <v>2006</v>
      </c>
      <c r="L135" s="79"/>
      <c r="M135" s="77">
        <v>1148</v>
      </c>
      <c r="N135" s="76">
        <f t="shared" si="28"/>
        <v>344.4</v>
      </c>
      <c r="O135" s="76">
        <f t="shared" si="29"/>
        <v>1203.5999999999999</v>
      </c>
      <c r="P135" s="76">
        <f t="shared" si="30"/>
        <v>0</v>
      </c>
      <c r="Q135" s="76">
        <f t="shared" si="31"/>
        <v>0</v>
      </c>
      <c r="R135" s="65">
        <f t="shared" si="32"/>
        <v>0.56999999999999995</v>
      </c>
      <c r="S135" s="65">
        <f>IF(R135&gt;0.6,+R135-0.6,0)</f>
        <v>0</v>
      </c>
      <c r="T135" s="34">
        <f>ROUND(S135*K135,2)</f>
        <v>0</v>
      </c>
      <c r="U135" s="34">
        <f t="shared" si="33"/>
        <v>0</v>
      </c>
      <c r="V135" s="77">
        <v>37</v>
      </c>
      <c r="W135" s="76">
        <f t="shared" si="34"/>
        <v>9.25</v>
      </c>
      <c r="X135" s="36">
        <f>ROUND(M135*$X$2,2)</f>
        <v>344.4</v>
      </c>
      <c r="Y135" s="9">
        <f t="shared" si="35"/>
        <v>2359.65</v>
      </c>
      <c r="Z135" s="76">
        <v>1489193576.3299999</v>
      </c>
      <c r="AA135" s="77">
        <v>15114</v>
      </c>
      <c r="AB135" s="17">
        <f t="shared" si="24"/>
        <v>98530.74</v>
      </c>
      <c r="AC135" s="37">
        <f t="shared" si="25"/>
        <v>0.51177700000000004</v>
      </c>
      <c r="AD135" s="77">
        <v>67551</v>
      </c>
      <c r="AE135" s="37">
        <f t="shared" si="26"/>
        <v>0.560616</v>
      </c>
      <c r="AF135" s="37">
        <f t="shared" si="44"/>
        <v>0.47357100000000002</v>
      </c>
      <c r="AG135" s="71">
        <f t="shared" si="36"/>
        <v>0.47357100000000002</v>
      </c>
      <c r="AH135" s="38">
        <f>IF(G135&gt;=1,IF(G135&lt;=5,0.06,IF(G135&lt;=10,0.05,IF(G135&lt;=15,0.04,IF(G135&lt;=19,0.03,0)))),0)</f>
        <v>0</v>
      </c>
      <c r="AI135" s="74">
        <f t="shared" si="37"/>
        <v>0.47357100000000002</v>
      </c>
      <c r="AJ135" s="77">
        <v>0</v>
      </c>
      <c r="AK135" s="77">
        <v>0</v>
      </c>
      <c r="AL135" s="11">
        <f t="shared" si="38"/>
        <v>0</v>
      </c>
      <c r="AM135" s="83"/>
      <c r="AN135" s="84"/>
      <c r="AO135" s="11">
        <f t="shared" si="39"/>
        <v>0</v>
      </c>
      <c r="AP135" s="11">
        <f>ROUND(Y135*AI135*$AP$21,0)</f>
        <v>12878747</v>
      </c>
      <c r="AQ135" s="11">
        <f t="shared" si="40"/>
        <v>12878747</v>
      </c>
      <c r="AR135" s="35">
        <v>15364444</v>
      </c>
      <c r="AS135" s="11">
        <f t="shared" si="41"/>
        <v>2485697</v>
      </c>
      <c r="AT135" s="72" t="str">
        <f t="shared" si="42"/>
        <v>No</v>
      </c>
      <c r="AU135" s="77">
        <v>14990047</v>
      </c>
      <c r="AV135" s="35">
        <f t="shared" si="43"/>
        <v>0</v>
      </c>
      <c r="AW135" s="35">
        <f t="shared" si="27"/>
        <v>14990047</v>
      </c>
      <c r="AX135" s="35">
        <f>IF(C135=1,MAX(AW135,AR135),AW135)</f>
        <v>14990047</v>
      </c>
      <c r="AY135" s="66"/>
      <c r="AZ135" s="67"/>
      <c r="BA135" s="35"/>
      <c r="BB135" s="68"/>
      <c r="BC135" s="35"/>
      <c r="BD135" s="21"/>
      <c r="BF135" s="21"/>
      <c r="BG135" s="21"/>
      <c r="BK135" s="21"/>
      <c r="BL135" s="21"/>
      <c r="BM135" s="21"/>
      <c r="BN135" s="21"/>
      <c r="BO135" s="21"/>
    </row>
    <row r="136" spans="1:67" ht="14.35" x14ac:dyDescent="0.5">
      <c r="A136" s="8" t="s">
        <v>128</v>
      </c>
      <c r="B136" s="8"/>
      <c r="C136" s="25"/>
      <c r="D136" s="25"/>
      <c r="E136" s="25"/>
      <c r="F136" s="1">
        <v>8</v>
      </c>
      <c r="G136" s="79">
        <v>40</v>
      </c>
      <c r="H136" s="8">
        <v>110</v>
      </c>
      <c r="I136" s="3" t="s">
        <v>218</v>
      </c>
      <c r="J136" s="70"/>
      <c r="K136" s="76">
        <v>2217.0300000000002</v>
      </c>
      <c r="L136" s="79"/>
      <c r="M136" s="77">
        <v>854</v>
      </c>
      <c r="N136" s="76">
        <f t="shared" si="28"/>
        <v>256.2</v>
      </c>
      <c r="O136" s="76">
        <f t="shared" si="29"/>
        <v>1330.22</v>
      </c>
      <c r="P136" s="76">
        <f t="shared" si="30"/>
        <v>0</v>
      </c>
      <c r="Q136" s="76">
        <f t="shared" si="31"/>
        <v>0</v>
      </c>
      <c r="R136" s="65">
        <f t="shared" si="32"/>
        <v>0.39</v>
      </c>
      <c r="S136" s="65">
        <f>IF(R136&gt;0.6,+R136-0.6,0)</f>
        <v>0</v>
      </c>
      <c r="T136" s="34">
        <f>ROUND(S136*K136,2)</f>
        <v>0</v>
      </c>
      <c r="U136" s="34">
        <f t="shared" si="33"/>
        <v>0</v>
      </c>
      <c r="V136" s="77">
        <v>162</v>
      </c>
      <c r="W136" s="76">
        <f t="shared" si="34"/>
        <v>40.5</v>
      </c>
      <c r="X136" s="36">
        <f>ROUND(M136*$X$2,2)</f>
        <v>256.2</v>
      </c>
      <c r="Y136" s="9">
        <f t="shared" si="35"/>
        <v>2513.73</v>
      </c>
      <c r="Z136" s="76">
        <v>2046165809.3299999</v>
      </c>
      <c r="AA136" s="77">
        <v>17720</v>
      </c>
      <c r="AB136" s="17">
        <f t="shared" si="24"/>
        <v>115472.11</v>
      </c>
      <c r="AC136" s="37">
        <f t="shared" si="25"/>
        <v>0.59977199999999997</v>
      </c>
      <c r="AD136" s="77">
        <v>65553</v>
      </c>
      <c r="AE136" s="37">
        <f t="shared" si="26"/>
        <v>0.54403400000000002</v>
      </c>
      <c r="AF136" s="37">
        <f t="shared" si="44"/>
        <v>0.41694900000000001</v>
      </c>
      <c r="AG136" s="71">
        <f t="shared" si="36"/>
        <v>0.41694900000000001</v>
      </c>
      <c r="AH136" s="38">
        <f>IF(G136&gt;=1,IF(G136&lt;=5,0.06,IF(G136&lt;=10,0.05,IF(G136&lt;=15,0.04,IF(G136&lt;=19,0.03,0)))),0)</f>
        <v>0</v>
      </c>
      <c r="AI136" s="74">
        <f t="shared" si="37"/>
        <v>0.41694900000000001</v>
      </c>
      <c r="AJ136" s="77">
        <v>0</v>
      </c>
      <c r="AK136" s="77">
        <v>0</v>
      </c>
      <c r="AL136" s="11">
        <f t="shared" si="38"/>
        <v>0</v>
      </c>
      <c r="AM136" s="83"/>
      <c r="AN136" s="84"/>
      <c r="AO136" s="11">
        <f t="shared" si="39"/>
        <v>0</v>
      </c>
      <c r="AP136" s="11">
        <f>ROUND(Y136*AI136*$AP$21,0)</f>
        <v>12079320</v>
      </c>
      <c r="AQ136" s="11">
        <f t="shared" si="40"/>
        <v>12079320</v>
      </c>
      <c r="AR136" s="35">
        <v>10272197</v>
      </c>
      <c r="AS136" s="11">
        <f t="shared" si="41"/>
        <v>1807123</v>
      </c>
      <c r="AT136" s="72" t="str">
        <f t="shared" si="42"/>
        <v>Yes</v>
      </c>
      <c r="AU136" s="77">
        <v>10812066</v>
      </c>
      <c r="AV136" s="35">
        <f t="shared" si="43"/>
        <v>192639.3118</v>
      </c>
      <c r="AW136" s="35">
        <f t="shared" si="27"/>
        <v>11004705.311799999</v>
      </c>
      <c r="AX136" s="35">
        <f>IF(C136=1,MAX(AW136,AR136),AW136)</f>
        <v>11004705.311799999</v>
      </c>
      <c r="AY136" s="66"/>
      <c r="AZ136" s="67"/>
      <c r="BA136" s="35"/>
      <c r="BB136" s="68"/>
      <c r="BC136" s="35"/>
      <c r="BD136" s="21"/>
      <c r="BF136" s="21"/>
      <c r="BG136" s="21"/>
      <c r="BK136" s="21"/>
      <c r="BL136" s="21"/>
      <c r="BM136" s="21"/>
      <c r="BN136" s="21"/>
      <c r="BO136" s="21"/>
    </row>
    <row r="137" spans="1:67" ht="14.35" x14ac:dyDescent="0.5">
      <c r="A137" s="8" t="s">
        <v>128</v>
      </c>
      <c r="B137" s="8"/>
      <c r="C137" s="25"/>
      <c r="D137" s="25"/>
      <c r="E137" s="25"/>
      <c r="F137" s="1">
        <v>8</v>
      </c>
      <c r="G137" s="79">
        <v>17</v>
      </c>
      <c r="H137" s="8">
        <v>111</v>
      </c>
      <c r="I137" s="3" t="s">
        <v>219</v>
      </c>
      <c r="J137" s="70"/>
      <c r="K137" s="76">
        <v>1424.63</v>
      </c>
      <c r="L137" s="79"/>
      <c r="M137" s="77">
        <v>637</v>
      </c>
      <c r="N137" s="76">
        <f t="shared" si="28"/>
        <v>191.1</v>
      </c>
      <c r="O137" s="76">
        <f t="shared" si="29"/>
        <v>854.78</v>
      </c>
      <c r="P137" s="76">
        <f t="shared" si="30"/>
        <v>0</v>
      </c>
      <c r="Q137" s="76">
        <f t="shared" si="31"/>
        <v>0</v>
      </c>
      <c r="R137" s="65">
        <f t="shared" si="32"/>
        <v>0.45</v>
      </c>
      <c r="S137" s="65">
        <f>IF(R137&gt;0.6,+R137-0.6,0)</f>
        <v>0</v>
      </c>
      <c r="T137" s="34">
        <f>ROUND(S137*K137,2)</f>
        <v>0</v>
      </c>
      <c r="U137" s="34">
        <f t="shared" si="33"/>
        <v>0</v>
      </c>
      <c r="V137" s="77">
        <v>26</v>
      </c>
      <c r="W137" s="76">
        <f t="shared" si="34"/>
        <v>6.5</v>
      </c>
      <c r="X137" s="36">
        <f>ROUND(M137*$X$2,2)</f>
        <v>191.1</v>
      </c>
      <c r="Y137" s="9">
        <f t="shared" si="35"/>
        <v>1622.23</v>
      </c>
      <c r="Z137" s="76">
        <v>1120792865</v>
      </c>
      <c r="AA137" s="77">
        <v>11782</v>
      </c>
      <c r="AB137" s="17">
        <f t="shared" si="24"/>
        <v>95127.56</v>
      </c>
      <c r="AC137" s="37">
        <f t="shared" si="25"/>
        <v>0.49409999999999998</v>
      </c>
      <c r="AD137" s="77">
        <v>80750</v>
      </c>
      <c r="AE137" s="37">
        <f t="shared" si="26"/>
        <v>0.67015599999999997</v>
      </c>
      <c r="AF137" s="37">
        <f t="shared" si="44"/>
        <v>0.45308300000000001</v>
      </c>
      <c r="AG137" s="71">
        <f t="shared" si="36"/>
        <v>0.45308300000000001</v>
      </c>
      <c r="AH137" s="38">
        <f>IF(G137&gt;=1,IF(G137&lt;=5,0.06,IF(G137&lt;=10,0.05,IF(G137&lt;=15,0.04,IF(G137&lt;=19,0.03,0)))),0)</f>
        <v>0.03</v>
      </c>
      <c r="AI137" s="74">
        <f t="shared" si="37"/>
        <v>0.48308300000000004</v>
      </c>
      <c r="AJ137" s="77">
        <v>0</v>
      </c>
      <c r="AK137" s="77">
        <v>0</v>
      </c>
      <c r="AL137" s="11">
        <f t="shared" si="38"/>
        <v>0</v>
      </c>
      <c r="AM137" s="83"/>
      <c r="AN137" s="84"/>
      <c r="AO137" s="11">
        <f t="shared" si="39"/>
        <v>0</v>
      </c>
      <c r="AP137" s="11">
        <f>ROUND(Y137*AI137*$AP$21,0)</f>
        <v>9031817</v>
      </c>
      <c r="AQ137" s="11">
        <f t="shared" si="40"/>
        <v>9031817</v>
      </c>
      <c r="AR137" s="35">
        <v>9761632</v>
      </c>
      <c r="AS137" s="11">
        <f t="shared" si="41"/>
        <v>729815</v>
      </c>
      <c r="AT137" s="72" t="str">
        <f t="shared" si="42"/>
        <v>No</v>
      </c>
      <c r="AU137" s="77">
        <v>9802121</v>
      </c>
      <c r="AV137" s="35">
        <f t="shared" si="43"/>
        <v>0</v>
      </c>
      <c r="AW137" s="35">
        <f t="shared" si="27"/>
        <v>9802121</v>
      </c>
      <c r="AX137" s="35">
        <f>IF(C137=1,MAX(AW137,AR137),AW137)</f>
        <v>9802121</v>
      </c>
      <c r="AY137" s="66"/>
      <c r="AZ137" s="67"/>
      <c r="BA137" s="35"/>
      <c r="BB137" s="68"/>
      <c r="BC137" s="35"/>
      <c r="BD137" s="21"/>
      <c r="BF137" s="21"/>
      <c r="BG137" s="21"/>
      <c r="BK137" s="21"/>
      <c r="BL137" s="21"/>
      <c r="BM137" s="21"/>
      <c r="BN137" s="21"/>
      <c r="BO137" s="21"/>
    </row>
    <row r="138" spans="1:67" ht="14.35" x14ac:dyDescent="0.5">
      <c r="A138" s="8" t="s">
        <v>100</v>
      </c>
      <c r="B138" s="8"/>
      <c r="C138" s="25"/>
      <c r="D138" s="25"/>
      <c r="E138" s="25"/>
      <c r="F138" s="1">
        <v>8</v>
      </c>
      <c r="G138" s="78">
        <v>134</v>
      </c>
      <c r="H138" s="8">
        <v>112</v>
      </c>
      <c r="I138" s="3" t="s">
        <v>220</v>
      </c>
      <c r="J138" s="70"/>
      <c r="K138" s="76">
        <v>521</v>
      </c>
      <c r="L138" s="78"/>
      <c r="M138" s="77">
        <v>92</v>
      </c>
      <c r="N138" s="76">
        <f t="shared" si="28"/>
        <v>27.6</v>
      </c>
      <c r="O138" s="76">
        <f t="shared" si="29"/>
        <v>312.60000000000002</v>
      </c>
      <c r="P138" s="76">
        <f t="shared" si="30"/>
        <v>0</v>
      </c>
      <c r="Q138" s="76">
        <f t="shared" si="31"/>
        <v>0</v>
      </c>
      <c r="R138" s="65">
        <f t="shared" si="32"/>
        <v>0.18</v>
      </c>
      <c r="S138" s="65">
        <f>IF(R138&gt;0.6,+R138-0.6,0)</f>
        <v>0</v>
      </c>
      <c r="T138" s="34">
        <f>ROUND(S138*K138,2)</f>
        <v>0</v>
      </c>
      <c r="U138" s="34">
        <f t="shared" si="33"/>
        <v>0</v>
      </c>
      <c r="V138" s="77">
        <v>0</v>
      </c>
      <c r="W138" s="76">
        <f t="shared" si="34"/>
        <v>0</v>
      </c>
      <c r="X138" s="36">
        <f>ROUND(M138*$X$2,2)</f>
        <v>27.6</v>
      </c>
      <c r="Y138" s="9">
        <f t="shared" si="35"/>
        <v>548.6</v>
      </c>
      <c r="Z138" s="76">
        <v>553530573.33000004</v>
      </c>
      <c r="AA138" s="77">
        <v>4173</v>
      </c>
      <c r="AB138" s="17">
        <f t="shared" si="24"/>
        <v>132645.72</v>
      </c>
      <c r="AC138" s="37">
        <f t="shared" si="25"/>
        <v>0.68897299999999995</v>
      </c>
      <c r="AD138" s="77">
        <v>78958</v>
      </c>
      <c r="AE138" s="37">
        <f t="shared" si="26"/>
        <v>0.65528399999999998</v>
      </c>
      <c r="AF138" s="37">
        <f t="shared" si="44"/>
        <v>0.32113399999999998</v>
      </c>
      <c r="AG138" s="71">
        <f t="shared" si="36"/>
        <v>0.32113399999999998</v>
      </c>
      <c r="AH138" s="38">
        <f>IF(G138&gt;=1,IF(G138&lt;=5,0.06,IF(G138&lt;=10,0.05,IF(G138&lt;=15,0.04,IF(G138&lt;=19,0.03,0)))),0)</f>
        <v>0</v>
      </c>
      <c r="AI138" s="74">
        <f t="shared" si="37"/>
        <v>0.32113399999999998</v>
      </c>
      <c r="AJ138" s="81">
        <v>0</v>
      </c>
      <c r="AK138" s="81">
        <v>0</v>
      </c>
      <c r="AL138" s="11">
        <f t="shared" si="38"/>
        <v>0</v>
      </c>
      <c r="AM138" s="83">
        <v>157</v>
      </c>
      <c r="AN138" s="84">
        <v>4</v>
      </c>
      <c r="AO138" s="11">
        <f t="shared" si="39"/>
        <v>62800</v>
      </c>
      <c r="AP138" s="11">
        <f>ROUND(Y138*AI138*$AP$21,0)</f>
        <v>2030407</v>
      </c>
      <c r="AQ138" s="11">
        <f t="shared" si="40"/>
        <v>2093207</v>
      </c>
      <c r="AR138" s="35">
        <v>3073015</v>
      </c>
      <c r="AS138" s="11">
        <f t="shared" si="41"/>
        <v>979808</v>
      </c>
      <c r="AT138" s="72" t="str">
        <f t="shared" si="42"/>
        <v>No</v>
      </c>
      <c r="AU138" s="77">
        <v>2670987</v>
      </c>
      <c r="AV138" s="35">
        <f t="shared" si="43"/>
        <v>0</v>
      </c>
      <c r="AW138" s="35">
        <f t="shared" si="27"/>
        <v>2670987</v>
      </c>
      <c r="AX138" s="35">
        <f>IF(C138=1,MAX(AW138,AR138),AW138)</f>
        <v>2670987</v>
      </c>
      <c r="AY138" s="66"/>
      <c r="AZ138" s="67"/>
      <c r="BA138" s="35"/>
      <c r="BB138" s="68"/>
      <c r="BC138" s="35"/>
      <c r="BD138" s="21"/>
      <c r="BF138" s="21"/>
      <c r="BG138" s="21"/>
      <c r="BK138" s="21"/>
      <c r="BL138" s="21"/>
      <c r="BM138" s="21"/>
      <c r="BN138" s="21"/>
      <c r="BO138" s="21"/>
    </row>
    <row r="139" spans="1:67" ht="14.35" x14ac:dyDescent="0.5">
      <c r="A139" s="8" t="s">
        <v>104</v>
      </c>
      <c r="B139" s="8"/>
      <c r="C139" s="25"/>
      <c r="D139" s="25"/>
      <c r="E139" s="25"/>
      <c r="F139" s="1">
        <v>6</v>
      </c>
      <c r="G139" s="78">
        <v>69</v>
      </c>
      <c r="H139" s="8">
        <v>113</v>
      </c>
      <c r="I139" s="3" t="s">
        <v>221</v>
      </c>
      <c r="J139" s="70"/>
      <c r="K139" s="76">
        <v>1288.2</v>
      </c>
      <c r="L139" s="78"/>
      <c r="M139" s="77">
        <v>336</v>
      </c>
      <c r="N139" s="76">
        <f t="shared" si="28"/>
        <v>100.8</v>
      </c>
      <c r="O139" s="76">
        <f t="shared" si="29"/>
        <v>772.92</v>
      </c>
      <c r="P139" s="76">
        <f t="shared" si="30"/>
        <v>0</v>
      </c>
      <c r="Q139" s="76">
        <f t="shared" si="31"/>
        <v>0</v>
      </c>
      <c r="R139" s="65">
        <f t="shared" si="32"/>
        <v>0.26</v>
      </c>
      <c r="S139" s="65">
        <f>IF(R139&gt;0.6,+R139-0.6,0)</f>
        <v>0</v>
      </c>
      <c r="T139" s="34">
        <f>ROUND(S139*K139,2)</f>
        <v>0</v>
      </c>
      <c r="U139" s="34">
        <f t="shared" si="33"/>
        <v>0</v>
      </c>
      <c r="V139" s="77">
        <v>34</v>
      </c>
      <c r="W139" s="76">
        <f t="shared" si="34"/>
        <v>8.5</v>
      </c>
      <c r="X139" s="36">
        <f>ROUND(M139*$X$2,2)</f>
        <v>100.8</v>
      </c>
      <c r="Y139" s="9">
        <f t="shared" si="35"/>
        <v>1397.5</v>
      </c>
      <c r="Z139" s="76">
        <v>1215427411.3299999</v>
      </c>
      <c r="AA139" s="77">
        <v>9362</v>
      </c>
      <c r="AB139" s="17">
        <f t="shared" si="24"/>
        <v>129825.62</v>
      </c>
      <c r="AC139" s="37">
        <f t="shared" si="25"/>
        <v>0.67432499999999995</v>
      </c>
      <c r="AD139" s="77">
        <v>91295</v>
      </c>
      <c r="AE139" s="37">
        <f t="shared" si="26"/>
        <v>0.75767099999999998</v>
      </c>
      <c r="AF139" s="37">
        <f t="shared" si="44"/>
        <v>0.30067100000000002</v>
      </c>
      <c r="AG139" s="71">
        <f t="shared" si="36"/>
        <v>0.30067100000000002</v>
      </c>
      <c r="AH139" s="38">
        <f>IF(G139&gt;=1,IF(G139&lt;=5,0.06,IF(G139&lt;=10,0.05,IF(G139&lt;=15,0.04,IF(G139&lt;=19,0.03,0)))),0)</f>
        <v>0</v>
      </c>
      <c r="AI139" s="74">
        <f t="shared" si="37"/>
        <v>0.30067100000000002</v>
      </c>
      <c r="AJ139" s="77">
        <v>0</v>
      </c>
      <c r="AK139" s="77">
        <v>0</v>
      </c>
      <c r="AL139" s="11">
        <f t="shared" si="38"/>
        <v>0</v>
      </c>
      <c r="AM139" s="83"/>
      <c r="AN139" s="84"/>
      <c r="AO139" s="11">
        <f t="shared" si="39"/>
        <v>0</v>
      </c>
      <c r="AP139" s="11">
        <f>ROUND(Y139*AI139*$AP$21,0)</f>
        <v>4842664</v>
      </c>
      <c r="AQ139" s="11">
        <f t="shared" si="40"/>
        <v>4842664</v>
      </c>
      <c r="AR139" s="35">
        <v>4363751</v>
      </c>
      <c r="AS139" s="11">
        <f t="shared" si="41"/>
        <v>478913</v>
      </c>
      <c r="AT139" s="72" t="str">
        <f t="shared" si="42"/>
        <v>Yes</v>
      </c>
      <c r="AU139" s="77">
        <v>4493305</v>
      </c>
      <c r="AV139" s="35">
        <f t="shared" si="43"/>
        <v>51052.125800000002</v>
      </c>
      <c r="AW139" s="35">
        <f t="shared" si="27"/>
        <v>4544357.1257999996</v>
      </c>
      <c r="AX139" s="35">
        <f>IF(C139=1,MAX(AW139,AR139),AW139)</f>
        <v>4544357.1257999996</v>
      </c>
      <c r="AY139" s="66"/>
      <c r="AZ139" s="67"/>
      <c r="BA139" s="35"/>
      <c r="BB139" s="68"/>
      <c r="BC139" s="35"/>
      <c r="BD139" s="21"/>
      <c r="BF139" s="21"/>
      <c r="BG139" s="21"/>
      <c r="BK139" s="21"/>
      <c r="BL139" s="21"/>
      <c r="BM139" s="21"/>
      <c r="BN139" s="21"/>
      <c r="BO139" s="21"/>
    </row>
    <row r="140" spans="1:67" ht="14.35" x14ac:dyDescent="0.5">
      <c r="A140" s="8" t="s">
        <v>104</v>
      </c>
      <c r="B140" s="8"/>
      <c r="C140" s="25"/>
      <c r="D140" s="25"/>
      <c r="E140" s="25"/>
      <c r="F140" s="1">
        <v>7</v>
      </c>
      <c r="G140" s="79">
        <v>41</v>
      </c>
      <c r="H140" s="8">
        <v>114</v>
      </c>
      <c r="I140" s="3" t="s">
        <v>222</v>
      </c>
      <c r="J140" s="70"/>
      <c r="K140" s="76">
        <v>588.26</v>
      </c>
      <c r="L140" s="79"/>
      <c r="M140" s="77">
        <v>156</v>
      </c>
      <c r="N140" s="76">
        <f t="shared" si="28"/>
        <v>46.8</v>
      </c>
      <c r="O140" s="76">
        <f t="shared" si="29"/>
        <v>352.96</v>
      </c>
      <c r="P140" s="76">
        <f t="shared" si="30"/>
        <v>0</v>
      </c>
      <c r="Q140" s="76">
        <f t="shared" si="31"/>
        <v>0</v>
      </c>
      <c r="R140" s="65">
        <f t="shared" si="32"/>
        <v>0.27</v>
      </c>
      <c r="S140" s="65">
        <f>IF(R140&gt;0.6,+R140-0.6,0)</f>
        <v>0</v>
      </c>
      <c r="T140" s="34">
        <f>ROUND(S140*K140,2)</f>
        <v>0</v>
      </c>
      <c r="U140" s="34">
        <f t="shared" si="33"/>
        <v>0</v>
      </c>
      <c r="V140" s="77">
        <v>8</v>
      </c>
      <c r="W140" s="76">
        <f t="shared" si="34"/>
        <v>2</v>
      </c>
      <c r="X140" s="36">
        <f>ROUND(M140*$X$2,2)</f>
        <v>46.8</v>
      </c>
      <c r="Y140" s="9">
        <f t="shared" si="35"/>
        <v>637.05999999999995</v>
      </c>
      <c r="Z140" s="76">
        <v>652410182.66999996</v>
      </c>
      <c r="AA140" s="77">
        <v>4666</v>
      </c>
      <c r="AB140" s="17">
        <f t="shared" si="24"/>
        <v>139822.16</v>
      </c>
      <c r="AC140" s="37">
        <f t="shared" si="25"/>
        <v>0.726248</v>
      </c>
      <c r="AD140" s="77">
        <v>75568</v>
      </c>
      <c r="AE140" s="37">
        <f t="shared" si="26"/>
        <v>0.62714999999999999</v>
      </c>
      <c r="AF140" s="37">
        <f t="shared" si="44"/>
        <v>0.303481</v>
      </c>
      <c r="AG140" s="71">
        <f t="shared" si="36"/>
        <v>0.303481</v>
      </c>
      <c r="AH140" s="38">
        <f>IF(G140&gt;=1,IF(G140&lt;=5,0.06,IF(G140&lt;=10,0.05,IF(G140&lt;=15,0.04,IF(G140&lt;=19,0.03,0)))),0)</f>
        <v>0</v>
      </c>
      <c r="AI140" s="74">
        <f t="shared" si="37"/>
        <v>0.303481</v>
      </c>
      <c r="AJ140" s="81">
        <v>0</v>
      </c>
      <c r="AK140" s="81">
        <v>0</v>
      </c>
      <c r="AL140" s="11">
        <f t="shared" si="38"/>
        <v>0</v>
      </c>
      <c r="AM140" s="83">
        <v>158</v>
      </c>
      <c r="AN140" s="84">
        <v>4</v>
      </c>
      <c r="AO140" s="11">
        <f t="shared" si="39"/>
        <v>63200</v>
      </c>
      <c r="AP140" s="11">
        <f>ROUND(Y140*AI140*$AP$21,0)</f>
        <v>2228193</v>
      </c>
      <c r="AQ140" s="11">
        <f t="shared" si="40"/>
        <v>2291393</v>
      </c>
      <c r="AR140" s="35">
        <v>3012017</v>
      </c>
      <c r="AS140" s="11">
        <f t="shared" si="41"/>
        <v>720624</v>
      </c>
      <c r="AT140" s="72" t="str">
        <f t="shared" si="42"/>
        <v>No</v>
      </c>
      <c r="AU140" s="77">
        <v>2952496</v>
      </c>
      <c r="AV140" s="35">
        <f t="shared" si="43"/>
        <v>0</v>
      </c>
      <c r="AW140" s="35">
        <f t="shared" si="27"/>
        <v>2952496</v>
      </c>
      <c r="AX140" s="35">
        <f>IF(C140=1,MAX(AW140,AR140),AW140)</f>
        <v>2952496</v>
      </c>
      <c r="AY140" s="66"/>
      <c r="AZ140" s="67"/>
      <c r="BA140" s="35"/>
      <c r="BB140" s="68"/>
      <c r="BC140" s="35"/>
      <c r="BD140" s="21"/>
      <c r="BF140" s="21"/>
      <c r="BG140" s="21"/>
      <c r="BK140" s="21"/>
      <c r="BL140" s="21"/>
      <c r="BM140" s="21"/>
      <c r="BN140" s="21"/>
      <c r="BO140" s="21"/>
    </row>
    <row r="141" spans="1:67" ht="14.35" x14ac:dyDescent="0.5">
      <c r="A141" s="8" t="s">
        <v>104</v>
      </c>
      <c r="B141" s="8"/>
      <c r="C141" s="25"/>
      <c r="D141" s="25"/>
      <c r="E141" s="25"/>
      <c r="F141" s="1">
        <v>6</v>
      </c>
      <c r="G141" s="78">
        <v>70</v>
      </c>
      <c r="H141" s="8">
        <v>115</v>
      </c>
      <c r="I141" s="3" t="s">
        <v>223</v>
      </c>
      <c r="J141" s="70"/>
      <c r="K141" s="76">
        <v>1311.37</v>
      </c>
      <c r="L141" s="78"/>
      <c r="M141" s="77">
        <v>267</v>
      </c>
      <c r="N141" s="76">
        <f t="shared" si="28"/>
        <v>80.099999999999994</v>
      </c>
      <c r="O141" s="76">
        <f t="shared" si="29"/>
        <v>786.82</v>
      </c>
      <c r="P141" s="76">
        <f t="shared" si="30"/>
        <v>0</v>
      </c>
      <c r="Q141" s="76">
        <f t="shared" si="31"/>
        <v>0</v>
      </c>
      <c r="R141" s="65">
        <f t="shared" si="32"/>
        <v>0.2</v>
      </c>
      <c r="S141" s="65">
        <f>IF(R141&gt;0.6,+R141-0.6,0)</f>
        <v>0</v>
      </c>
      <c r="T141" s="34">
        <f>ROUND(S141*K141,2)</f>
        <v>0</v>
      </c>
      <c r="U141" s="34">
        <f t="shared" si="33"/>
        <v>0</v>
      </c>
      <c r="V141" s="77">
        <v>28</v>
      </c>
      <c r="W141" s="76">
        <f t="shared" si="34"/>
        <v>7</v>
      </c>
      <c r="X141" s="36">
        <f>ROUND(M141*$X$2,2)</f>
        <v>80.099999999999994</v>
      </c>
      <c r="Y141" s="9">
        <f t="shared" si="35"/>
        <v>1398.4699999999998</v>
      </c>
      <c r="Z141" s="76">
        <v>1272039799.3299999</v>
      </c>
      <c r="AA141" s="77">
        <v>9736</v>
      </c>
      <c r="AB141" s="17">
        <f t="shared" si="24"/>
        <v>130653.23</v>
      </c>
      <c r="AC141" s="37">
        <f t="shared" si="25"/>
        <v>0.678624</v>
      </c>
      <c r="AD141" s="77">
        <v>100524</v>
      </c>
      <c r="AE141" s="37">
        <f t="shared" si="26"/>
        <v>0.83426400000000001</v>
      </c>
      <c r="AF141" s="37">
        <f t="shared" si="44"/>
        <v>0.27468399999999998</v>
      </c>
      <c r="AG141" s="71">
        <f t="shared" si="36"/>
        <v>0.27468399999999998</v>
      </c>
      <c r="AH141" s="38">
        <f>IF(G141&gt;=1,IF(G141&lt;=5,0.06,IF(G141&lt;=10,0.05,IF(G141&lt;=15,0.04,IF(G141&lt;=19,0.03,0)))),0)</f>
        <v>0</v>
      </c>
      <c r="AI141" s="74">
        <f t="shared" si="37"/>
        <v>0.27468399999999998</v>
      </c>
      <c r="AJ141" s="77">
        <v>1312</v>
      </c>
      <c r="AK141" s="77">
        <v>13</v>
      </c>
      <c r="AL141" s="11">
        <f t="shared" si="38"/>
        <v>1705600</v>
      </c>
      <c r="AM141" s="83"/>
      <c r="AN141" s="84"/>
      <c r="AO141" s="11">
        <f t="shared" si="39"/>
        <v>0</v>
      </c>
      <c r="AP141" s="11">
        <f>ROUND(Y141*AI141*$AP$21,0)</f>
        <v>4427183</v>
      </c>
      <c r="AQ141" s="11">
        <f t="shared" si="40"/>
        <v>6132783</v>
      </c>
      <c r="AR141" s="35">
        <v>5297609</v>
      </c>
      <c r="AS141" s="11">
        <f t="shared" si="41"/>
        <v>835174</v>
      </c>
      <c r="AT141" s="72" t="str">
        <f t="shared" si="42"/>
        <v>Yes</v>
      </c>
      <c r="AU141" s="77">
        <v>4862123</v>
      </c>
      <c r="AV141" s="35">
        <f t="shared" si="43"/>
        <v>89029.5484</v>
      </c>
      <c r="AW141" s="35">
        <f t="shared" si="27"/>
        <v>4951152.5483999997</v>
      </c>
      <c r="AX141" s="35">
        <f>IF(C141=1,MAX(AW141,AR141),AW141)</f>
        <v>4951152.5483999997</v>
      </c>
      <c r="AY141" s="66"/>
      <c r="AZ141" s="67"/>
      <c r="BA141" s="35"/>
      <c r="BB141" s="68"/>
      <c r="BC141" s="35"/>
      <c r="BD141" s="21"/>
      <c r="BF141" s="21"/>
      <c r="BG141" s="21"/>
      <c r="BK141" s="21"/>
      <c r="BL141" s="21"/>
      <c r="BM141" s="21"/>
      <c r="BN141" s="21"/>
      <c r="BO141" s="21"/>
    </row>
    <row r="142" spans="1:67" ht="14.35" x14ac:dyDescent="0.5">
      <c r="A142" s="8" t="s">
        <v>115</v>
      </c>
      <c r="B142" s="40"/>
      <c r="C142" s="25">
        <v>1</v>
      </c>
      <c r="D142" s="25">
        <v>1</v>
      </c>
      <c r="E142" s="25"/>
      <c r="F142" s="1">
        <v>10</v>
      </c>
      <c r="G142" s="79">
        <v>33</v>
      </c>
      <c r="H142" s="8">
        <v>116</v>
      </c>
      <c r="I142" s="3" t="s">
        <v>224</v>
      </c>
      <c r="J142" s="70"/>
      <c r="K142" s="76">
        <v>1059.3499999999999</v>
      </c>
      <c r="L142" s="79"/>
      <c r="M142" s="77">
        <v>689</v>
      </c>
      <c r="N142" s="76">
        <f t="shared" si="28"/>
        <v>206.7</v>
      </c>
      <c r="O142" s="76">
        <f t="shared" si="29"/>
        <v>635.61</v>
      </c>
      <c r="P142" s="76">
        <f t="shared" si="30"/>
        <v>53.389999999999986</v>
      </c>
      <c r="Q142" s="76">
        <f t="shared" si="31"/>
        <v>8.01</v>
      </c>
      <c r="R142" s="65">
        <f t="shared" si="32"/>
        <v>0.65</v>
      </c>
      <c r="S142" s="65">
        <f>IF(R142&gt;0.6,+R142-0.6,0)</f>
        <v>5.0000000000000044E-2</v>
      </c>
      <c r="T142" s="34">
        <f>ROUND(S142*K142,2)</f>
        <v>52.97</v>
      </c>
      <c r="U142" s="34">
        <f t="shared" si="33"/>
        <v>7.95</v>
      </c>
      <c r="V142" s="77">
        <v>40</v>
      </c>
      <c r="W142" s="76">
        <f t="shared" si="34"/>
        <v>10</v>
      </c>
      <c r="X142" s="36">
        <f>ROUND(M142*$X$2,2)</f>
        <v>206.7</v>
      </c>
      <c r="Y142" s="9">
        <f t="shared" si="35"/>
        <v>1284.06</v>
      </c>
      <c r="Z142" s="76">
        <v>1007105663.33</v>
      </c>
      <c r="AA142" s="77">
        <v>9360</v>
      </c>
      <c r="AB142" s="17">
        <f t="shared" si="24"/>
        <v>107596.76</v>
      </c>
      <c r="AC142" s="37">
        <f t="shared" si="25"/>
        <v>0.55886599999999997</v>
      </c>
      <c r="AD142" s="77">
        <v>59753</v>
      </c>
      <c r="AE142" s="37">
        <f t="shared" si="26"/>
        <v>0.49589899999999998</v>
      </c>
      <c r="AF142" s="37">
        <f t="shared" si="44"/>
        <v>0.46002399999999999</v>
      </c>
      <c r="AG142" s="71">
        <f t="shared" si="36"/>
        <v>0.46002399999999999</v>
      </c>
      <c r="AH142" s="38">
        <f>IF(G142&gt;=1,IF(G142&lt;=5,0.06,IF(G142&lt;=10,0.05,IF(G142&lt;=15,0.04,IF(G142&lt;=19,0.03,0)))),0)</f>
        <v>0</v>
      </c>
      <c r="AI142" s="74">
        <f t="shared" si="37"/>
        <v>0.46002399999999999</v>
      </c>
      <c r="AJ142" s="77">
        <v>0</v>
      </c>
      <c r="AK142" s="77">
        <v>0</v>
      </c>
      <c r="AL142" s="11">
        <f t="shared" si="38"/>
        <v>0</v>
      </c>
      <c r="AM142" s="83"/>
      <c r="AN142" s="84"/>
      <c r="AO142" s="11">
        <f t="shared" si="39"/>
        <v>0</v>
      </c>
      <c r="AP142" s="11">
        <f>ROUND(Y142*AI142*$AP$21,0)</f>
        <v>6807799</v>
      </c>
      <c r="AQ142" s="11">
        <f t="shared" si="40"/>
        <v>6807799</v>
      </c>
      <c r="AR142" s="35">
        <v>8340282</v>
      </c>
      <c r="AS142" s="11">
        <f t="shared" si="41"/>
        <v>1532483</v>
      </c>
      <c r="AT142" s="72" t="str">
        <f t="shared" si="42"/>
        <v>No</v>
      </c>
      <c r="AU142" s="77">
        <v>8340282</v>
      </c>
      <c r="AV142" s="35">
        <f t="shared" si="43"/>
        <v>0</v>
      </c>
      <c r="AW142" s="35">
        <f t="shared" si="27"/>
        <v>8340282</v>
      </c>
      <c r="AX142" s="35">
        <f>IF(C142=1,MAX(AW142,AR142),AW142)</f>
        <v>8340282</v>
      </c>
      <c r="AY142" s="66"/>
      <c r="AZ142" s="67"/>
      <c r="BA142" s="35"/>
      <c r="BB142" s="68"/>
      <c r="BC142" s="35"/>
      <c r="BD142" s="21"/>
      <c r="BF142" s="21"/>
      <c r="BG142" s="21"/>
      <c r="BK142" s="21"/>
      <c r="BL142" s="21"/>
      <c r="BM142" s="21"/>
      <c r="BN142" s="21"/>
      <c r="BO142" s="21"/>
    </row>
    <row r="143" spans="1:67" ht="14.35" x14ac:dyDescent="0.5">
      <c r="A143" s="8" t="s">
        <v>142</v>
      </c>
      <c r="B143" s="8"/>
      <c r="C143" s="25"/>
      <c r="D143" s="25"/>
      <c r="E143" s="25"/>
      <c r="F143" s="1">
        <v>1</v>
      </c>
      <c r="G143" s="78">
        <v>151</v>
      </c>
      <c r="H143" s="8">
        <v>117</v>
      </c>
      <c r="I143" s="3" t="s">
        <v>225</v>
      </c>
      <c r="J143" s="70"/>
      <c r="K143" s="76">
        <v>1228.08</v>
      </c>
      <c r="L143" s="78"/>
      <c r="M143" s="77">
        <v>123</v>
      </c>
      <c r="N143" s="76">
        <f t="shared" si="28"/>
        <v>36.9</v>
      </c>
      <c r="O143" s="76">
        <f t="shared" si="29"/>
        <v>736.85</v>
      </c>
      <c r="P143" s="76">
        <f t="shared" si="30"/>
        <v>0</v>
      </c>
      <c r="Q143" s="76">
        <f t="shared" si="31"/>
        <v>0</v>
      </c>
      <c r="R143" s="65">
        <f t="shared" si="32"/>
        <v>0.1</v>
      </c>
      <c r="S143" s="65">
        <f>IF(R143&gt;0.6,+R143-0.6,0)</f>
        <v>0</v>
      </c>
      <c r="T143" s="34">
        <f>ROUND(S143*K143,2)</f>
        <v>0</v>
      </c>
      <c r="U143" s="34">
        <f t="shared" si="33"/>
        <v>0</v>
      </c>
      <c r="V143" s="77">
        <v>12</v>
      </c>
      <c r="W143" s="76">
        <f t="shared" si="34"/>
        <v>3</v>
      </c>
      <c r="X143" s="36">
        <f>ROUND(M143*$X$2,2)</f>
        <v>36.9</v>
      </c>
      <c r="Y143" s="9">
        <f t="shared" si="35"/>
        <v>1267.98</v>
      </c>
      <c r="Z143" s="76">
        <v>2278467170.6700001</v>
      </c>
      <c r="AA143" s="77">
        <v>9209</v>
      </c>
      <c r="AB143" s="17">
        <f t="shared" si="24"/>
        <v>247417.44</v>
      </c>
      <c r="AC143" s="37">
        <f t="shared" si="25"/>
        <v>1.285107</v>
      </c>
      <c r="AD143" s="77">
        <v>128047</v>
      </c>
      <c r="AE143" s="37">
        <f t="shared" si="26"/>
        <v>1.062681</v>
      </c>
      <c r="AF143" s="37">
        <f t="shared" si="44"/>
        <v>-0.21837899999999999</v>
      </c>
      <c r="AG143" s="71">
        <f t="shared" si="36"/>
        <v>0.01</v>
      </c>
      <c r="AH143" s="38">
        <f>IF(G143&gt;=1,IF(G143&lt;=5,0.06,IF(G143&lt;=10,0.05,IF(G143&lt;=15,0.04,IF(G143&lt;=19,0.03,0)))),0)</f>
        <v>0</v>
      </c>
      <c r="AI143" s="74">
        <f t="shared" si="37"/>
        <v>0.01</v>
      </c>
      <c r="AJ143" s="77">
        <v>434</v>
      </c>
      <c r="AK143" s="77">
        <v>4</v>
      </c>
      <c r="AL143" s="11">
        <f t="shared" si="38"/>
        <v>173600</v>
      </c>
      <c r="AM143" s="83"/>
      <c r="AN143" s="84"/>
      <c r="AO143" s="11">
        <f t="shared" si="39"/>
        <v>0</v>
      </c>
      <c r="AP143" s="11">
        <f>ROUND(Y143*AI143*$AP$21,0)</f>
        <v>146135</v>
      </c>
      <c r="AQ143" s="11">
        <f t="shared" si="40"/>
        <v>319735</v>
      </c>
      <c r="AR143" s="35">
        <v>180135</v>
      </c>
      <c r="AS143" s="11">
        <f t="shared" si="41"/>
        <v>139600</v>
      </c>
      <c r="AT143" s="72" t="str">
        <f t="shared" si="42"/>
        <v>Yes</v>
      </c>
      <c r="AU143" s="77">
        <v>178040</v>
      </c>
      <c r="AV143" s="35">
        <f t="shared" si="43"/>
        <v>14881.36</v>
      </c>
      <c r="AW143" s="35">
        <f t="shared" si="27"/>
        <v>192921.36</v>
      </c>
      <c r="AX143" s="35">
        <f>IF(C143=1,MAX(AW143,AR143),AW143)</f>
        <v>192921.36</v>
      </c>
      <c r="AY143" s="66"/>
      <c r="AZ143" s="67"/>
      <c r="BA143" s="35"/>
      <c r="BB143" s="68"/>
      <c r="BC143" s="35"/>
      <c r="BD143" s="21"/>
      <c r="BF143" s="21"/>
      <c r="BG143" s="21"/>
      <c r="BK143" s="21"/>
      <c r="BL143" s="21"/>
      <c r="BM143" s="21"/>
      <c r="BN143" s="21"/>
      <c r="BO143" s="21"/>
    </row>
    <row r="144" spans="1:67" ht="14.35" x14ac:dyDescent="0.5">
      <c r="A144" s="8" t="s">
        <v>142</v>
      </c>
      <c r="B144" s="8"/>
      <c r="C144" s="25"/>
      <c r="D144" s="25"/>
      <c r="E144" s="25"/>
      <c r="F144" s="1">
        <v>1</v>
      </c>
      <c r="G144" s="78">
        <v>158</v>
      </c>
      <c r="H144" s="8">
        <v>118</v>
      </c>
      <c r="I144" s="3" t="s">
        <v>226</v>
      </c>
      <c r="J144" s="70"/>
      <c r="K144" s="76">
        <v>4545.18</v>
      </c>
      <c r="L144" s="78"/>
      <c r="M144" s="77">
        <v>250</v>
      </c>
      <c r="N144" s="76">
        <f t="shared" si="28"/>
        <v>75</v>
      </c>
      <c r="O144" s="76">
        <f t="shared" si="29"/>
        <v>2727.11</v>
      </c>
      <c r="P144" s="76">
        <f t="shared" si="30"/>
        <v>0</v>
      </c>
      <c r="Q144" s="76">
        <f t="shared" si="31"/>
        <v>0</v>
      </c>
      <c r="R144" s="65">
        <f t="shared" si="32"/>
        <v>0.06</v>
      </c>
      <c r="S144" s="65">
        <f>IF(R144&gt;0.6,+R144-0.6,0)</f>
        <v>0</v>
      </c>
      <c r="T144" s="34">
        <f>ROUND(S144*K144,2)</f>
        <v>0</v>
      </c>
      <c r="U144" s="34">
        <f t="shared" si="33"/>
        <v>0</v>
      </c>
      <c r="V144" s="77">
        <v>50</v>
      </c>
      <c r="W144" s="76">
        <f t="shared" si="34"/>
        <v>12.5</v>
      </c>
      <c r="X144" s="36">
        <f>ROUND(M144*$X$2,2)</f>
        <v>75</v>
      </c>
      <c r="Y144" s="9">
        <f t="shared" si="35"/>
        <v>4632.68</v>
      </c>
      <c r="Z144" s="76">
        <v>7091462587</v>
      </c>
      <c r="AA144" s="77">
        <v>25070</v>
      </c>
      <c r="AB144" s="17">
        <f t="shared" si="24"/>
        <v>282866.48</v>
      </c>
      <c r="AC144" s="37">
        <f t="shared" si="25"/>
        <v>1.4692320000000001</v>
      </c>
      <c r="AD144" s="77">
        <v>158518</v>
      </c>
      <c r="AE144" s="37">
        <f t="shared" si="26"/>
        <v>1.3155650000000001</v>
      </c>
      <c r="AF144" s="37">
        <f t="shared" si="44"/>
        <v>-0.42313200000000001</v>
      </c>
      <c r="AG144" s="71">
        <f t="shared" si="36"/>
        <v>0.01</v>
      </c>
      <c r="AH144" s="38">
        <f>IF(G144&gt;=1,IF(G144&lt;=5,0.06,IF(G144&lt;=10,0.05,IF(G144&lt;=15,0.04,IF(G144&lt;=19,0.03,0)))),0)</f>
        <v>0</v>
      </c>
      <c r="AI144" s="74">
        <f t="shared" si="37"/>
        <v>0.01</v>
      </c>
      <c r="AJ144" s="77">
        <v>0</v>
      </c>
      <c r="AK144" s="77">
        <v>0</v>
      </c>
      <c r="AL144" s="11">
        <f t="shared" si="38"/>
        <v>0</v>
      </c>
      <c r="AM144" s="83"/>
      <c r="AN144" s="84"/>
      <c r="AO144" s="11">
        <f t="shared" si="39"/>
        <v>0</v>
      </c>
      <c r="AP144" s="11">
        <f>ROUND(Y144*AI144*$AP$21,0)</f>
        <v>533916</v>
      </c>
      <c r="AQ144" s="11">
        <f t="shared" si="40"/>
        <v>533916</v>
      </c>
      <c r="AR144" s="35">
        <v>571648</v>
      </c>
      <c r="AS144" s="11">
        <f t="shared" si="41"/>
        <v>37732</v>
      </c>
      <c r="AT144" s="72" t="str">
        <f t="shared" si="42"/>
        <v>No</v>
      </c>
      <c r="AU144" s="77">
        <v>568700</v>
      </c>
      <c r="AV144" s="35">
        <f t="shared" si="43"/>
        <v>0</v>
      </c>
      <c r="AW144" s="35">
        <f t="shared" si="27"/>
        <v>568700</v>
      </c>
      <c r="AX144" s="35">
        <f>IF(C144=1,MAX(AW144,AR144),AW144)</f>
        <v>568700</v>
      </c>
      <c r="AY144" s="66"/>
      <c r="AZ144" s="67"/>
      <c r="BA144" s="35"/>
      <c r="BB144" s="68"/>
      <c r="BC144" s="35"/>
      <c r="BD144" s="21"/>
      <c r="BF144" s="21"/>
      <c r="BG144" s="21"/>
      <c r="BK144" s="21"/>
      <c r="BL144" s="21"/>
      <c r="BM144" s="21"/>
      <c r="BN144" s="21"/>
      <c r="BO144" s="21"/>
    </row>
    <row r="145" spans="1:67" ht="14.35" x14ac:dyDescent="0.5">
      <c r="A145" s="8" t="s">
        <v>110</v>
      </c>
      <c r="B145" s="8"/>
      <c r="C145" s="25"/>
      <c r="D145" s="25"/>
      <c r="E145" s="25"/>
      <c r="F145" s="1">
        <v>6</v>
      </c>
      <c r="G145" s="78">
        <v>110</v>
      </c>
      <c r="H145" s="8">
        <v>119</v>
      </c>
      <c r="I145" s="3" t="s">
        <v>227</v>
      </c>
      <c r="J145" s="70"/>
      <c r="K145" s="76">
        <v>2774.17</v>
      </c>
      <c r="L145" s="78"/>
      <c r="M145" s="77">
        <v>506</v>
      </c>
      <c r="N145" s="76">
        <f t="shared" si="28"/>
        <v>151.80000000000001</v>
      </c>
      <c r="O145" s="76">
        <f t="shared" si="29"/>
        <v>1664.5</v>
      </c>
      <c r="P145" s="76">
        <f t="shared" si="30"/>
        <v>0</v>
      </c>
      <c r="Q145" s="76">
        <f t="shared" si="31"/>
        <v>0</v>
      </c>
      <c r="R145" s="65">
        <f t="shared" si="32"/>
        <v>0.18</v>
      </c>
      <c r="S145" s="65">
        <f>IF(R145&gt;0.6,+R145-0.6,0)</f>
        <v>0</v>
      </c>
      <c r="T145" s="34">
        <f>ROUND(S145*K145,2)</f>
        <v>0</v>
      </c>
      <c r="U145" s="34">
        <f t="shared" si="33"/>
        <v>0</v>
      </c>
      <c r="V145" s="77">
        <v>215</v>
      </c>
      <c r="W145" s="76">
        <f t="shared" si="34"/>
        <v>53.75</v>
      </c>
      <c r="X145" s="36">
        <f>ROUND(M145*$X$2,2)</f>
        <v>151.80000000000001</v>
      </c>
      <c r="Y145" s="9">
        <f t="shared" si="35"/>
        <v>2979.7200000000003</v>
      </c>
      <c r="Z145" s="76">
        <v>3097362568</v>
      </c>
      <c r="AA145" s="77">
        <v>20137</v>
      </c>
      <c r="AB145" s="17">
        <f t="shared" si="24"/>
        <v>153814.5</v>
      </c>
      <c r="AC145" s="37">
        <f t="shared" si="25"/>
        <v>0.798925</v>
      </c>
      <c r="AD145" s="77">
        <v>83100</v>
      </c>
      <c r="AE145" s="37">
        <f t="shared" si="26"/>
        <v>0.68965900000000002</v>
      </c>
      <c r="AF145" s="37">
        <f t="shared" si="44"/>
        <v>0.23385500000000001</v>
      </c>
      <c r="AG145" s="71">
        <f t="shared" si="36"/>
        <v>0.23385500000000001</v>
      </c>
      <c r="AH145" s="38">
        <f>IF(G145&gt;=1,IF(G145&lt;=5,0.06,IF(G145&lt;=10,0.05,IF(G145&lt;=15,0.04,IF(G145&lt;=19,0.03,0)))),0)</f>
        <v>0</v>
      </c>
      <c r="AI145" s="74">
        <f t="shared" si="37"/>
        <v>0.23385500000000001</v>
      </c>
      <c r="AJ145" s="77">
        <v>0</v>
      </c>
      <c r="AK145" s="77">
        <v>0</v>
      </c>
      <c r="AL145" s="11">
        <f t="shared" si="38"/>
        <v>0</v>
      </c>
      <c r="AM145" s="83"/>
      <c r="AN145" s="84"/>
      <c r="AO145" s="11">
        <f t="shared" si="39"/>
        <v>0</v>
      </c>
      <c r="AP145" s="11">
        <f>ROUND(Y145*AI145*$AP$21,0)</f>
        <v>8030878</v>
      </c>
      <c r="AQ145" s="11">
        <f t="shared" si="40"/>
        <v>8030878</v>
      </c>
      <c r="AR145" s="35">
        <v>4250230</v>
      </c>
      <c r="AS145" s="11">
        <f t="shared" si="41"/>
        <v>3780648</v>
      </c>
      <c r="AT145" s="72" t="str">
        <f t="shared" si="42"/>
        <v>Yes</v>
      </c>
      <c r="AU145" s="77">
        <v>5010814</v>
      </c>
      <c r="AV145" s="35">
        <f t="shared" si="43"/>
        <v>403017.07679999998</v>
      </c>
      <c r="AW145" s="35">
        <f t="shared" si="27"/>
        <v>5413831.0767999999</v>
      </c>
      <c r="AX145" s="35">
        <f>IF(C145=1,MAX(AW145,AR145),AW145)</f>
        <v>5413831.0767999999</v>
      </c>
      <c r="AY145" s="66"/>
      <c r="AZ145" s="67"/>
      <c r="BA145" s="35"/>
      <c r="BB145" s="68"/>
      <c r="BC145" s="35"/>
      <c r="BD145" s="21"/>
      <c r="BF145" s="21"/>
      <c r="BG145" s="21"/>
      <c r="BK145" s="21"/>
      <c r="BL145" s="21"/>
      <c r="BM145" s="21"/>
      <c r="BN145" s="21"/>
      <c r="BO145" s="21"/>
    </row>
    <row r="146" spans="1:67" ht="14.35" x14ac:dyDescent="0.5">
      <c r="A146" s="8" t="s">
        <v>100</v>
      </c>
      <c r="B146" s="8"/>
      <c r="C146" s="25"/>
      <c r="D146" s="25"/>
      <c r="E146" s="25"/>
      <c r="F146" s="1">
        <v>1</v>
      </c>
      <c r="G146" s="78">
        <v>165</v>
      </c>
      <c r="H146" s="8">
        <v>120</v>
      </c>
      <c r="I146" s="3" t="s">
        <v>228</v>
      </c>
      <c r="J146" s="70"/>
      <c r="K146" s="76">
        <v>192.02</v>
      </c>
      <c r="L146" s="78"/>
      <c r="M146" s="77">
        <v>43</v>
      </c>
      <c r="N146" s="76">
        <f t="shared" si="28"/>
        <v>12.9</v>
      </c>
      <c r="O146" s="76">
        <f t="shared" si="29"/>
        <v>115.21</v>
      </c>
      <c r="P146" s="76">
        <f t="shared" si="30"/>
        <v>0</v>
      </c>
      <c r="Q146" s="76">
        <f t="shared" si="31"/>
        <v>0</v>
      </c>
      <c r="R146" s="65">
        <f t="shared" si="32"/>
        <v>0.22</v>
      </c>
      <c r="S146" s="65">
        <f>IF(R146&gt;0.6,+R146-0.6,0)</f>
        <v>0</v>
      </c>
      <c r="T146" s="34">
        <f>ROUND(S146*K146,2)</f>
        <v>0</v>
      </c>
      <c r="U146" s="34">
        <f t="shared" si="33"/>
        <v>0</v>
      </c>
      <c r="V146" s="77">
        <v>2</v>
      </c>
      <c r="W146" s="76">
        <f t="shared" si="34"/>
        <v>0.5</v>
      </c>
      <c r="X146" s="36">
        <f>ROUND(M146*$X$2,2)</f>
        <v>12.9</v>
      </c>
      <c r="Y146" s="9">
        <f t="shared" si="35"/>
        <v>205.42000000000002</v>
      </c>
      <c r="Z146" s="76">
        <v>923272151.66999996</v>
      </c>
      <c r="AA146" s="77">
        <v>2103</v>
      </c>
      <c r="AB146" s="17">
        <f t="shared" si="24"/>
        <v>439026.23</v>
      </c>
      <c r="AC146" s="37">
        <f t="shared" si="25"/>
        <v>2.280338</v>
      </c>
      <c r="AD146" s="77">
        <v>137656</v>
      </c>
      <c r="AE146" s="37">
        <f t="shared" si="26"/>
        <v>1.142428</v>
      </c>
      <c r="AF146" s="37">
        <f t="shared" si="44"/>
        <v>-0.93896500000000005</v>
      </c>
      <c r="AG146" s="71">
        <f t="shared" si="36"/>
        <v>0.01</v>
      </c>
      <c r="AH146" s="38">
        <f>IF(G146&gt;=1,IF(G146&lt;=5,0.06,IF(G146&lt;=10,0.05,IF(G146&lt;=15,0.04,IF(G146&lt;=19,0.03,0)))),0)</f>
        <v>0</v>
      </c>
      <c r="AI146" s="74">
        <f t="shared" si="37"/>
        <v>0.01</v>
      </c>
      <c r="AJ146" s="77">
        <v>192</v>
      </c>
      <c r="AK146" s="77">
        <v>13</v>
      </c>
      <c r="AL146" s="11">
        <f t="shared" si="38"/>
        <v>249600</v>
      </c>
      <c r="AM146" s="83"/>
      <c r="AN146" s="84"/>
      <c r="AO146" s="11">
        <f t="shared" si="39"/>
        <v>0</v>
      </c>
      <c r="AP146" s="11">
        <f>ROUND(Y146*AI146*$AP$21,0)</f>
        <v>23675</v>
      </c>
      <c r="AQ146" s="11">
        <f t="shared" si="40"/>
        <v>273275</v>
      </c>
      <c r="AR146" s="35">
        <v>33612</v>
      </c>
      <c r="AS146" s="11">
        <f t="shared" si="41"/>
        <v>239663</v>
      </c>
      <c r="AT146" s="72" t="str">
        <f t="shared" si="42"/>
        <v>Yes</v>
      </c>
      <c r="AU146" s="77">
        <v>36047</v>
      </c>
      <c r="AV146" s="35">
        <f t="shared" si="43"/>
        <v>25548.075799999999</v>
      </c>
      <c r="AW146" s="35">
        <f t="shared" si="27"/>
        <v>61595.075799999999</v>
      </c>
      <c r="AX146" s="35">
        <f>IF(C146=1,MAX(AW146,AR146),AW146)</f>
        <v>61595.075799999999</v>
      </c>
      <c r="AY146" s="66"/>
      <c r="AZ146" s="67"/>
      <c r="BA146" s="35"/>
      <c r="BB146" s="68"/>
      <c r="BC146" s="35"/>
      <c r="BD146" s="21"/>
      <c r="BF146" s="21"/>
      <c r="BG146" s="21"/>
      <c r="BK146" s="21"/>
      <c r="BL146" s="21"/>
      <c r="BM146" s="21"/>
      <c r="BN146" s="21"/>
      <c r="BO146" s="21"/>
    </row>
    <row r="147" spans="1:67" ht="14.35" x14ac:dyDescent="0.5">
      <c r="A147" s="8" t="s">
        <v>100</v>
      </c>
      <c r="B147" s="8"/>
      <c r="C147" s="25"/>
      <c r="D147" s="25"/>
      <c r="E147" s="25"/>
      <c r="F147" s="1">
        <v>5</v>
      </c>
      <c r="G147" s="78">
        <v>66</v>
      </c>
      <c r="H147" s="8">
        <v>121</v>
      </c>
      <c r="I147" s="3" t="s">
        <v>229</v>
      </c>
      <c r="J147" s="70"/>
      <c r="K147" s="76">
        <v>592.69000000000005</v>
      </c>
      <c r="L147" s="78"/>
      <c r="M147" s="77">
        <v>134</v>
      </c>
      <c r="N147" s="76">
        <f t="shared" si="28"/>
        <v>40.200000000000003</v>
      </c>
      <c r="O147" s="76">
        <f t="shared" si="29"/>
        <v>355.61</v>
      </c>
      <c r="P147" s="76">
        <f t="shared" si="30"/>
        <v>0</v>
      </c>
      <c r="Q147" s="76">
        <f t="shared" si="31"/>
        <v>0</v>
      </c>
      <c r="R147" s="65">
        <f t="shared" si="32"/>
        <v>0.23</v>
      </c>
      <c r="S147" s="65">
        <f>IF(R147&gt;0.6,+R147-0.6,0)</f>
        <v>0</v>
      </c>
      <c r="T147" s="34">
        <f>ROUND(S147*K147,2)</f>
        <v>0</v>
      </c>
      <c r="U147" s="34">
        <f t="shared" si="33"/>
        <v>0</v>
      </c>
      <c r="V147" s="77">
        <v>3</v>
      </c>
      <c r="W147" s="76">
        <f t="shared" si="34"/>
        <v>0.75</v>
      </c>
      <c r="X147" s="36">
        <f>ROUND(M147*$X$2,2)</f>
        <v>40.200000000000003</v>
      </c>
      <c r="Y147" s="9">
        <f t="shared" si="35"/>
        <v>633.6400000000001</v>
      </c>
      <c r="Z147" s="76">
        <v>551143124</v>
      </c>
      <c r="AA147" s="77">
        <v>4126</v>
      </c>
      <c r="AB147" s="17">
        <f t="shared" si="24"/>
        <v>133578.07</v>
      </c>
      <c r="AC147" s="37">
        <f t="shared" si="25"/>
        <v>0.69381499999999996</v>
      </c>
      <c r="AD147" s="77">
        <v>113000</v>
      </c>
      <c r="AE147" s="37">
        <f t="shared" si="26"/>
        <v>0.93780399999999997</v>
      </c>
      <c r="AF147" s="37">
        <f t="shared" si="44"/>
        <v>0.232988</v>
      </c>
      <c r="AG147" s="71">
        <f t="shared" si="36"/>
        <v>0.232988</v>
      </c>
      <c r="AH147" s="38">
        <f>IF(G147&gt;=1,IF(G147&lt;=5,0.06,IF(G147&lt;=10,0.05,IF(G147&lt;=15,0.04,IF(G147&lt;=19,0.03,0)))),0)</f>
        <v>0</v>
      </c>
      <c r="AI147" s="74">
        <f t="shared" si="37"/>
        <v>0.232988</v>
      </c>
      <c r="AJ147" s="77">
        <v>0</v>
      </c>
      <c r="AK147" s="77">
        <v>0</v>
      </c>
      <c r="AL147" s="11">
        <f t="shared" si="38"/>
        <v>0</v>
      </c>
      <c r="AM147" s="83"/>
      <c r="AN147" s="84"/>
      <c r="AO147" s="11">
        <f t="shared" si="39"/>
        <v>0</v>
      </c>
      <c r="AP147" s="11">
        <f>ROUND(Y147*AI147*$AP$21,0)</f>
        <v>1701442</v>
      </c>
      <c r="AQ147" s="11">
        <f t="shared" si="40"/>
        <v>1701442</v>
      </c>
      <c r="AR147" s="35">
        <v>3049314</v>
      </c>
      <c r="AS147" s="11">
        <f t="shared" si="41"/>
        <v>1347872</v>
      </c>
      <c r="AT147" s="72" t="str">
        <f t="shared" si="42"/>
        <v>No</v>
      </c>
      <c r="AU147" s="77">
        <v>2525078</v>
      </c>
      <c r="AV147" s="35">
        <f t="shared" si="43"/>
        <v>0</v>
      </c>
      <c r="AW147" s="35">
        <f t="shared" si="27"/>
        <v>2525078</v>
      </c>
      <c r="AX147" s="35">
        <f>IF(C147=1,MAX(AW147,AR147),AW147)</f>
        <v>2525078</v>
      </c>
      <c r="AY147" s="66"/>
      <c r="AZ147" s="67"/>
      <c r="BA147" s="35"/>
      <c r="BB147" s="68"/>
      <c r="BC147" s="35"/>
      <c r="BD147" s="21"/>
      <c r="BF147" s="21"/>
      <c r="BG147" s="21"/>
      <c r="BK147" s="21"/>
      <c r="BL147" s="21"/>
      <c r="BM147" s="21"/>
      <c r="BN147" s="21"/>
      <c r="BO147" s="21"/>
    </row>
    <row r="148" spans="1:67" ht="14.35" x14ac:dyDescent="0.5">
      <c r="A148" s="8" t="s">
        <v>104</v>
      </c>
      <c r="B148" s="8"/>
      <c r="C148" s="25"/>
      <c r="D148" s="25"/>
      <c r="E148" s="25"/>
      <c r="F148" s="1">
        <v>1</v>
      </c>
      <c r="G148" s="78">
        <v>162</v>
      </c>
      <c r="H148" s="8">
        <v>122</v>
      </c>
      <c r="I148" s="3" t="s">
        <v>230</v>
      </c>
      <c r="J148" s="70"/>
      <c r="K148" s="76">
        <v>350.29</v>
      </c>
      <c r="L148" s="78"/>
      <c r="M148" s="77">
        <v>78</v>
      </c>
      <c r="N148" s="76">
        <f t="shared" si="28"/>
        <v>23.4</v>
      </c>
      <c r="O148" s="76">
        <f t="shared" si="29"/>
        <v>210.17</v>
      </c>
      <c r="P148" s="76">
        <f t="shared" si="30"/>
        <v>0</v>
      </c>
      <c r="Q148" s="76">
        <f t="shared" si="31"/>
        <v>0</v>
      </c>
      <c r="R148" s="65">
        <f t="shared" si="32"/>
        <v>0.22</v>
      </c>
      <c r="S148" s="65">
        <f>IF(R148&gt;0.6,+R148-0.6,0)</f>
        <v>0</v>
      </c>
      <c r="T148" s="34">
        <f>ROUND(S148*K148,2)</f>
        <v>0</v>
      </c>
      <c r="U148" s="34">
        <f t="shared" si="33"/>
        <v>0</v>
      </c>
      <c r="V148" s="77">
        <v>8</v>
      </c>
      <c r="W148" s="76">
        <f t="shared" si="34"/>
        <v>2</v>
      </c>
      <c r="X148" s="36">
        <f>ROUND(M148*$X$2,2)</f>
        <v>23.4</v>
      </c>
      <c r="Y148" s="9">
        <f t="shared" si="35"/>
        <v>375.69</v>
      </c>
      <c r="Z148" s="76">
        <v>1788111355</v>
      </c>
      <c r="AA148" s="77">
        <v>3631</v>
      </c>
      <c r="AB148" s="17">
        <f t="shared" si="24"/>
        <v>492457</v>
      </c>
      <c r="AC148" s="37">
        <f t="shared" si="25"/>
        <v>2.5578620000000001</v>
      </c>
      <c r="AD148" s="77">
        <v>83698</v>
      </c>
      <c r="AE148" s="37">
        <f t="shared" si="26"/>
        <v>0.69462199999999996</v>
      </c>
      <c r="AF148" s="37">
        <f t="shared" si="44"/>
        <v>-0.99888999999999994</v>
      </c>
      <c r="AG148" s="71">
        <f t="shared" si="36"/>
        <v>0.01</v>
      </c>
      <c r="AH148" s="38">
        <f>IF(G148&gt;=1,IF(G148&lt;=5,0.06,IF(G148&lt;=10,0.05,IF(G148&lt;=15,0.04,IF(G148&lt;=19,0.03,0)))),0)</f>
        <v>0</v>
      </c>
      <c r="AI148" s="74">
        <f t="shared" si="37"/>
        <v>0.01</v>
      </c>
      <c r="AJ148" s="77">
        <v>59</v>
      </c>
      <c r="AK148" s="77">
        <v>4</v>
      </c>
      <c r="AL148" s="11">
        <f t="shared" si="38"/>
        <v>23600</v>
      </c>
      <c r="AM148" s="83"/>
      <c r="AN148" s="84"/>
      <c r="AO148" s="11">
        <f t="shared" si="39"/>
        <v>0</v>
      </c>
      <c r="AP148" s="11">
        <f>ROUND(Y148*AI148*$AP$21,0)</f>
        <v>43298</v>
      </c>
      <c r="AQ148" s="11">
        <f t="shared" si="40"/>
        <v>66898</v>
      </c>
      <c r="AR148" s="35">
        <v>10871</v>
      </c>
      <c r="AS148" s="11">
        <f t="shared" si="41"/>
        <v>56027</v>
      </c>
      <c r="AT148" s="72" t="str">
        <f t="shared" si="42"/>
        <v>Yes</v>
      </c>
      <c r="AU148" s="77">
        <v>19530</v>
      </c>
      <c r="AV148" s="35">
        <f t="shared" si="43"/>
        <v>5972.4782000000005</v>
      </c>
      <c r="AW148" s="35">
        <f t="shared" si="27"/>
        <v>25502.478200000001</v>
      </c>
      <c r="AX148" s="35">
        <f>IF(C148=1,MAX(AW148,AR148),AW148)</f>
        <v>25502.478200000001</v>
      </c>
      <c r="AY148" s="66"/>
      <c r="AZ148" s="67"/>
      <c r="BA148" s="35"/>
      <c r="BB148" s="68"/>
      <c r="BC148" s="35"/>
      <c r="BD148" s="21"/>
      <c r="BF148" s="21"/>
      <c r="BG148" s="21"/>
      <c r="BK148" s="21"/>
      <c r="BL148" s="21"/>
      <c r="BM148" s="21"/>
      <c r="BN148" s="21"/>
      <c r="BO148" s="21"/>
    </row>
    <row r="149" spans="1:67" ht="14.35" x14ac:dyDescent="0.5">
      <c r="A149" s="8" t="s">
        <v>104</v>
      </c>
      <c r="B149" s="8"/>
      <c r="C149" s="25"/>
      <c r="D149" s="25"/>
      <c r="E149" s="25"/>
      <c r="F149" s="1">
        <v>8</v>
      </c>
      <c r="G149" s="79">
        <v>39</v>
      </c>
      <c r="H149" s="8">
        <v>123</v>
      </c>
      <c r="I149" s="3" t="s">
        <v>231</v>
      </c>
      <c r="J149" s="70"/>
      <c r="K149" s="76">
        <v>168.08</v>
      </c>
      <c r="L149" s="79"/>
      <c r="M149" s="77">
        <v>60</v>
      </c>
      <c r="N149" s="76">
        <f t="shared" si="28"/>
        <v>18</v>
      </c>
      <c r="O149" s="76">
        <f t="shared" si="29"/>
        <v>100.85</v>
      </c>
      <c r="P149" s="76">
        <f t="shared" si="30"/>
        <v>0</v>
      </c>
      <c r="Q149" s="76">
        <f t="shared" si="31"/>
        <v>0</v>
      </c>
      <c r="R149" s="65">
        <f t="shared" si="32"/>
        <v>0.36</v>
      </c>
      <c r="S149" s="65">
        <f>IF(R149&gt;0.6,+R149-0.6,0)</f>
        <v>0</v>
      </c>
      <c r="T149" s="34">
        <f>ROUND(S149*K149,2)</f>
        <v>0</v>
      </c>
      <c r="U149" s="34">
        <f t="shared" si="33"/>
        <v>0</v>
      </c>
      <c r="V149" s="77">
        <v>1</v>
      </c>
      <c r="W149" s="76">
        <f t="shared" si="34"/>
        <v>0.25</v>
      </c>
      <c r="X149" s="36">
        <f>ROUND(M149*$X$2,2)</f>
        <v>18</v>
      </c>
      <c r="Y149" s="9">
        <f t="shared" si="35"/>
        <v>186.33</v>
      </c>
      <c r="Z149" s="76">
        <v>166228460.33000001</v>
      </c>
      <c r="AA149" s="77">
        <v>1653</v>
      </c>
      <c r="AB149" s="17">
        <f t="shared" si="24"/>
        <v>100561.68</v>
      </c>
      <c r="AC149" s="37">
        <f t="shared" si="25"/>
        <v>0.52232599999999996</v>
      </c>
      <c r="AD149" s="77">
        <v>89000</v>
      </c>
      <c r="AE149" s="37">
        <f t="shared" si="26"/>
        <v>0.73862399999999995</v>
      </c>
      <c r="AF149" s="37">
        <f t="shared" si="44"/>
        <v>0.41278500000000001</v>
      </c>
      <c r="AG149" s="71">
        <f t="shared" si="36"/>
        <v>0.41278500000000001</v>
      </c>
      <c r="AH149" s="38">
        <f>IF(G149&gt;=1,IF(G149&lt;=5,0.06,IF(G149&lt;=10,0.05,IF(G149&lt;=15,0.04,IF(G149&lt;=19,0.03,0)))),0)</f>
        <v>0</v>
      </c>
      <c r="AI149" s="74">
        <f t="shared" si="37"/>
        <v>0.41278500000000001</v>
      </c>
      <c r="AJ149" s="77">
        <v>81</v>
      </c>
      <c r="AK149" s="77">
        <v>6</v>
      </c>
      <c r="AL149" s="11">
        <f t="shared" si="38"/>
        <v>48600</v>
      </c>
      <c r="AM149" s="83"/>
      <c r="AN149" s="84"/>
      <c r="AO149" s="11">
        <f t="shared" si="39"/>
        <v>0</v>
      </c>
      <c r="AP149" s="11">
        <f>ROUND(Y149*AI149*$AP$21,0)</f>
        <v>886436</v>
      </c>
      <c r="AQ149" s="11">
        <f t="shared" si="40"/>
        <v>935036</v>
      </c>
      <c r="AR149" s="35">
        <v>1423001</v>
      </c>
      <c r="AS149" s="11">
        <f t="shared" si="41"/>
        <v>487965</v>
      </c>
      <c r="AT149" s="72" t="str">
        <f t="shared" si="42"/>
        <v>No</v>
      </c>
      <c r="AU149" s="77">
        <v>1274671</v>
      </c>
      <c r="AV149" s="35">
        <f t="shared" si="43"/>
        <v>0</v>
      </c>
      <c r="AW149" s="35">
        <f t="shared" si="27"/>
        <v>1274671</v>
      </c>
      <c r="AX149" s="35">
        <f>IF(C149=1,MAX(AW149,AR149),AW149)</f>
        <v>1274671</v>
      </c>
      <c r="AY149" s="66"/>
      <c r="AZ149" s="67"/>
      <c r="BA149" s="35"/>
      <c r="BB149" s="68"/>
      <c r="BC149" s="35"/>
      <c r="BD149" s="21"/>
      <c r="BF149" s="21"/>
      <c r="BG149" s="21"/>
      <c r="BK149" s="21"/>
      <c r="BL149" s="21"/>
      <c r="BM149" s="21"/>
      <c r="BN149" s="21"/>
      <c r="BO149" s="21"/>
    </row>
    <row r="150" spans="1:67" ht="14.35" x14ac:dyDescent="0.5">
      <c r="A150" s="8" t="s">
        <v>128</v>
      </c>
      <c r="B150" s="8"/>
      <c r="C150" s="25"/>
      <c r="D150" s="25"/>
      <c r="E150" s="25"/>
      <c r="F150" s="1">
        <v>8</v>
      </c>
      <c r="G150" s="79">
        <v>30</v>
      </c>
      <c r="H150" s="8">
        <v>124</v>
      </c>
      <c r="I150" s="3" t="s">
        <v>232</v>
      </c>
      <c r="J150" s="70"/>
      <c r="K150" s="76">
        <v>2185.5700000000002</v>
      </c>
      <c r="L150" s="79"/>
      <c r="M150" s="77">
        <v>869</v>
      </c>
      <c r="N150" s="76">
        <f t="shared" si="28"/>
        <v>260.7</v>
      </c>
      <c r="O150" s="76">
        <f t="shared" si="29"/>
        <v>1311.34</v>
      </c>
      <c r="P150" s="76">
        <f t="shared" si="30"/>
        <v>0</v>
      </c>
      <c r="Q150" s="76">
        <f t="shared" si="31"/>
        <v>0</v>
      </c>
      <c r="R150" s="65">
        <f t="shared" si="32"/>
        <v>0.4</v>
      </c>
      <c r="S150" s="65">
        <f>IF(R150&gt;0.6,+R150-0.6,0)</f>
        <v>0</v>
      </c>
      <c r="T150" s="34">
        <f>ROUND(S150*K150,2)</f>
        <v>0</v>
      </c>
      <c r="U150" s="34">
        <f t="shared" si="33"/>
        <v>0</v>
      </c>
      <c r="V150" s="77">
        <v>88</v>
      </c>
      <c r="W150" s="76">
        <f t="shared" si="34"/>
        <v>22</v>
      </c>
      <c r="X150" s="36">
        <f>ROUND(M150*$X$2,2)</f>
        <v>260.7</v>
      </c>
      <c r="Y150" s="9">
        <f t="shared" si="35"/>
        <v>2468.27</v>
      </c>
      <c r="Z150" s="76">
        <v>1817138285</v>
      </c>
      <c r="AA150" s="77">
        <v>16522</v>
      </c>
      <c r="AB150" s="17">
        <f t="shared" si="24"/>
        <v>109982.95</v>
      </c>
      <c r="AC150" s="37">
        <f t="shared" si="25"/>
        <v>0.57125999999999999</v>
      </c>
      <c r="AD150" s="77">
        <v>70941</v>
      </c>
      <c r="AE150" s="37">
        <f t="shared" si="26"/>
        <v>0.58875</v>
      </c>
      <c r="AF150" s="37">
        <f t="shared" si="44"/>
        <v>0.42349300000000001</v>
      </c>
      <c r="AG150" s="71">
        <f t="shared" si="36"/>
        <v>0.42349300000000001</v>
      </c>
      <c r="AH150" s="38">
        <f>IF(G150&gt;=1,IF(G150&lt;=5,0.06,IF(G150&lt;=10,0.05,IF(G150&lt;=15,0.04,IF(G150&lt;=19,0.03,0)))),0)</f>
        <v>0</v>
      </c>
      <c r="AI150" s="74">
        <f t="shared" si="37"/>
        <v>0.42349300000000001</v>
      </c>
      <c r="AJ150" s="77">
        <v>0</v>
      </c>
      <c r="AK150" s="77">
        <v>0</v>
      </c>
      <c r="AL150" s="11">
        <f t="shared" si="38"/>
        <v>0</v>
      </c>
      <c r="AM150" s="83"/>
      <c r="AN150" s="84"/>
      <c r="AO150" s="11">
        <f t="shared" si="39"/>
        <v>0</v>
      </c>
      <c r="AP150" s="11">
        <f>ROUND(Y150*AI150*$AP$21,0)</f>
        <v>12047026</v>
      </c>
      <c r="AQ150" s="11">
        <f t="shared" si="40"/>
        <v>12047026</v>
      </c>
      <c r="AR150" s="35">
        <v>10040987</v>
      </c>
      <c r="AS150" s="11">
        <f t="shared" si="41"/>
        <v>2006039</v>
      </c>
      <c r="AT150" s="72" t="str">
        <f t="shared" si="42"/>
        <v>Yes</v>
      </c>
      <c r="AU150" s="77">
        <v>10423086</v>
      </c>
      <c r="AV150" s="35">
        <f t="shared" si="43"/>
        <v>213843.7574</v>
      </c>
      <c r="AW150" s="35">
        <f t="shared" si="27"/>
        <v>10636929.7574</v>
      </c>
      <c r="AX150" s="35">
        <f>IF(C150=1,MAX(AW150,AR150),AW150)</f>
        <v>10636929.7574</v>
      </c>
      <c r="AY150" s="66"/>
      <c r="AZ150" s="67"/>
      <c r="BA150" s="35"/>
      <c r="BB150" s="68"/>
      <c r="BC150" s="35"/>
      <c r="BD150" s="21"/>
      <c r="BF150" s="21"/>
      <c r="BG150" s="21"/>
      <c r="BK150" s="21"/>
      <c r="BL150" s="21"/>
      <c r="BM150" s="21"/>
      <c r="BN150" s="21"/>
      <c r="BO150" s="21"/>
    </row>
    <row r="151" spans="1:67" ht="14.35" x14ac:dyDescent="0.5">
      <c r="A151" s="8" t="s">
        <v>104</v>
      </c>
      <c r="B151" s="8"/>
      <c r="C151" s="25"/>
      <c r="D151" s="25"/>
      <c r="E151" s="25"/>
      <c r="F151" s="1">
        <v>1</v>
      </c>
      <c r="G151" s="78">
        <v>163</v>
      </c>
      <c r="H151" s="8">
        <v>125</v>
      </c>
      <c r="I151" s="3" t="s">
        <v>233</v>
      </c>
      <c r="J151" s="70"/>
      <c r="K151" s="76">
        <v>147.22</v>
      </c>
      <c r="L151" s="78"/>
      <c r="M151" s="77">
        <v>50</v>
      </c>
      <c r="N151" s="76">
        <f t="shared" si="28"/>
        <v>15</v>
      </c>
      <c r="O151" s="76">
        <f t="shared" si="29"/>
        <v>88.33</v>
      </c>
      <c r="P151" s="76">
        <f t="shared" si="30"/>
        <v>0</v>
      </c>
      <c r="Q151" s="76">
        <f t="shared" si="31"/>
        <v>0</v>
      </c>
      <c r="R151" s="65">
        <f t="shared" si="32"/>
        <v>0.34</v>
      </c>
      <c r="S151" s="65">
        <f>IF(R151&gt;0.6,+R151-0.6,0)</f>
        <v>0</v>
      </c>
      <c r="T151" s="34">
        <f>ROUND(S151*K151,2)</f>
        <v>0</v>
      </c>
      <c r="U151" s="34">
        <f t="shared" si="33"/>
        <v>0</v>
      </c>
      <c r="V151" s="77">
        <v>6</v>
      </c>
      <c r="W151" s="76">
        <f t="shared" si="34"/>
        <v>1.5</v>
      </c>
      <c r="X151" s="36">
        <f>ROUND(M151*$X$2,2)</f>
        <v>15</v>
      </c>
      <c r="Y151" s="9">
        <f t="shared" si="35"/>
        <v>163.72</v>
      </c>
      <c r="Z151" s="76">
        <v>1023813904.33</v>
      </c>
      <c r="AA151" s="77">
        <v>2721</v>
      </c>
      <c r="AB151" s="17">
        <f t="shared" si="24"/>
        <v>376263.84</v>
      </c>
      <c r="AC151" s="37">
        <f t="shared" si="25"/>
        <v>1.954345</v>
      </c>
      <c r="AD151" s="77">
        <v>78403</v>
      </c>
      <c r="AE151" s="37">
        <f t="shared" si="26"/>
        <v>0.65067799999999998</v>
      </c>
      <c r="AF151" s="37">
        <f t="shared" si="44"/>
        <v>-0.563245</v>
      </c>
      <c r="AG151" s="71">
        <f t="shared" si="36"/>
        <v>0.01</v>
      </c>
      <c r="AH151" s="38">
        <f>IF(G151&gt;=1,IF(G151&lt;=5,0.06,IF(G151&lt;=10,0.05,IF(G151&lt;=15,0.04,IF(G151&lt;=19,0.03,0)))),0)</f>
        <v>0</v>
      </c>
      <c r="AI151" s="74">
        <f t="shared" si="37"/>
        <v>0.01</v>
      </c>
      <c r="AJ151" s="77">
        <v>43</v>
      </c>
      <c r="AK151" s="77">
        <v>4</v>
      </c>
      <c r="AL151" s="11">
        <f t="shared" si="38"/>
        <v>17200</v>
      </c>
      <c r="AM151" s="83"/>
      <c r="AN151" s="84"/>
      <c r="AO151" s="11">
        <f t="shared" si="39"/>
        <v>0</v>
      </c>
      <c r="AP151" s="11">
        <f>ROUND(Y151*AI151*$AP$21,0)</f>
        <v>18869</v>
      </c>
      <c r="AQ151" s="11">
        <f t="shared" si="40"/>
        <v>36069</v>
      </c>
      <c r="AR151" s="35">
        <v>9960</v>
      </c>
      <c r="AS151" s="11">
        <f t="shared" si="41"/>
        <v>26109</v>
      </c>
      <c r="AT151" s="72" t="str">
        <f t="shared" si="42"/>
        <v>Yes</v>
      </c>
      <c r="AU151" s="77">
        <v>13437</v>
      </c>
      <c r="AV151" s="35">
        <f t="shared" si="43"/>
        <v>2783.2194</v>
      </c>
      <c r="AW151" s="35">
        <f t="shared" si="27"/>
        <v>16220.2194</v>
      </c>
      <c r="AX151" s="35">
        <f>IF(C151=1,MAX(AW151,AR151),AW151)</f>
        <v>16220.2194</v>
      </c>
      <c r="AY151" s="66"/>
      <c r="AZ151" s="67"/>
      <c r="BA151" s="35"/>
      <c r="BB151" s="68"/>
      <c r="BC151" s="35"/>
      <c r="BD151" s="21"/>
      <c r="BF151" s="21"/>
      <c r="BG151" s="21"/>
      <c r="BK151" s="21"/>
      <c r="BL151" s="21"/>
      <c r="BM151" s="21"/>
      <c r="BN151" s="21"/>
      <c r="BO151" s="21"/>
    </row>
    <row r="152" spans="1:67" ht="14.35" x14ac:dyDescent="0.5">
      <c r="A152" s="8" t="s">
        <v>110</v>
      </c>
      <c r="B152" s="8"/>
      <c r="C152" s="25"/>
      <c r="D152" s="25"/>
      <c r="E152" s="25"/>
      <c r="F152" s="1">
        <v>4</v>
      </c>
      <c r="G152" s="78">
        <v>90</v>
      </c>
      <c r="H152" s="8">
        <v>126</v>
      </c>
      <c r="I152" s="3" t="s">
        <v>234</v>
      </c>
      <c r="J152" s="70"/>
      <c r="K152" s="76">
        <v>4571.28</v>
      </c>
      <c r="L152" s="78"/>
      <c r="M152" s="77">
        <v>1443</v>
      </c>
      <c r="N152" s="76">
        <f t="shared" si="28"/>
        <v>432.9</v>
      </c>
      <c r="O152" s="76">
        <f t="shared" si="29"/>
        <v>2742.77</v>
      </c>
      <c r="P152" s="76">
        <f t="shared" si="30"/>
        <v>0</v>
      </c>
      <c r="Q152" s="76">
        <f t="shared" si="31"/>
        <v>0</v>
      </c>
      <c r="R152" s="65">
        <f t="shared" si="32"/>
        <v>0.32</v>
      </c>
      <c r="S152" s="65">
        <f>IF(R152&gt;0.6,+R152-0.6,0)</f>
        <v>0</v>
      </c>
      <c r="T152" s="34">
        <f>ROUND(S152*K152,2)</f>
        <v>0</v>
      </c>
      <c r="U152" s="34">
        <f t="shared" si="33"/>
        <v>0</v>
      </c>
      <c r="V152" s="77">
        <v>269</v>
      </c>
      <c r="W152" s="76">
        <f t="shared" si="34"/>
        <v>67.25</v>
      </c>
      <c r="X152" s="36">
        <f>ROUND(M152*$X$2,2)</f>
        <v>432.9</v>
      </c>
      <c r="Y152" s="9">
        <f t="shared" si="35"/>
        <v>5071.4299999999994</v>
      </c>
      <c r="Z152" s="76">
        <v>7135462918</v>
      </c>
      <c r="AA152" s="77">
        <v>41155</v>
      </c>
      <c r="AB152" s="17">
        <f t="shared" si="24"/>
        <v>173380.22</v>
      </c>
      <c r="AC152" s="37">
        <f t="shared" si="25"/>
        <v>0.90055099999999999</v>
      </c>
      <c r="AD152" s="77">
        <v>94446</v>
      </c>
      <c r="AE152" s="37">
        <f t="shared" si="26"/>
        <v>0.78382200000000002</v>
      </c>
      <c r="AF152" s="37">
        <f t="shared" si="44"/>
        <v>0.134468</v>
      </c>
      <c r="AG152" s="71">
        <f t="shared" si="36"/>
        <v>0.134468</v>
      </c>
      <c r="AH152" s="38">
        <f>IF(G152&gt;=1,IF(G152&lt;=5,0.06,IF(G152&lt;=10,0.05,IF(G152&lt;=15,0.04,IF(G152&lt;=19,0.03,0)))),0)</f>
        <v>0</v>
      </c>
      <c r="AI152" s="74">
        <f t="shared" si="37"/>
        <v>0.134468</v>
      </c>
      <c r="AJ152" s="77">
        <v>0</v>
      </c>
      <c r="AK152" s="77">
        <v>0</v>
      </c>
      <c r="AL152" s="11">
        <f t="shared" si="38"/>
        <v>0</v>
      </c>
      <c r="AM152" s="83"/>
      <c r="AN152" s="84"/>
      <c r="AO152" s="11">
        <f t="shared" si="39"/>
        <v>0</v>
      </c>
      <c r="AP152" s="11">
        <f>ROUND(Y152*AI152*$AP$21,0)</f>
        <v>7859417</v>
      </c>
      <c r="AQ152" s="11">
        <f t="shared" si="40"/>
        <v>7859417</v>
      </c>
      <c r="AR152" s="35">
        <v>5893771</v>
      </c>
      <c r="AS152" s="11">
        <f t="shared" si="41"/>
        <v>1965646</v>
      </c>
      <c r="AT152" s="72" t="str">
        <f t="shared" si="42"/>
        <v>Yes</v>
      </c>
      <c r="AU152" s="77">
        <v>6641832</v>
      </c>
      <c r="AV152" s="35">
        <f t="shared" si="43"/>
        <v>209537.86360000001</v>
      </c>
      <c r="AW152" s="35">
        <f t="shared" si="27"/>
        <v>6851369.8635999998</v>
      </c>
      <c r="AX152" s="35">
        <f>IF(C152=1,MAX(AW152,AR152),AW152)</f>
        <v>6851369.8635999998</v>
      </c>
      <c r="AY152" s="66"/>
      <c r="AZ152" s="67"/>
      <c r="BA152" s="35"/>
      <c r="BB152" s="68"/>
      <c r="BC152" s="35"/>
      <c r="BD152" s="21"/>
      <c r="BF152" s="21"/>
      <c r="BG152" s="21"/>
      <c r="BK152" s="21"/>
      <c r="BL152" s="21"/>
      <c r="BM152" s="21"/>
      <c r="BN152" s="21"/>
      <c r="BO152" s="21"/>
    </row>
    <row r="153" spans="1:67" ht="14.35" x14ac:dyDescent="0.5">
      <c r="A153" s="8" t="s">
        <v>100</v>
      </c>
      <c r="B153" s="8"/>
      <c r="C153" s="25"/>
      <c r="D153" s="25"/>
      <c r="E153" s="25"/>
      <c r="F153" s="1">
        <v>2</v>
      </c>
      <c r="G153" s="78">
        <v>156</v>
      </c>
      <c r="H153" s="8">
        <v>127</v>
      </c>
      <c r="I153" s="3" t="s">
        <v>235</v>
      </c>
      <c r="J153" s="70"/>
      <c r="K153" s="76">
        <v>367.86</v>
      </c>
      <c r="L153" s="78"/>
      <c r="M153" s="77">
        <v>24</v>
      </c>
      <c r="N153" s="76">
        <f t="shared" si="28"/>
        <v>7.2</v>
      </c>
      <c r="O153" s="76">
        <f t="shared" si="29"/>
        <v>220.72</v>
      </c>
      <c r="P153" s="76">
        <f t="shared" si="30"/>
        <v>0</v>
      </c>
      <c r="Q153" s="76">
        <f t="shared" si="31"/>
        <v>0</v>
      </c>
      <c r="R153" s="65">
        <f t="shared" si="32"/>
        <v>7.0000000000000007E-2</v>
      </c>
      <c r="S153" s="65">
        <f>IF(R153&gt;0.6,+R153-0.6,0)</f>
        <v>0</v>
      </c>
      <c r="T153" s="34">
        <f>ROUND(S153*K153,2)</f>
        <v>0</v>
      </c>
      <c r="U153" s="34">
        <f t="shared" si="33"/>
        <v>0</v>
      </c>
      <c r="V153" s="77">
        <v>1</v>
      </c>
      <c r="W153" s="76">
        <f t="shared" si="34"/>
        <v>0.25</v>
      </c>
      <c r="X153" s="36">
        <f>ROUND(M153*$X$2,2)</f>
        <v>7.2</v>
      </c>
      <c r="Y153" s="9">
        <f t="shared" si="35"/>
        <v>375.31</v>
      </c>
      <c r="Z153" s="76">
        <v>1006490231.67</v>
      </c>
      <c r="AA153" s="77">
        <v>3641</v>
      </c>
      <c r="AB153" s="17">
        <f t="shared" si="24"/>
        <v>276432.36</v>
      </c>
      <c r="AC153" s="37">
        <f t="shared" si="25"/>
        <v>1.4358120000000001</v>
      </c>
      <c r="AD153" s="77">
        <v>113506</v>
      </c>
      <c r="AE153" s="37">
        <f t="shared" si="26"/>
        <v>0.94200300000000003</v>
      </c>
      <c r="AF153" s="37">
        <f t="shared" si="44"/>
        <v>-0.28766900000000001</v>
      </c>
      <c r="AG153" s="71">
        <f t="shared" si="36"/>
        <v>0.01</v>
      </c>
      <c r="AH153" s="38">
        <f>IF(G153&gt;=1,IF(G153&lt;=5,0.06,IF(G153&lt;=10,0.05,IF(G153&lt;=15,0.04,IF(G153&lt;=19,0.03,0)))),0)</f>
        <v>0</v>
      </c>
      <c r="AI153" s="74">
        <f t="shared" si="37"/>
        <v>0.01</v>
      </c>
      <c r="AJ153" s="77">
        <v>0</v>
      </c>
      <c r="AK153" s="77">
        <v>0</v>
      </c>
      <c r="AL153" s="11">
        <f t="shared" si="38"/>
        <v>0</v>
      </c>
      <c r="AM153" s="83"/>
      <c r="AN153" s="84"/>
      <c r="AO153" s="11">
        <f t="shared" si="39"/>
        <v>0</v>
      </c>
      <c r="AP153" s="11">
        <f>ROUND(Y153*AI153*$AP$21,0)</f>
        <v>43254</v>
      </c>
      <c r="AQ153" s="11">
        <f t="shared" si="40"/>
        <v>43254</v>
      </c>
      <c r="AR153" s="35">
        <v>46611</v>
      </c>
      <c r="AS153" s="11">
        <f t="shared" si="41"/>
        <v>3357</v>
      </c>
      <c r="AT153" s="72" t="str">
        <f t="shared" si="42"/>
        <v>No</v>
      </c>
      <c r="AU153" s="77">
        <v>46995</v>
      </c>
      <c r="AV153" s="35">
        <f t="shared" si="43"/>
        <v>0</v>
      </c>
      <c r="AW153" s="35">
        <f t="shared" si="27"/>
        <v>46995</v>
      </c>
      <c r="AX153" s="35">
        <f>IF(C153=1,MAX(AW153,AR153),AW153)</f>
        <v>46995</v>
      </c>
      <c r="AY153" s="66"/>
      <c r="AZ153" s="67"/>
      <c r="BA153" s="35"/>
      <c r="BB153" s="68"/>
      <c r="BC153" s="35"/>
      <c r="BD153" s="21"/>
      <c r="BF153" s="21"/>
      <c r="BG153" s="21"/>
      <c r="BK153" s="21"/>
      <c r="BL153" s="21"/>
      <c r="BM153" s="21"/>
      <c r="BN153" s="21"/>
      <c r="BO153" s="21"/>
    </row>
    <row r="154" spans="1:67" ht="14.35" x14ac:dyDescent="0.5">
      <c r="A154" s="8" t="s">
        <v>106</v>
      </c>
      <c r="B154" s="8"/>
      <c r="C154" s="25"/>
      <c r="D154" s="25"/>
      <c r="E154" s="25"/>
      <c r="F154" s="1">
        <v>3</v>
      </c>
      <c r="G154" s="78">
        <v>137</v>
      </c>
      <c r="H154" s="8">
        <v>128</v>
      </c>
      <c r="I154" s="3" t="s">
        <v>236</v>
      </c>
      <c r="J154" s="70"/>
      <c r="K154" s="76">
        <v>4021.22</v>
      </c>
      <c r="L154" s="78"/>
      <c r="M154" s="77">
        <v>526</v>
      </c>
      <c r="N154" s="76">
        <f t="shared" si="28"/>
        <v>157.80000000000001</v>
      </c>
      <c r="O154" s="76">
        <f t="shared" si="29"/>
        <v>2412.73</v>
      </c>
      <c r="P154" s="76">
        <f t="shared" si="30"/>
        <v>0</v>
      </c>
      <c r="Q154" s="76">
        <f t="shared" si="31"/>
        <v>0</v>
      </c>
      <c r="R154" s="65">
        <f t="shared" si="32"/>
        <v>0.13</v>
      </c>
      <c r="S154" s="65">
        <f>IF(R154&gt;0.6,+R154-0.6,0)</f>
        <v>0</v>
      </c>
      <c r="T154" s="34">
        <f>ROUND(S154*K154,2)</f>
        <v>0</v>
      </c>
      <c r="U154" s="34">
        <f t="shared" si="33"/>
        <v>0</v>
      </c>
      <c r="V154" s="77">
        <v>63</v>
      </c>
      <c r="W154" s="76">
        <f t="shared" si="34"/>
        <v>15.75</v>
      </c>
      <c r="X154" s="36">
        <f>ROUND(M154*$X$2,2)</f>
        <v>157.80000000000001</v>
      </c>
      <c r="Y154" s="9">
        <f t="shared" si="35"/>
        <v>4194.7699999999995</v>
      </c>
      <c r="Z154" s="76">
        <v>3607618431.6700001</v>
      </c>
      <c r="AA154" s="77">
        <v>24519</v>
      </c>
      <c r="AB154" s="17">
        <f t="shared" si="24"/>
        <v>147135.63</v>
      </c>
      <c r="AC154" s="37">
        <f t="shared" si="25"/>
        <v>0.764235</v>
      </c>
      <c r="AD154" s="77">
        <v>119588</v>
      </c>
      <c r="AE154" s="37">
        <f t="shared" si="26"/>
        <v>0.992479</v>
      </c>
      <c r="AF154" s="37">
        <f t="shared" si="44"/>
        <v>0.167292</v>
      </c>
      <c r="AG154" s="71">
        <f t="shared" si="36"/>
        <v>0.167292</v>
      </c>
      <c r="AH154" s="38">
        <f>IF(G154&gt;=1,IF(G154&lt;=5,0.06,IF(G154&lt;=10,0.05,IF(G154&lt;=15,0.04,IF(G154&lt;=19,0.03,0)))),0)</f>
        <v>0</v>
      </c>
      <c r="AI154" s="74">
        <f t="shared" si="37"/>
        <v>0.167292</v>
      </c>
      <c r="AJ154" s="77">
        <v>0</v>
      </c>
      <c r="AK154" s="77">
        <v>0</v>
      </c>
      <c r="AL154" s="11">
        <f t="shared" si="38"/>
        <v>0</v>
      </c>
      <c r="AM154" s="83"/>
      <c r="AN154" s="84"/>
      <c r="AO154" s="11">
        <f t="shared" si="39"/>
        <v>0</v>
      </c>
      <c r="AP154" s="11">
        <f>ROUND(Y154*AI154*$AP$21,0)</f>
        <v>8087686</v>
      </c>
      <c r="AQ154" s="11">
        <f t="shared" si="40"/>
        <v>8087686</v>
      </c>
      <c r="AR154" s="35">
        <v>6087799</v>
      </c>
      <c r="AS154" s="11">
        <f t="shared" si="41"/>
        <v>1999887</v>
      </c>
      <c r="AT154" s="72" t="str">
        <f t="shared" si="42"/>
        <v>Yes</v>
      </c>
      <c r="AU154" s="77">
        <v>6317010</v>
      </c>
      <c r="AV154" s="35">
        <f t="shared" si="43"/>
        <v>213187.95420000001</v>
      </c>
      <c r="AW154" s="35">
        <f t="shared" si="27"/>
        <v>6530197.9541999996</v>
      </c>
      <c r="AX154" s="35">
        <f>IF(C154=1,MAX(AW154,AR154),AW154)</f>
        <v>6530197.9541999996</v>
      </c>
      <c r="AY154" s="66"/>
      <c r="AZ154" s="67"/>
      <c r="BA154" s="35"/>
      <c r="BB154" s="68"/>
      <c r="BC154" s="35"/>
      <c r="BD154" s="21"/>
      <c r="BF154" s="21"/>
      <c r="BG154" s="21"/>
      <c r="BK154" s="21"/>
      <c r="BL154" s="21"/>
      <c r="BM154" s="21"/>
      <c r="BN154" s="21"/>
      <c r="BO154" s="21"/>
    </row>
    <row r="155" spans="1:67" ht="14.35" x14ac:dyDescent="0.5">
      <c r="A155" s="8" t="s">
        <v>100</v>
      </c>
      <c r="B155" s="8"/>
      <c r="C155" s="25"/>
      <c r="D155" s="25"/>
      <c r="E155" s="25"/>
      <c r="F155" s="1">
        <v>6</v>
      </c>
      <c r="G155" s="78">
        <v>85</v>
      </c>
      <c r="H155" s="8">
        <v>129</v>
      </c>
      <c r="I155" s="3" t="s">
        <v>237</v>
      </c>
      <c r="J155" s="70"/>
      <c r="K155" s="76">
        <v>1309.1300000000001</v>
      </c>
      <c r="L155" s="78"/>
      <c r="M155" s="77">
        <v>61</v>
      </c>
      <c r="N155" s="76">
        <f t="shared" si="28"/>
        <v>18.3</v>
      </c>
      <c r="O155" s="76">
        <f t="shared" si="29"/>
        <v>785.48</v>
      </c>
      <c r="P155" s="76">
        <f t="shared" si="30"/>
        <v>0</v>
      </c>
      <c r="Q155" s="76">
        <f t="shared" si="31"/>
        <v>0</v>
      </c>
      <c r="R155" s="65">
        <f t="shared" si="32"/>
        <v>0.05</v>
      </c>
      <c r="S155" s="65">
        <f>IF(R155&gt;0.6,+R155-0.6,0)</f>
        <v>0</v>
      </c>
      <c r="T155" s="34">
        <f>ROUND(S155*K155,2)</f>
        <v>0</v>
      </c>
      <c r="U155" s="34">
        <f t="shared" si="33"/>
        <v>0</v>
      </c>
      <c r="V155" s="77">
        <v>5</v>
      </c>
      <c r="W155" s="76">
        <f t="shared" si="34"/>
        <v>1.25</v>
      </c>
      <c r="X155" s="36">
        <f>ROUND(M155*$X$2,2)</f>
        <v>18.3</v>
      </c>
      <c r="Y155" s="9">
        <f t="shared" si="35"/>
        <v>1328.68</v>
      </c>
      <c r="Z155" s="76">
        <v>1303644831.6700001</v>
      </c>
      <c r="AA155" s="77">
        <v>11137</v>
      </c>
      <c r="AB155" s="17">
        <f t="shared" ref="AB155:AB195" si="45">ROUND(Z155/AA155,2)</f>
        <v>117055.3</v>
      </c>
      <c r="AC155" s="37">
        <f t="shared" ref="AC155:AC195" si="46">(ROUND(AB155/$AC$21,6))</f>
        <v>0.60799499999999995</v>
      </c>
      <c r="AD155" s="77">
        <v>105164</v>
      </c>
      <c r="AE155" s="37">
        <f t="shared" ref="AE155:AE195" si="47">(ROUND(AD155/$AE$21,6))</f>
        <v>0.87277199999999999</v>
      </c>
      <c r="AF155" s="37">
        <f t="shared" si="44"/>
        <v>0.31257200000000002</v>
      </c>
      <c r="AG155" s="71">
        <f t="shared" si="36"/>
        <v>0.31257200000000002</v>
      </c>
      <c r="AH155" s="38">
        <f>IF(G155&gt;=1,IF(G155&lt;=5,0.06,IF(G155&lt;=10,0.05,IF(G155&lt;=15,0.04,IF(G155&lt;=19,0.03,0)))),0)</f>
        <v>0</v>
      </c>
      <c r="AI155" s="74">
        <f t="shared" si="37"/>
        <v>0.31257200000000002</v>
      </c>
      <c r="AJ155" s="77">
        <v>0</v>
      </c>
      <c r="AK155" s="77">
        <v>0</v>
      </c>
      <c r="AL155" s="11">
        <f t="shared" si="38"/>
        <v>0</v>
      </c>
      <c r="AM155" s="83"/>
      <c r="AN155" s="84"/>
      <c r="AO155" s="11">
        <f t="shared" si="39"/>
        <v>0</v>
      </c>
      <c r="AP155" s="11">
        <f>ROUND(Y155*AI155*$AP$21,0)</f>
        <v>4786427</v>
      </c>
      <c r="AQ155" s="11">
        <f t="shared" si="40"/>
        <v>4786427</v>
      </c>
      <c r="AR155" s="35">
        <v>5929453</v>
      </c>
      <c r="AS155" s="11">
        <f t="shared" si="41"/>
        <v>1143026</v>
      </c>
      <c r="AT155" s="72" t="str">
        <f t="shared" si="42"/>
        <v>No</v>
      </c>
      <c r="AU155" s="77">
        <v>5692630</v>
      </c>
      <c r="AV155" s="35">
        <f t="shared" si="43"/>
        <v>0</v>
      </c>
      <c r="AW155" s="35">
        <f t="shared" ref="AW155:AW195" si="48">IF(AT155="Yes",+AU155+AV155,+AU155-AV155)</f>
        <v>5692630</v>
      </c>
      <c r="AX155" s="35">
        <f>IF(C155=1,MAX(AW155,AR155),AW155)</f>
        <v>5692630</v>
      </c>
      <c r="AY155" s="66"/>
      <c r="AZ155" s="67"/>
      <c r="BA155" s="35"/>
      <c r="BB155" s="68"/>
      <c r="BC155" s="35"/>
      <c r="BD155" s="21"/>
      <c r="BF155" s="21"/>
      <c r="BG155" s="21"/>
      <c r="BK155" s="21"/>
      <c r="BL155" s="21"/>
      <c r="BM155" s="21"/>
      <c r="BN155" s="21"/>
      <c r="BO155" s="21"/>
    </row>
    <row r="156" spans="1:67" ht="14.35" x14ac:dyDescent="0.5">
      <c r="A156" s="8" t="s">
        <v>106</v>
      </c>
      <c r="B156" s="8"/>
      <c r="C156" s="25"/>
      <c r="D156" s="25"/>
      <c r="E156" s="25"/>
      <c r="F156" s="1">
        <v>5</v>
      </c>
      <c r="G156" s="78">
        <v>98</v>
      </c>
      <c r="H156" s="8">
        <v>130</v>
      </c>
      <c r="I156" s="3" t="s">
        <v>238</v>
      </c>
      <c r="J156" s="70"/>
      <c r="K156" s="76">
        <v>2344.64</v>
      </c>
      <c r="L156" s="78"/>
      <c r="M156" s="77">
        <v>290</v>
      </c>
      <c r="N156" s="76">
        <f t="shared" ref="N156:N195" si="49">ROUND(M156*0.3,2)</f>
        <v>87</v>
      </c>
      <c r="O156" s="76">
        <f t="shared" ref="O156:O195" si="50">ROUND(K156*0.6,2)</f>
        <v>1406.78</v>
      </c>
      <c r="P156" s="76">
        <f t="shared" ref="P156:P195" si="51">MAX(M156-O156,0)</f>
        <v>0</v>
      </c>
      <c r="Q156" s="76">
        <f t="shared" ref="Q156:Q195" si="52">ROUND(P156*0.15,2)</f>
        <v>0</v>
      </c>
      <c r="R156" s="65">
        <f t="shared" ref="R156:R195" si="53">ROUND(M156/K156,2)</f>
        <v>0.12</v>
      </c>
      <c r="S156" s="65">
        <f>IF(R156&gt;0.6,+R156-0.6,0)</f>
        <v>0</v>
      </c>
      <c r="T156" s="34">
        <f>ROUND(S156*K156,2)</f>
        <v>0</v>
      </c>
      <c r="U156" s="34">
        <f t="shared" ref="U156:U195" si="54">ROUND(T156*0.15,2)</f>
        <v>0</v>
      </c>
      <c r="V156" s="77">
        <v>20</v>
      </c>
      <c r="W156" s="76">
        <f t="shared" ref="W156:W195" si="55">ROUND(V156*0.25,2)</f>
        <v>5</v>
      </c>
      <c r="X156" s="36">
        <f>ROUND(M156*$X$2,2)</f>
        <v>87</v>
      </c>
      <c r="Y156" s="9">
        <f t="shared" ref="Y156:Y195" si="56">+K156+N156+Q156+W156</f>
        <v>2436.64</v>
      </c>
      <c r="Z156" s="76">
        <v>3166366217</v>
      </c>
      <c r="AA156" s="77">
        <v>19754</v>
      </c>
      <c r="AB156" s="17">
        <f t="shared" si="45"/>
        <v>160289.88</v>
      </c>
      <c r="AC156" s="37">
        <f t="shared" si="46"/>
        <v>0.83255900000000005</v>
      </c>
      <c r="AD156" s="77">
        <v>94176</v>
      </c>
      <c r="AE156" s="37">
        <f t="shared" si="47"/>
        <v>0.78158099999999997</v>
      </c>
      <c r="AF156" s="37">
        <f t="shared" si="44"/>
        <v>0.18273400000000001</v>
      </c>
      <c r="AG156" s="71">
        <f t="shared" ref="AG156:AG195" si="57">IF(C156=1,MAX($L$7,AF156),MAX($L$6,AF156))</f>
        <v>0.18273400000000001</v>
      </c>
      <c r="AH156" s="38">
        <f>IF(G156&gt;=1,IF(G156&lt;=5,0.06,IF(G156&lt;=10,0.05,IF(G156&lt;=15,0.04,IF(G156&lt;=19,0.03,0)))),0)</f>
        <v>0</v>
      </c>
      <c r="AI156" s="74">
        <f t="shared" ref="AI156:AI195" si="58">+AH156+AG156</f>
        <v>0.18273400000000001</v>
      </c>
      <c r="AJ156" s="77">
        <v>2359</v>
      </c>
      <c r="AK156" s="77">
        <v>13</v>
      </c>
      <c r="AL156" s="11">
        <f t="shared" ref="AL156:AL195" si="59">ROUND(AJ156*AK156*100,0)</f>
        <v>3066700</v>
      </c>
      <c r="AM156" s="83"/>
      <c r="AN156" s="84"/>
      <c r="AO156" s="11">
        <f t="shared" ref="AO156:AO195" si="60">ROUND(AM156*AN156*100,0)</f>
        <v>0</v>
      </c>
      <c r="AP156" s="11">
        <f>ROUND(Y156*AI156*$AP$21,0)</f>
        <v>5131587</v>
      </c>
      <c r="AQ156" s="11">
        <f t="shared" ref="AQ156:AQ195" si="61">SUM(AL156+AO156+AP156)</f>
        <v>8198287</v>
      </c>
      <c r="AR156" s="35">
        <v>3458266</v>
      </c>
      <c r="AS156" s="11">
        <f t="shared" ref="AS156:AS195" si="62">ABS(SUM(AR156,-AQ156))</f>
        <v>4740021</v>
      </c>
      <c r="AT156" s="72" t="str">
        <f t="shared" ref="AT156:AT195" si="63">IF(AQ156&gt;AR156,"Yes","No")</f>
        <v>Yes</v>
      </c>
      <c r="AU156" s="77">
        <v>3785641</v>
      </c>
      <c r="AV156" s="35">
        <f t="shared" ref="AV156:AV195" si="64">IF(AT156="Yes",+AS156*$L$9,0)</f>
        <v>505286.23859999998</v>
      </c>
      <c r="AW156" s="35">
        <f t="shared" si="48"/>
        <v>4290927.2385999998</v>
      </c>
      <c r="AX156" s="35">
        <f>IF(C156=1,MAX(AW156,AR156),AW156)</f>
        <v>4290927.2385999998</v>
      </c>
      <c r="AY156" s="66"/>
      <c r="AZ156" s="67"/>
      <c r="BA156" s="35"/>
      <c r="BB156" s="68"/>
      <c r="BC156" s="35"/>
      <c r="BD156" s="21"/>
      <c r="BF156" s="21"/>
      <c r="BG156" s="21"/>
      <c r="BK156" s="21"/>
      <c r="BL156" s="21"/>
      <c r="BM156" s="21"/>
      <c r="BN156" s="21"/>
      <c r="BO156" s="21"/>
    </row>
    <row r="157" spans="1:67" ht="14.35" x14ac:dyDescent="0.5">
      <c r="A157" s="8" t="s">
        <v>110</v>
      </c>
      <c r="B157" s="8"/>
      <c r="C157" s="25"/>
      <c r="D157" s="25"/>
      <c r="E157" s="25"/>
      <c r="F157" s="1">
        <v>6</v>
      </c>
      <c r="G157" s="78">
        <v>83</v>
      </c>
      <c r="H157" s="8">
        <v>131</v>
      </c>
      <c r="I157" s="3" t="s">
        <v>239</v>
      </c>
      <c r="J157" s="70"/>
      <c r="K157" s="76">
        <v>6124.37</v>
      </c>
      <c r="L157" s="78"/>
      <c r="M157" s="77">
        <v>1415</v>
      </c>
      <c r="N157" s="76">
        <f t="shared" si="49"/>
        <v>424.5</v>
      </c>
      <c r="O157" s="76">
        <f t="shared" si="50"/>
        <v>3674.62</v>
      </c>
      <c r="P157" s="76">
        <f t="shared" si="51"/>
        <v>0</v>
      </c>
      <c r="Q157" s="76">
        <f t="shared" si="52"/>
        <v>0</v>
      </c>
      <c r="R157" s="65">
        <f t="shared" si="53"/>
        <v>0.23</v>
      </c>
      <c r="S157" s="65">
        <f>IF(R157&gt;0.6,+R157-0.6,0)</f>
        <v>0</v>
      </c>
      <c r="T157" s="34">
        <f>ROUND(S157*K157,2)</f>
        <v>0</v>
      </c>
      <c r="U157" s="34">
        <f t="shared" si="54"/>
        <v>0</v>
      </c>
      <c r="V157" s="77">
        <v>139</v>
      </c>
      <c r="W157" s="76">
        <f t="shared" si="55"/>
        <v>34.75</v>
      </c>
      <c r="X157" s="36">
        <f>ROUND(M157*$X$2,2)</f>
        <v>424.5</v>
      </c>
      <c r="Y157" s="9">
        <f t="shared" si="56"/>
        <v>6583.62</v>
      </c>
      <c r="Z157" s="76">
        <v>6066041105</v>
      </c>
      <c r="AA157" s="77">
        <v>43763</v>
      </c>
      <c r="AB157" s="17">
        <f t="shared" si="45"/>
        <v>138611.18</v>
      </c>
      <c r="AC157" s="37">
        <f t="shared" si="46"/>
        <v>0.71995799999999999</v>
      </c>
      <c r="AD157" s="77">
        <v>92220</v>
      </c>
      <c r="AE157" s="37">
        <f t="shared" si="47"/>
        <v>0.76534800000000003</v>
      </c>
      <c r="AF157" s="37">
        <f t="shared" ref="AF157:AF195" si="65">ROUND(1-((AC157*$L$4)+(AE157*$L$5)),6)</f>
        <v>0.26642500000000002</v>
      </c>
      <c r="AG157" s="71">
        <f t="shared" si="57"/>
        <v>0.26642500000000002</v>
      </c>
      <c r="AH157" s="38">
        <f>IF(G157&gt;=1,IF(G157&lt;=5,0.06,IF(G157&lt;=10,0.05,IF(G157&lt;=15,0.04,IF(G157&lt;=19,0.03,0)))),0)</f>
        <v>0</v>
      </c>
      <c r="AI157" s="74">
        <f t="shared" si="58"/>
        <v>0.26642500000000002</v>
      </c>
      <c r="AJ157" s="77">
        <v>0</v>
      </c>
      <c r="AK157" s="77">
        <v>0</v>
      </c>
      <c r="AL157" s="11">
        <f t="shared" si="59"/>
        <v>0</v>
      </c>
      <c r="AM157" s="83"/>
      <c r="AN157" s="84"/>
      <c r="AO157" s="11">
        <f t="shared" si="60"/>
        <v>0</v>
      </c>
      <c r="AP157" s="11">
        <f>ROUND(Y157*AI157*$AP$21,0)</f>
        <v>20215322</v>
      </c>
      <c r="AQ157" s="11">
        <f t="shared" si="61"/>
        <v>20215322</v>
      </c>
      <c r="AR157" s="35">
        <v>20268059</v>
      </c>
      <c r="AS157" s="11">
        <f t="shared" si="62"/>
        <v>52737</v>
      </c>
      <c r="AT157" s="72" t="str">
        <f t="shared" si="63"/>
        <v>No</v>
      </c>
      <c r="AU157" s="77">
        <v>20466417</v>
      </c>
      <c r="AV157" s="35">
        <f t="shared" si="64"/>
        <v>0</v>
      </c>
      <c r="AW157" s="35">
        <f t="shared" si="48"/>
        <v>20466417</v>
      </c>
      <c r="AX157" s="35">
        <f>IF(C157=1,MAX(AW157,AR157),AW157)</f>
        <v>20466417</v>
      </c>
      <c r="AY157" s="66"/>
      <c r="AZ157" s="67"/>
      <c r="BA157" s="35"/>
      <c r="BB157" s="68"/>
      <c r="BC157" s="35"/>
      <c r="BD157" s="21"/>
      <c r="BF157" s="21"/>
      <c r="BG157" s="21"/>
      <c r="BK157" s="21"/>
      <c r="BL157" s="21"/>
      <c r="BM157" s="21"/>
      <c r="BN157" s="21"/>
      <c r="BO157" s="21"/>
    </row>
    <row r="158" spans="1:67" ht="14.35" x14ac:dyDescent="0.5">
      <c r="A158" s="8" t="s">
        <v>106</v>
      </c>
      <c r="B158" s="8"/>
      <c r="C158" s="25"/>
      <c r="D158" s="25"/>
      <c r="E158" s="25"/>
      <c r="F158" s="1">
        <v>5</v>
      </c>
      <c r="G158" s="78">
        <v>78</v>
      </c>
      <c r="H158" s="8">
        <v>132</v>
      </c>
      <c r="I158" s="3" t="s">
        <v>240</v>
      </c>
      <c r="J158" s="70"/>
      <c r="K158" s="76">
        <v>4678.49</v>
      </c>
      <c r="L158" s="78"/>
      <c r="M158" s="77">
        <v>757</v>
      </c>
      <c r="N158" s="76">
        <f t="shared" si="49"/>
        <v>227.1</v>
      </c>
      <c r="O158" s="76">
        <f t="shared" si="50"/>
        <v>2807.09</v>
      </c>
      <c r="P158" s="76">
        <f t="shared" si="51"/>
        <v>0</v>
      </c>
      <c r="Q158" s="76">
        <f t="shared" si="52"/>
        <v>0</v>
      </c>
      <c r="R158" s="65">
        <f t="shared" si="53"/>
        <v>0.16</v>
      </c>
      <c r="S158" s="65">
        <f>IF(R158&gt;0.6,+R158-0.6,0)</f>
        <v>0</v>
      </c>
      <c r="T158" s="34">
        <f>ROUND(S158*K158,2)</f>
        <v>0</v>
      </c>
      <c r="U158" s="34">
        <f t="shared" si="54"/>
        <v>0</v>
      </c>
      <c r="V158" s="77">
        <v>329</v>
      </c>
      <c r="W158" s="76">
        <f t="shared" si="55"/>
        <v>82.25</v>
      </c>
      <c r="X158" s="36">
        <f>ROUND(M158*$X$2,2)</f>
        <v>227.1</v>
      </c>
      <c r="Y158" s="9">
        <f t="shared" si="56"/>
        <v>4987.84</v>
      </c>
      <c r="Z158" s="76">
        <v>4036297127.6700001</v>
      </c>
      <c r="AA158" s="77">
        <v>25823</v>
      </c>
      <c r="AB158" s="17">
        <f t="shared" si="45"/>
        <v>156306.28</v>
      </c>
      <c r="AC158" s="37">
        <f t="shared" si="46"/>
        <v>0.81186800000000003</v>
      </c>
      <c r="AD158" s="77">
        <v>107088</v>
      </c>
      <c r="AE158" s="37">
        <f t="shared" si="47"/>
        <v>0.88873999999999997</v>
      </c>
      <c r="AF158" s="37">
        <f t="shared" si="65"/>
        <v>0.16506999999999999</v>
      </c>
      <c r="AG158" s="71">
        <f t="shared" si="57"/>
        <v>0.16506999999999999</v>
      </c>
      <c r="AH158" s="38">
        <f>IF(G158&gt;=1,IF(G158&lt;=5,0.06,IF(G158&lt;=10,0.05,IF(G158&lt;=15,0.04,IF(G158&lt;=19,0.03,0)))),0)</f>
        <v>0</v>
      </c>
      <c r="AI158" s="74">
        <f t="shared" si="58"/>
        <v>0.16506999999999999</v>
      </c>
      <c r="AJ158" s="77">
        <v>0</v>
      </c>
      <c r="AK158" s="77">
        <v>0</v>
      </c>
      <c r="AL158" s="11">
        <f t="shared" si="59"/>
        <v>0</v>
      </c>
      <c r="AM158" s="83"/>
      <c r="AN158" s="84"/>
      <c r="AO158" s="11">
        <f t="shared" si="60"/>
        <v>0</v>
      </c>
      <c r="AP158" s="11">
        <f>ROUND(Y158*AI158*$AP$21,0)</f>
        <v>9489025</v>
      </c>
      <c r="AQ158" s="11">
        <f t="shared" si="61"/>
        <v>9489025</v>
      </c>
      <c r="AR158" s="35">
        <v>12826469</v>
      </c>
      <c r="AS158" s="11">
        <f t="shared" si="62"/>
        <v>3337444</v>
      </c>
      <c r="AT158" s="72" t="str">
        <f t="shared" si="63"/>
        <v>No</v>
      </c>
      <c r="AU158" s="77">
        <v>11408078</v>
      </c>
      <c r="AV158" s="35">
        <f t="shared" si="64"/>
        <v>0</v>
      </c>
      <c r="AW158" s="35">
        <f t="shared" si="48"/>
        <v>11408078</v>
      </c>
      <c r="AX158" s="35">
        <f>IF(C158=1,MAX(AW158,AR158),AW158)</f>
        <v>11408078</v>
      </c>
      <c r="AY158" s="66"/>
      <c r="AZ158" s="67"/>
      <c r="BA158" s="35"/>
      <c r="BB158" s="68"/>
      <c r="BC158" s="35"/>
      <c r="BD158" s="21"/>
      <c r="BF158" s="21"/>
      <c r="BG158" s="21"/>
      <c r="BK158" s="21"/>
      <c r="BL158" s="21"/>
      <c r="BM158" s="21"/>
      <c r="BN158" s="21"/>
      <c r="BO158" s="21"/>
    </row>
    <row r="159" spans="1:67" ht="14.35" x14ac:dyDescent="0.5">
      <c r="A159" s="8" t="s">
        <v>128</v>
      </c>
      <c r="B159" s="8"/>
      <c r="C159" s="25"/>
      <c r="D159" s="25"/>
      <c r="E159" s="25"/>
      <c r="F159" s="1">
        <v>9</v>
      </c>
      <c r="G159" s="79">
        <v>15</v>
      </c>
      <c r="H159" s="8">
        <v>133</v>
      </c>
      <c r="I159" s="3" t="s">
        <v>241</v>
      </c>
      <c r="J159" s="70"/>
      <c r="K159" s="76">
        <v>348</v>
      </c>
      <c r="L159" s="79"/>
      <c r="M159" s="77">
        <v>207</v>
      </c>
      <c r="N159" s="76">
        <f t="shared" si="49"/>
        <v>62.1</v>
      </c>
      <c r="O159" s="76">
        <f t="shared" si="50"/>
        <v>208.8</v>
      </c>
      <c r="P159" s="76">
        <f t="shared" si="51"/>
        <v>0</v>
      </c>
      <c r="Q159" s="76">
        <f t="shared" si="52"/>
        <v>0</v>
      </c>
      <c r="R159" s="65">
        <f t="shared" si="53"/>
        <v>0.59</v>
      </c>
      <c r="S159" s="65">
        <f>IF(R159&gt;0.6,+R159-0.6,0)</f>
        <v>0</v>
      </c>
      <c r="T159" s="34">
        <f>ROUND(S159*K159,2)</f>
        <v>0</v>
      </c>
      <c r="U159" s="34">
        <f t="shared" si="54"/>
        <v>0</v>
      </c>
      <c r="V159" s="77">
        <v>11</v>
      </c>
      <c r="W159" s="76">
        <f t="shared" si="55"/>
        <v>2.75</v>
      </c>
      <c r="X159" s="36">
        <f>ROUND(M159*$X$2,2)</f>
        <v>62.1</v>
      </c>
      <c r="Y159" s="9">
        <f t="shared" si="56"/>
        <v>412.85</v>
      </c>
      <c r="Z159" s="76">
        <v>257741030.66999999</v>
      </c>
      <c r="AA159" s="77">
        <v>2929</v>
      </c>
      <c r="AB159" s="17">
        <f t="shared" si="45"/>
        <v>87996.25</v>
      </c>
      <c r="AC159" s="37">
        <f t="shared" si="46"/>
        <v>0.45706000000000002</v>
      </c>
      <c r="AD159" s="77">
        <v>65688</v>
      </c>
      <c r="AE159" s="37">
        <f t="shared" si="47"/>
        <v>0.54515499999999995</v>
      </c>
      <c r="AF159" s="37">
        <f t="shared" si="65"/>
        <v>0.51651199999999997</v>
      </c>
      <c r="AG159" s="71">
        <f t="shared" si="57"/>
        <v>0.51651199999999997</v>
      </c>
      <c r="AH159" s="38">
        <f>IF(G159&gt;=1,IF(G159&lt;=5,0.06,IF(G159&lt;=10,0.05,IF(G159&lt;=15,0.04,IF(G159&lt;=19,0.03,0)))),0)</f>
        <v>0.04</v>
      </c>
      <c r="AI159" s="74">
        <f t="shared" si="58"/>
        <v>0.55651200000000001</v>
      </c>
      <c r="AJ159" s="81">
        <v>0</v>
      </c>
      <c r="AK159" s="81">
        <v>0</v>
      </c>
      <c r="AL159" s="11">
        <f t="shared" si="59"/>
        <v>0</v>
      </c>
      <c r="AM159" s="83">
        <v>79</v>
      </c>
      <c r="AN159" s="84">
        <v>4</v>
      </c>
      <c r="AO159" s="11">
        <f t="shared" si="60"/>
        <v>31600</v>
      </c>
      <c r="AP159" s="11">
        <f>ROUND(Y159*AI159*$AP$21,0)</f>
        <v>2647938</v>
      </c>
      <c r="AQ159" s="11">
        <f t="shared" si="61"/>
        <v>2679538</v>
      </c>
      <c r="AR159" s="35">
        <v>2612273</v>
      </c>
      <c r="AS159" s="11">
        <f t="shared" si="62"/>
        <v>67265</v>
      </c>
      <c r="AT159" s="72" t="str">
        <f t="shared" si="63"/>
        <v>Yes</v>
      </c>
      <c r="AU159" s="77">
        <v>2668094</v>
      </c>
      <c r="AV159" s="35">
        <f t="shared" si="64"/>
        <v>7170.4489999999996</v>
      </c>
      <c r="AW159" s="35">
        <f t="shared" si="48"/>
        <v>2675264.449</v>
      </c>
      <c r="AX159" s="35">
        <f>IF(C159=1,MAX(AW159,AR159),AW159)</f>
        <v>2675264.449</v>
      </c>
      <c r="AY159" s="66"/>
      <c r="AZ159" s="67"/>
      <c r="BA159" s="35"/>
      <c r="BB159" s="68"/>
      <c r="BC159" s="35"/>
      <c r="BD159" s="21"/>
      <c r="BF159" s="21"/>
      <c r="BG159" s="21"/>
      <c r="BK159" s="21"/>
      <c r="BL159" s="21"/>
      <c r="BM159" s="21"/>
      <c r="BN159" s="21"/>
      <c r="BO159" s="21"/>
    </row>
    <row r="160" spans="1:67" ht="14.35" x14ac:dyDescent="0.5">
      <c r="A160" s="8" t="s">
        <v>128</v>
      </c>
      <c r="B160" s="8"/>
      <c r="C160" s="25"/>
      <c r="D160" s="25"/>
      <c r="E160" s="25"/>
      <c r="F160" s="1">
        <v>9</v>
      </c>
      <c r="G160" s="79">
        <v>42</v>
      </c>
      <c r="H160" s="8">
        <v>134</v>
      </c>
      <c r="I160" s="3" t="s">
        <v>242</v>
      </c>
      <c r="J160" s="70"/>
      <c r="K160" s="76">
        <v>1365.61</v>
      </c>
      <c r="L160" s="79"/>
      <c r="M160" s="77">
        <v>563</v>
      </c>
      <c r="N160" s="76">
        <f t="shared" si="49"/>
        <v>168.9</v>
      </c>
      <c r="O160" s="76">
        <f t="shared" si="50"/>
        <v>819.37</v>
      </c>
      <c r="P160" s="76">
        <f t="shared" si="51"/>
        <v>0</v>
      </c>
      <c r="Q160" s="76">
        <f t="shared" si="52"/>
        <v>0</v>
      </c>
      <c r="R160" s="65">
        <f t="shared" si="53"/>
        <v>0.41</v>
      </c>
      <c r="S160" s="65">
        <f>IF(R160&gt;0.6,+R160-0.6,0)</f>
        <v>0</v>
      </c>
      <c r="T160" s="34">
        <f>ROUND(S160*K160,2)</f>
        <v>0</v>
      </c>
      <c r="U160" s="34">
        <f t="shared" si="54"/>
        <v>0</v>
      </c>
      <c r="V160" s="77">
        <v>6</v>
      </c>
      <c r="W160" s="76">
        <f t="shared" si="55"/>
        <v>1.5</v>
      </c>
      <c r="X160" s="36">
        <f>ROUND(M160*$X$2,2)</f>
        <v>168.9</v>
      </c>
      <c r="Y160" s="9">
        <f t="shared" si="56"/>
        <v>1536.01</v>
      </c>
      <c r="Z160" s="76">
        <v>1165297456.6700001</v>
      </c>
      <c r="AA160" s="77">
        <v>11890</v>
      </c>
      <c r="AB160" s="17">
        <f t="shared" si="45"/>
        <v>98006.51</v>
      </c>
      <c r="AC160" s="37">
        <f t="shared" si="46"/>
        <v>0.50905400000000001</v>
      </c>
      <c r="AD160" s="77">
        <v>72806</v>
      </c>
      <c r="AE160" s="37">
        <f t="shared" si="47"/>
        <v>0.60422799999999999</v>
      </c>
      <c r="AF160" s="37">
        <f t="shared" si="65"/>
        <v>0.46239400000000003</v>
      </c>
      <c r="AG160" s="71">
        <f t="shared" si="57"/>
        <v>0.46239400000000003</v>
      </c>
      <c r="AH160" s="38">
        <f>IF(G160&gt;=1,IF(G160&lt;=5,0.06,IF(G160&lt;=10,0.05,IF(G160&lt;=15,0.04,IF(G160&lt;=19,0.03,0)))),0)</f>
        <v>0</v>
      </c>
      <c r="AI160" s="74">
        <f t="shared" si="58"/>
        <v>0.46239400000000003</v>
      </c>
      <c r="AJ160" s="77">
        <v>0</v>
      </c>
      <c r="AK160" s="77">
        <v>0</v>
      </c>
      <c r="AL160" s="11">
        <f t="shared" si="59"/>
        <v>0</v>
      </c>
      <c r="AM160" s="83"/>
      <c r="AN160" s="84"/>
      <c r="AO160" s="11">
        <f t="shared" si="60"/>
        <v>0</v>
      </c>
      <c r="AP160" s="11">
        <f>ROUND(Y160*AI160*$AP$21,0)</f>
        <v>8185537</v>
      </c>
      <c r="AQ160" s="11">
        <f t="shared" si="61"/>
        <v>8185537</v>
      </c>
      <c r="AR160" s="35">
        <v>9790490</v>
      </c>
      <c r="AS160" s="11">
        <f t="shared" si="62"/>
        <v>1604953</v>
      </c>
      <c r="AT160" s="72" t="str">
        <f t="shared" si="63"/>
        <v>No</v>
      </c>
      <c r="AU160" s="77">
        <v>9551487</v>
      </c>
      <c r="AV160" s="35">
        <f t="shared" si="64"/>
        <v>0</v>
      </c>
      <c r="AW160" s="35">
        <f t="shared" si="48"/>
        <v>9551487</v>
      </c>
      <c r="AX160" s="35">
        <f>IF(C160=1,MAX(AW160,AR160),AW160)</f>
        <v>9551487</v>
      </c>
      <c r="AY160" s="66"/>
      <c r="AZ160" s="67"/>
      <c r="BA160" s="35"/>
      <c r="BB160" s="68"/>
      <c r="BC160" s="35"/>
      <c r="BD160" s="21"/>
      <c r="BF160" s="21"/>
      <c r="BG160" s="21"/>
      <c r="BK160" s="21"/>
      <c r="BL160" s="21"/>
      <c r="BM160" s="21"/>
      <c r="BN160" s="21"/>
      <c r="BO160" s="21"/>
    </row>
    <row r="161" spans="1:67" ht="14.35" x14ac:dyDescent="0.5">
      <c r="A161" s="8" t="s">
        <v>102</v>
      </c>
      <c r="B161" s="8">
        <v>1</v>
      </c>
      <c r="C161" s="25">
        <v>1</v>
      </c>
      <c r="D161" s="25">
        <v>1</v>
      </c>
      <c r="E161" s="25"/>
      <c r="F161" s="1">
        <v>2</v>
      </c>
      <c r="G161" s="78">
        <v>117</v>
      </c>
      <c r="H161" s="8">
        <v>135</v>
      </c>
      <c r="I161" s="3" t="s">
        <v>243</v>
      </c>
      <c r="J161" s="70"/>
      <c r="K161" s="76">
        <v>15732.61</v>
      </c>
      <c r="L161" s="78"/>
      <c r="M161" s="77">
        <v>9272</v>
      </c>
      <c r="N161" s="76">
        <f t="shared" si="49"/>
        <v>2781.6</v>
      </c>
      <c r="O161" s="76">
        <f t="shared" si="50"/>
        <v>9439.57</v>
      </c>
      <c r="P161" s="76">
        <f t="shared" si="51"/>
        <v>0</v>
      </c>
      <c r="Q161" s="76">
        <f t="shared" si="52"/>
        <v>0</v>
      </c>
      <c r="R161" s="65">
        <f t="shared" si="53"/>
        <v>0.59</v>
      </c>
      <c r="S161" s="65">
        <f>IF(R161&gt;0.6,+R161-0.6,0)</f>
        <v>0</v>
      </c>
      <c r="T161" s="34">
        <f>ROUND(S161*K161,2)</f>
        <v>0</v>
      </c>
      <c r="U161" s="34">
        <f t="shared" si="54"/>
        <v>0</v>
      </c>
      <c r="V161" s="77">
        <v>2168</v>
      </c>
      <c r="W161" s="76">
        <f t="shared" si="55"/>
        <v>542</v>
      </c>
      <c r="X161" s="36">
        <f>ROUND(M161*$X$2,2)</f>
        <v>2781.6</v>
      </c>
      <c r="Y161" s="9">
        <f t="shared" si="56"/>
        <v>19056.21</v>
      </c>
      <c r="Z161" s="76">
        <v>32280069005.330002</v>
      </c>
      <c r="AA161" s="77">
        <v>129026</v>
      </c>
      <c r="AB161" s="17">
        <f t="shared" si="45"/>
        <v>250182.67</v>
      </c>
      <c r="AC161" s="37">
        <f t="shared" si="46"/>
        <v>1.299469</v>
      </c>
      <c r="AD161" s="77">
        <v>89309</v>
      </c>
      <c r="AE161" s="37">
        <f t="shared" si="47"/>
        <v>0.74118899999999999</v>
      </c>
      <c r="AF161" s="37">
        <f t="shared" si="65"/>
        <v>-0.13198499999999999</v>
      </c>
      <c r="AG161" s="71">
        <f t="shared" si="57"/>
        <v>0.1</v>
      </c>
      <c r="AH161" s="38">
        <f>IF(G161&gt;=1,IF(G161&lt;=5,0.06,IF(G161&lt;=10,0.05,IF(G161&lt;=15,0.04,IF(G161&lt;=19,0.03,0)))),0)</f>
        <v>0</v>
      </c>
      <c r="AI161" s="74">
        <f t="shared" si="58"/>
        <v>0.1</v>
      </c>
      <c r="AJ161" s="77">
        <v>0</v>
      </c>
      <c r="AK161" s="77">
        <v>0</v>
      </c>
      <c r="AL161" s="11">
        <f t="shared" si="59"/>
        <v>0</v>
      </c>
      <c r="AM161" s="83"/>
      <c r="AN161" s="84"/>
      <c r="AO161" s="11">
        <f t="shared" si="60"/>
        <v>0</v>
      </c>
      <c r="AP161" s="11">
        <f>ROUND(Y161*AI161*$AP$21,0)</f>
        <v>21962282</v>
      </c>
      <c r="AQ161" s="11">
        <f t="shared" si="61"/>
        <v>21962282</v>
      </c>
      <c r="AR161" s="35">
        <v>10803759</v>
      </c>
      <c r="AS161" s="11">
        <f t="shared" si="62"/>
        <v>11158523</v>
      </c>
      <c r="AT161" s="72" t="str">
        <f t="shared" si="63"/>
        <v>Yes</v>
      </c>
      <c r="AU161" s="77">
        <v>13590585</v>
      </c>
      <c r="AV161" s="35">
        <f t="shared" si="64"/>
        <v>1189498.5518</v>
      </c>
      <c r="AW161" s="35">
        <f t="shared" si="48"/>
        <v>14780083.5518</v>
      </c>
      <c r="AX161" s="35">
        <f>IF(C161=1,MAX(AW161,AR161),AW161)</f>
        <v>14780083.5518</v>
      </c>
      <c r="AY161" s="66"/>
      <c r="AZ161" s="67"/>
      <c r="BA161" s="35"/>
      <c r="BB161" s="68"/>
      <c r="BC161" s="35"/>
      <c r="BD161" s="21"/>
      <c r="BF161" s="21"/>
      <c r="BG161" s="21"/>
      <c r="BK161" s="21"/>
      <c r="BL161" s="21"/>
      <c r="BM161" s="21"/>
      <c r="BN161" s="21"/>
      <c r="BO161" s="21"/>
    </row>
    <row r="162" spans="1:67" ht="14.35" x14ac:dyDescent="0.5">
      <c r="A162" s="8" t="s">
        <v>128</v>
      </c>
      <c r="B162" s="8"/>
      <c r="C162" s="25"/>
      <c r="D162" s="25"/>
      <c r="E162" s="25"/>
      <c r="F162" s="1">
        <v>9</v>
      </c>
      <c r="G162" s="79">
        <v>27</v>
      </c>
      <c r="H162" s="8">
        <v>136</v>
      </c>
      <c r="I162" s="3" t="s">
        <v>244</v>
      </c>
      <c r="J162" s="70"/>
      <c r="K162" s="76">
        <v>428.64</v>
      </c>
      <c r="L162" s="79"/>
      <c r="M162" s="77">
        <v>147</v>
      </c>
      <c r="N162" s="76">
        <f t="shared" si="49"/>
        <v>44.1</v>
      </c>
      <c r="O162" s="76">
        <f t="shared" si="50"/>
        <v>257.18</v>
      </c>
      <c r="P162" s="76">
        <f t="shared" si="51"/>
        <v>0</v>
      </c>
      <c r="Q162" s="76">
        <f t="shared" si="52"/>
        <v>0</v>
      </c>
      <c r="R162" s="65">
        <f t="shared" si="53"/>
        <v>0.34</v>
      </c>
      <c r="S162" s="65">
        <f>IF(R162&gt;0.6,+R162-0.6,0)</f>
        <v>0</v>
      </c>
      <c r="T162" s="34">
        <f>ROUND(S162*K162,2)</f>
        <v>0</v>
      </c>
      <c r="U162" s="34">
        <f t="shared" si="54"/>
        <v>0</v>
      </c>
      <c r="V162" s="77">
        <v>0</v>
      </c>
      <c r="W162" s="76">
        <f t="shared" si="55"/>
        <v>0</v>
      </c>
      <c r="X162" s="36">
        <f>ROUND(M162*$X$2,2)</f>
        <v>44.1</v>
      </c>
      <c r="Y162" s="9">
        <f t="shared" si="56"/>
        <v>472.74</v>
      </c>
      <c r="Z162" s="76">
        <v>355883350.32999998</v>
      </c>
      <c r="AA162" s="77">
        <v>3762</v>
      </c>
      <c r="AB162" s="17">
        <f t="shared" si="45"/>
        <v>94599.51</v>
      </c>
      <c r="AC162" s="37">
        <f t="shared" si="46"/>
        <v>0.49135800000000002</v>
      </c>
      <c r="AD162" s="77">
        <v>77985</v>
      </c>
      <c r="AE162" s="37">
        <f t="shared" si="47"/>
        <v>0.64720900000000003</v>
      </c>
      <c r="AF162" s="37">
        <f t="shared" si="65"/>
        <v>0.46188699999999999</v>
      </c>
      <c r="AG162" s="71">
        <f t="shared" si="57"/>
        <v>0.46188699999999999</v>
      </c>
      <c r="AH162" s="38">
        <f>IF(G162&gt;=1,IF(G162&lt;=5,0.06,IF(G162&lt;=10,0.05,IF(G162&lt;=15,0.04,IF(G162&lt;=19,0.03,0)))),0)</f>
        <v>0</v>
      </c>
      <c r="AI162" s="74">
        <f t="shared" si="58"/>
        <v>0.46188699999999999</v>
      </c>
      <c r="AJ162" s="77">
        <v>0</v>
      </c>
      <c r="AK162" s="77">
        <v>0</v>
      </c>
      <c r="AL162" s="11">
        <f t="shared" si="59"/>
        <v>0</v>
      </c>
      <c r="AM162" s="83"/>
      <c r="AN162" s="84"/>
      <c r="AO162" s="11">
        <f t="shared" si="60"/>
        <v>0</v>
      </c>
      <c r="AP162" s="11">
        <f>ROUND(Y162*AI162*$AP$21,0)</f>
        <v>2516512</v>
      </c>
      <c r="AQ162" s="11">
        <f t="shared" si="61"/>
        <v>2516512</v>
      </c>
      <c r="AR162" s="35">
        <v>3196216</v>
      </c>
      <c r="AS162" s="11">
        <f t="shared" si="62"/>
        <v>679704</v>
      </c>
      <c r="AT162" s="72" t="str">
        <f t="shared" si="63"/>
        <v>No</v>
      </c>
      <c r="AU162" s="77">
        <v>3174585</v>
      </c>
      <c r="AV162" s="35">
        <f t="shared" si="64"/>
        <v>0</v>
      </c>
      <c r="AW162" s="35">
        <f t="shared" si="48"/>
        <v>3174585</v>
      </c>
      <c r="AX162" s="35">
        <f>IF(C162=1,MAX(AW162,AR162),AW162)</f>
        <v>3174585</v>
      </c>
      <c r="AY162" s="66"/>
      <c r="AZ162" s="67"/>
      <c r="BA162" s="35"/>
      <c r="BB162" s="68"/>
      <c r="BC162" s="35"/>
      <c r="BD162" s="21"/>
      <c r="BF162" s="21"/>
      <c r="BG162" s="21"/>
      <c r="BK162" s="21"/>
      <c r="BL162" s="21"/>
      <c r="BM162" s="21"/>
      <c r="BN162" s="21"/>
      <c r="BO162" s="21"/>
    </row>
    <row r="163" spans="1:67" ht="14.35" x14ac:dyDescent="0.5">
      <c r="A163" s="8" t="s">
        <v>110</v>
      </c>
      <c r="B163" s="8"/>
      <c r="C163" s="25"/>
      <c r="D163" s="25"/>
      <c r="E163" s="25"/>
      <c r="F163" s="1">
        <v>3</v>
      </c>
      <c r="G163" s="78">
        <v>125</v>
      </c>
      <c r="H163" s="8">
        <v>137</v>
      </c>
      <c r="I163" s="3" t="s">
        <v>245</v>
      </c>
      <c r="J163" s="70"/>
      <c r="K163" s="76">
        <v>1956.72</v>
      </c>
      <c r="L163" s="78"/>
      <c r="M163" s="77">
        <v>541</v>
      </c>
      <c r="N163" s="76">
        <f t="shared" si="49"/>
        <v>162.30000000000001</v>
      </c>
      <c r="O163" s="76">
        <f t="shared" si="50"/>
        <v>1174.03</v>
      </c>
      <c r="P163" s="76">
        <f t="shared" si="51"/>
        <v>0</v>
      </c>
      <c r="Q163" s="76">
        <f t="shared" si="52"/>
        <v>0</v>
      </c>
      <c r="R163" s="65">
        <f t="shared" si="53"/>
        <v>0.28000000000000003</v>
      </c>
      <c r="S163" s="65">
        <f>IF(R163&gt;0.6,+R163-0.6,0)</f>
        <v>0</v>
      </c>
      <c r="T163" s="34">
        <f>ROUND(S163*K163,2)</f>
        <v>0</v>
      </c>
      <c r="U163" s="34">
        <f t="shared" si="54"/>
        <v>0</v>
      </c>
      <c r="V163" s="77">
        <v>10</v>
      </c>
      <c r="W163" s="76">
        <f t="shared" si="55"/>
        <v>2.5</v>
      </c>
      <c r="X163" s="36">
        <f>ROUND(M163*$X$2,2)</f>
        <v>162.30000000000001</v>
      </c>
      <c r="Y163" s="9">
        <f t="shared" si="56"/>
        <v>2121.52</v>
      </c>
      <c r="Z163" s="76">
        <v>4041442120.3299999</v>
      </c>
      <c r="AA163" s="77">
        <v>18436</v>
      </c>
      <c r="AB163" s="17">
        <f t="shared" si="45"/>
        <v>219214.7</v>
      </c>
      <c r="AC163" s="37">
        <f t="shared" si="46"/>
        <v>1.138619</v>
      </c>
      <c r="AD163" s="77">
        <v>79250</v>
      </c>
      <c r="AE163" s="37">
        <f t="shared" si="47"/>
        <v>0.65770799999999996</v>
      </c>
      <c r="AF163" s="37">
        <f t="shared" si="65"/>
        <v>5.6540000000000002E-3</v>
      </c>
      <c r="AG163" s="71">
        <f t="shared" si="57"/>
        <v>0.01</v>
      </c>
      <c r="AH163" s="38">
        <f>IF(G163&gt;=1,IF(G163&lt;=5,0.06,IF(G163&lt;=10,0.05,IF(G163&lt;=15,0.04,IF(G163&lt;=19,0.03,0)))),0)</f>
        <v>0</v>
      </c>
      <c r="AI163" s="74">
        <f t="shared" si="58"/>
        <v>0.01</v>
      </c>
      <c r="AJ163" s="77">
        <v>0</v>
      </c>
      <c r="AK163" s="77">
        <v>0</v>
      </c>
      <c r="AL163" s="11">
        <f t="shared" si="59"/>
        <v>0</v>
      </c>
      <c r="AM163" s="83"/>
      <c r="AN163" s="84"/>
      <c r="AO163" s="11">
        <f t="shared" si="60"/>
        <v>0</v>
      </c>
      <c r="AP163" s="11">
        <f>ROUND(Y163*AI163*$AP$21,0)</f>
        <v>244505</v>
      </c>
      <c r="AQ163" s="11">
        <f t="shared" si="61"/>
        <v>244505</v>
      </c>
      <c r="AR163" s="35">
        <v>1649159</v>
      </c>
      <c r="AS163" s="11">
        <f t="shared" si="62"/>
        <v>1404654</v>
      </c>
      <c r="AT163" s="72" t="str">
        <f t="shared" si="63"/>
        <v>No</v>
      </c>
      <c r="AU163" s="77">
        <v>1073011</v>
      </c>
      <c r="AV163" s="35">
        <f t="shared" si="64"/>
        <v>0</v>
      </c>
      <c r="AW163" s="35">
        <f t="shared" si="48"/>
        <v>1073011</v>
      </c>
      <c r="AX163" s="35">
        <f>IF(C163=1,MAX(AW163,AR163),AW163)</f>
        <v>1073011</v>
      </c>
      <c r="AY163" s="66"/>
      <c r="AZ163" s="67"/>
      <c r="BA163" s="35"/>
      <c r="BB163" s="68"/>
      <c r="BC163" s="35"/>
      <c r="BD163" s="21"/>
      <c r="BF163" s="21"/>
      <c r="BG163" s="21"/>
      <c r="BK163" s="21"/>
      <c r="BL163" s="21"/>
      <c r="BM163" s="21"/>
      <c r="BN163" s="21"/>
      <c r="BO163" s="21"/>
    </row>
    <row r="164" spans="1:67" ht="14.35" x14ac:dyDescent="0.5">
      <c r="A164" s="8" t="s">
        <v>115</v>
      </c>
      <c r="B164" s="8"/>
      <c r="C164" s="25"/>
      <c r="D164" s="25"/>
      <c r="E164" s="25"/>
      <c r="F164" s="1">
        <v>8</v>
      </c>
      <c r="G164" s="79">
        <v>24</v>
      </c>
      <c r="H164" s="8">
        <v>138</v>
      </c>
      <c r="I164" s="3" t="s">
        <v>246</v>
      </c>
      <c r="J164" s="70"/>
      <c r="K164" s="76">
        <v>6957.09</v>
      </c>
      <c r="L164" s="79"/>
      <c r="M164" s="77">
        <v>3203</v>
      </c>
      <c r="N164" s="76">
        <f t="shared" si="49"/>
        <v>960.9</v>
      </c>
      <c r="O164" s="76">
        <f t="shared" si="50"/>
        <v>4174.25</v>
      </c>
      <c r="P164" s="76">
        <f t="shared" si="51"/>
        <v>0</v>
      </c>
      <c r="Q164" s="76">
        <f t="shared" si="52"/>
        <v>0</v>
      </c>
      <c r="R164" s="65">
        <f t="shared" si="53"/>
        <v>0.46</v>
      </c>
      <c r="S164" s="65">
        <f>IF(R164&gt;0.6,+R164-0.6,0)</f>
        <v>0</v>
      </c>
      <c r="T164" s="34">
        <f>ROUND(S164*K164,2)</f>
        <v>0</v>
      </c>
      <c r="U164" s="34">
        <f t="shared" si="54"/>
        <v>0</v>
      </c>
      <c r="V164" s="77">
        <v>447</v>
      </c>
      <c r="W164" s="76">
        <f t="shared" si="55"/>
        <v>111.75</v>
      </c>
      <c r="X164" s="36">
        <f>ROUND(M164*$X$2,2)</f>
        <v>960.9</v>
      </c>
      <c r="Y164" s="9">
        <f t="shared" si="56"/>
        <v>8029.74</v>
      </c>
      <c r="Z164" s="76">
        <v>6825288860.6700001</v>
      </c>
      <c r="AA164" s="77">
        <v>52279</v>
      </c>
      <c r="AB164" s="17">
        <f t="shared" si="45"/>
        <v>130555.08</v>
      </c>
      <c r="AC164" s="37">
        <f t="shared" si="46"/>
        <v>0.67811399999999999</v>
      </c>
      <c r="AD164" s="77">
        <v>75845</v>
      </c>
      <c r="AE164" s="37">
        <f t="shared" si="47"/>
        <v>0.62944900000000004</v>
      </c>
      <c r="AF164" s="37">
        <f t="shared" si="65"/>
        <v>0.33648600000000001</v>
      </c>
      <c r="AG164" s="71">
        <f t="shared" si="57"/>
        <v>0.33648600000000001</v>
      </c>
      <c r="AH164" s="38">
        <f>IF(G164&gt;=1,IF(G164&lt;=5,0.06,IF(G164&lt;=10,0.05,IF(G164&lt;=15,0.04,IF(G164&lt;=19,0.03,0)))),0)</f>
        <v>0</v>
      </c>
      <c r="AI164" s="74">
        <f t="shared" si="58"/>
        <v>0.33648600000000001</v>
      </c>
      <c r="AJ164" s="77">
        <v>0</v>
      </c>
      <c r="AK164" s="77">
        <v>0</v>
      </c>
      <c r="AL164" s="11">
        <f t="shared" si="59"/>
        <v>0</v>
      </c>
      <c r="AM164" s="83"/>
      <c r="AN164" s="84"/>
      <c r="AO164" s="11">
        <f t="shared" si="60"/>
        <v>0</v>
      </c>
      <c r="AP164" s="11">
        <f>ROUND(Y164*AI164*$AP$21,0)</f>
        <v>31139341</v>
      </c>
      <c r="AQ164" s="11">
        <f t="shared" si="61"/>
        <v>31139341</v>
      </c>
      <c r="AR164" s="35">
        <v>21461782</v>
      </c>
      <c r="AS164" s="11">
        <f t="shared" si="62"/>
        <v>9677559</v>
      </c>
      <c r="AT164" s="72" t="str">
        <f t="shared" si="63"/>
        <v>Yes</v>
      </c>
      <c r="AU164" s="77">
        <v>24116337</v>
      </c>
      <c r="AV164" s="35">
        <f t="shared" si="64"/>
        <v>1031627.7894</v>
      </c>
      <c r="AW164" s="35">
        <f t="shared" si="48"/>
        <v>25147964.7894</v>
      </c>
      <c r="AX164" s="35">
        <f>IF(C164=1,MAX(AW164,AR164),AW164)</f>
        <v>25147964.7894</v>
      </c>
      <c r="AY164" s="66"/>
      <c r="AZ164" s="67"/>
      <c r="BA164" s="35"/>
      <c r="BB164" s="68"/>
      <c r="BC164" s="35"/>
      <c r="BD164" s="21"/>
      <c r="BF164" s="21"/>
      <c r="BG164" s="21"/>
      <c r="BK164" s="21"/>
      <c r="BL164" s="21"/>
      <c r="BM164" s="21"/>
      <c r="BN164" s="21"/>
      <c r="BO164" s="21"/>
    </row>
    <row r="165" spans="1:67" ht="14.35" x14ac:dyDescent="0.5">
      <c r="A165" s="8" t="s">
        <v>100</v>
      </c>
      <c r="B165" s="8"/>
      <c r="C165" s="25"/>
      <c r="D165" s="25"/>
      <c r="E165" s="25"/>
      <c r="F165" s="1">
        <v>5</v>
      </c>
      <c r="G165" s="78">
        <v>99</v>
      </c>
      <c r="H165" s="8">
        <v>139</v>
      </c>
      <c r="I165" s="3" t="s">
        <v>247</v>
      </c>
      <c r="J165" s="70"/>
      <c r="K165" s="76">
        <v>1991.04</v>
      </c>
      <c r="L165" s="78"/>
      <c r="M165" s="77">
        <v>309</v>
      </c>
      <c r="N165" s="76">
        <f t="shared" si="49"/>
        <v>92.7</v>
      </c>
      <c r="O165" s="76">
        <f t="shared" si="50"/>
        <v>1194.6199999999999</v>
      </c>
      <c r="P165" s="76">
        <f t="shared" si="51"/>
        <v>0</v>
      </c>
      <c r="Q165" s="76">
        <f t="shared" si="52"/>
        <v>0</v>
      </c>
      <c r="R165" s="65">
        <f t="shared" si="53"/>
        <v>0.16</v>
      </c>
      <c r="S165" s="65">
        <f>IF(R165&gt;0.6,+R165-0.6,0)</f>
        <v>0</v>
      </c>
      <c r="T165" s="34">
        <f>ROUND(S165*K165,2)</f>
        <v>0</v>
      </c>
      <c r="U165" s="34">
        <f t="shared" si="54"/>
        <v>0</v>
      </c>
      <c r="V165" s="77">
        <v>44</v>
      </c>
      <c r="W165" s="76">
        <f t="shared" si="55"/>
        <v>11</v>
      </c>
      <c r="X165" s="36">
        <f>ROUND(M165*$X$2,2)</f>
        <v>92.7</v>
      </c>
      <c r="Y165" s="9">
        <f t="shared" si="56"/>
        <v>2094.7399999999998</v>
      </c>
      <c r="Z165" s="76">
        <v>2084652065.3299999</v>
      </c>
      <c r="AA165" s="77">
        <v>15662</v>
      </c>
      <c r="AB165" s="17">
        <f t="shared" si="45"/>
        <v>133102.54999999999</v>
      </c>
      <c r="AC165" s="37">
        <f t="shared" si="46"/>
        <v>0.69134600000000002</v>
      </c>
      <c r="AD165" s="77">
        <v>111573</v>
      </c>
      <c r="AE165" s="37">
        <f t="shared" si="47"/>
        <v>0.92596100000000003</v>
      </c>
      <c r="AF165" s="37">
        <f t="shared" si="65"/>
        <v>0.23827000000000001</v>
      </c>
      <c r="AG165" s="71">
        <f t="shared" si="57"/>
        <v>0.23827000000000001</v>
      </c>
      <c r="AH165" s="38">
        <f>IF(G165&gt;=1,IF(G165&lt;=5,0.06,IF(G165&lt;=10,0.05,IF(G165&lt;=15,0.04,IF(G165&lt;=19,0.03,0)))),0)</f>
        <v>0</v>
      </c>
      <c r="AI165" s="74">
        <f t="shared" si="58"/>
        <v>0.23827000000000001</v>
      </c>
      <c r="AJ165" s="77">
        <v>0</v>
      </c>
      <c r="AK165" s="77">
        <v>0</v>
      </c>
      <c r="AL165" s="11">
        <f t="shared" si="59"/>
        <v>0</v>
      </c>
      <c r="AM165" s="83"/>
      <c r="AN165" s="84"/>
      <c r="AO165" s="11">
        <f t="shared" si="60"/>
        <v>0</v>
      </c>
      <c r="AP165" s="11">
        <f>ROUND(Y165*AI165*$AP$21,0)</f>
        <v>5752285</v>
      </c>
      <c r="AQ165" s="11">
        <f t="shared" si="61"/>
        <v>5752285</v>
      </c>
      <c r="AR165" s="35">
        <v>6221145</v>
      </c>
      <c r="AS165" s="11">
        <f t="shared" si="62"/>
        <v>468860</v>
      </c>
      <c r="AT165" s="72" t="str">
        <f t="shared" si="63"/>
        <v>No</v>
      </c>
      <c r="AU165" s="77">
        <v>6148151</v>
      </c>
      <c r="AV165" s="35">
        <f t="shared" si="64"/>
        <v>0</v>
      </c>
      <c r="AW165" s="35">
        <f t="shared" si="48"/>
        <v>6148151</v>
      </c>
      <c r="AX165" s="35">
        <f>IF(C165=1,MAX(AW165,AR165),AW165)</f>
        <v>6148151</v>
      </c>
      <c r="AY165" s="66"/>
      <c r="AZ165" s="67"/>
      <c r="BA165" s="35"/>
      <c r="BB165" s="68"/>
      <c r="BC165" s="35"/>
      <c r="BD165" s="21"/>
      <c r="BF165" s="21"/>
      <c r="BG165" s="21"/>
      <c r="BK165" s="21"/>
      <c r="BL165" s="21"/>
      <c r="BM165" s="21"/>
      <c r="BN165" s="21"/>
      <c r="BO165" s="21"/>
    </row>
    <row r="166" spans="1:67" ht="14.35" x14ac:dyDescent="0.5">
      <c r="A166" s="8" t="s">
        <v>104</v>
      </c>
      <c r="B166" s="8"/>
      <c r="C166" s="25"/>
      <c r="D166" s="25"/>
      <c r="E166" s="25"/>
      <c r="F166" s="1">
        <v>9</v>
      </c>
      <c r="G166" s="80">
        <v>43</v>
      </c>
      <c r="H166" s="8">
        <v>140</v>
      </c>
      <c r="I166" s="3" t="s">
        <v>248</v>
      </c>
      <c r="J166" s="70"/>
      <c r="K166" s="76">
        <v>945.86</v>
      </c>
      <c r="L166" s="80"/>
      <c r="M166" s="77">
        <v>318</v>
      </c>
      <c r="N166" s="76">
        <f t="shared" si="49"/>
        <v>95.4</v>
      </c>
      <c r="O166" s="76">
        <f t="shared" si="50"/>
        <v>567.52</v>
      </c>
      <c r="P166" s="76">
        <f t="shared" si="51"/>
        <v>0</v>
      </c>
      <c r="Q166" s="76">
        <f t="shared" si="52"/>
        <v>0</v>
      </c>
      <c r="R166" s="65">
        <f t="shared" si="53"/>
        <v>0.34</v>
      </c>
      <c r="S166" s="65">
        <f>IF(R166&gt;0.6,+R166-0.6,0)</f>
        <v>0</v>
      </c>
      <c r="T166" s="34">
        <f>ROUND(S166*K166,2)</f>
        <v>0</v>
      </c>
      <c r="U166" s="34">
        <f t="shared" si="54"/>
        <v>0</v>
      </c>
      <c r="V166" s="77">
        <v>14</v>
      </c>
      <c r="W166" s="76">
        <f t="shared" si="55"/>
        <v>3.5</v>
      </c>
      <c r="X166" s="36">
        <f>ROUND(M166*$X$2,2)</f>
        <v>95.4</v>
      </c>
      <c r="Y166" s="9">
        <f t="shared" si="56"/>
        <v>1044.76</v>
      </c>
      <c r="Z166" s="76">
        <v>804263908</v>
      </c>
      <c r="AA166" s="77">
        <v>7623</v>
      </c>
      <c r="AB166" s="17">
        <f t="shared" si="45"/>
        <v>105504.91</v>
      </c>
      <c r="AC166" s="37">
        <f t="shared" si="46"/>
        <v>0.54800099999999996</v>
      </c>
      <c r="AD166" s="77">
        <v>67862</v>
      </c>
      <c r="AE166" s="37">
        <f t="shared" si="47"/>
        <v>0.56319699999999995</v>
      </c>
      <c r="AF166" s="37">
        <f t="shared" si="65"/>
        <v>0.44744</v>
      </c>
      <c r="AG166" s="71">
        <f t="shared" si="57"/>
        <v>0.44744</v>
      </c>
      <c r="AH166" s="38">
        <f>IF(G166&gt;=1,IF(G166&lt;=5,0.06,IF(G166&lt;=10,0.05,IF(G166&lt;=15,0.04,IF(G166&lt;=19,0.03,0)))),0)</f>
        <v>0</v>
      </c>
      <c r="AI166" s="74">
        <f t="shared" si="58"/>
        <v>0.44744</v>
      </c>
      <c r="AJ166" s="77">
        <v>0</v>
      </c>
      <c r="AK166" s="77">
        <v>0</v>
      </c>
      <c r="AL166" s="11">
        <f t="shared" si="59"/>
        <v>0</v>
      </c>
      <c r="AM166" s="83"/>
      <c r="AN166" s="84"/>
      <c r="AO166" s="11">
        <f t="shared" si="60"/>
        <v>0</v>
      </c>
      <c r="AP166" s="11">
        <f>ROUND(Y166*AI166*$AP$21,0)</f>
        <v>5387562</v>
      </c>
      <c r="AQ166" s="11">
        <f t="shared" si="61"/>
        <v>5387562</v>
      </c>
      <c r="AR166" s="35">
        <v>5624815</v>
      </c>
      <c r="AS166" s="11">
        <f t="shared" si="62"/>
        <v>237253</v>
      </c>
      <c r="AT166" s="72" t="str">
        <f t="shared" si="63"/>
        <v>No</v>
      </c>
      <c r="AU166" s="77">
        <v>5481226</v>
      </c>
      <c r="AV166" s="35">
        <f t="shared" si="64"/>
        <v>0</v>
      </c>
      <c r="AW166" s="35">
        <f t="shared" si="48"/>
        <v>5481226</v>
      </c>
      <c r="AX166" s="35">
        <f>IF(C166=1,MAX(AW166,AR166),AW166)</f>
        <v>5481226</v>
      </c>
      <c r="AY166" s="66"/>
      <c r="AZ166" s="67"/>
      <c r="BA166" s="35"/>
      <c r="BB166" s="68"/>
      <c r="BC166" s="35"/>
      <c r="BD166" s="21"/>
      <c r="BF166" s="21"/>
      <c r="BG166" s="21"/>
      <c r="BK166" s="21"/>
      <c r="BL166" s="21"/>
      <c r="BM166" s="21"/>
      <c r="BN166" s="21"/>
      <c r="BO166" s="21"/>
    </row>
    <row r="167" spans="1:67" ht="14.35" x14ac:dyDescent="0.5">
      <c r="A167" s="8" t="s">
        <v>128</v>
      </c>
      <c r="B167" s="8"/>
      <c r="C167" s="25">
        <v>1</v>
      </c>
      <c r="D167" s="25"/>
      <c r="E167" s="25"/>
      <c r="F167" s="1">
        <v>9</v>
      </c>
      <c r="G167" s="78">
        <v>55</v>
      </c>
      <c r="H167" s="8">
        <v>141</v>
      </c>
      <c r="I167" s="3" t="s">
        <v>249</v>
      </c>
      <c r="J167" s="70"/>
      <c r="K167" s="76">
        <v>988.77</v>
      </c>
      <c r="L167" s="78"/>
      <c r="M167" s="77">
        <v>469</v>
      </c>
      <c r="N167" s="76">
        <f t="shared" si="49"/>
        <v>140.69999999999999</v>
      </c>
      <c r="O167" s="76">
        <f t="shared" si="50"/>
        <v>593.26</v>
      </c>
      <c r="P167" s="76">
        <f t="shared" si="51"/>
        <v>0</v>
      </c>
      <c r="Q167" s="76">
        <f t="shared" si="52"/>
        <v>0</v>
      </c>
      <c r="R167" s="65">
        <f t="shared" si="53"/>
        <v>0.47</v>
      </c>
      <c r="S167" s="65">
        <f>IF(R167&gt;0.6,+R167-0.6,0)</f>
        <v>0</v>
      </c>
      <c r="T167" s="34">
        <f>ROUND(S167*K167,2)</f>
        <v>0</v>
      </c>
      <c r="U167" s="34">
        <f t="shared" si="54"/>
        <v>0</v>
      </c>
      <c r="V167" s="77">
        <v>1</v>
      </c>
      <c r="W167" s="76">
        <f t="shared" si="55"/>
        <v>0.25</v>
      </c>
      <c r="X167" s="36">
        <f>ROUND(M167*$X$2,2)</f>
        <v>140.69999999999999</v>
      </c>
      <c r="Y167" s="9">
        <f t="shared" si="56"/>
        <v>1129.72</v>
      </c>
      <c r="Z167" s="76">
        <v>1024599748.67</v>
      </c>
      <c r="AA167" s="77">
        <v>9343</v>
      </c>
      <c r="AB167" s="17">
        <f t="shared" si="45"/>
        <v>109664.96000000001</v>
      </c>
      <c r="AC167" s="37">
        <f t="shared" si="46"/>
        <v>0.56960900000000003</v>
      </c>
      <c r="AD167" s="77">
        <v>80941</v>
      </c>
      <c r="AE167" s="37">
        <f t="shared" si="47"/>
        <v>0.67174199999999995</v>
      </c>
      <c r="AF167" s="37">
        <f t="shared" si="65"/>
        <v>0.39975100000000002</v>
      </c>
      <c r="AG167" s="71">
        <f t="shared" si="57"/>
        <v>0.39975100000000002</v>
      </c>
      <c r="AH167" s="38">
        <f>IF(G167&gt;=1,IF(G167&lt;=5,0.06,IF(G167&lt;=10,0.05,IF(G167&lt;=15,0.04,IF(G167&lt;=19,0.03,0)))),0)</f>
        <v>0</v>
      </c>
      <c r="AI167" s="74">
        <f t="shared" si="58"/>
        <v>0.39975100000000002</v>
      </c>
      <c r="AJ167" s="77">
        <v>0</v>
      </c>
      <c r="AK167" s="77">
        <v>0</v>
      </c>
      <c r="AL167" s="11">
        <f t="shared" si="59"/>
        <v>0</v>
      </c>
      <c r="AM167" s="83"/>
      <c r="AN167" s="84"/>
      <c r="AO167" s="11">
        <f t="shared" si="60"/>
        <v>0</v>
      </c>
      <c r="AP167" s="11">
        <f>ROUND(Y167*AI167*$AP$21,0)</f>
        <v>5204767</v>
      </c>
      <c r="AQ167" s="11">
        <f t="shared" si="61"/>
        <v>5204767</v>
      </c>
      <c r="AR167" s="35">
        <v>7534704</v>
      </c>
      <c r="AS167" s="11">
        <f t="shared" si="62"/>
        <v>2329937</v>
      </c>
      <c r="AT167" s="72" t="str">
        <f t="shared" si="63"/>
        <v>No</v>
      </c>
      <c r="AU167" s="77">
        <v>7534704</v>
      </c>
      <c r="AV167" s="35">
        <f t="shared" si="64"/>
        <v>0</v>
      </c>
      <c r="AW167" s="35">
        <f t="shared" si="48"/>
        <v>7534704</v>
      </c>
      <c r="AX167" s="35">
        <f>IF(C167=1,MAX(AW167,AR167),AW167)</f>
        <v>7534704</v>
      </c>
      <c r="AY167" s="66"/>
      <c r="AZ167" s="67"/>
      <c r="BA167" s="35"/>
      <c r="BB167" s="68"/>
      <c r="BC167" s="35"/>
      <c r="BD167" s="21"/>
      <c r="BF167" s="21"/>
      <c r="BG167" s="21"/>
      <c r="BK167" s="21"/>
      <c r="BL167" s="21"/>
      <c r="BM167" s="21"/>
      <c r="BN167" s="21"/>
      <c r="BO167" s="21"/>
    </row>
    <row r="168" spans="1:67" ht="14.35" x14ac:dyDescent="0.5">
      <c r="A168" s="8" t="s">
        <v>100</v>
      </c>
      <c r="B168" s="8"/>
      <c r="C168" s="25"/>
      <c r="D168" s="25"/>
      <c r="E168" s="25"/>
      <c r="F168" s="1">
        <v>5</v>
      </c>
      <c r="G168" s="78">
        <v>108</v>
      </c>
      <c r="H168" s="8">
        <v>142</v>
      </c>
      <c r="I168" s="3" t="s">
        <v>250</v>
      </c>
      <c r="J168" s="70"/>
      <c r="K168" s="76">
        <v>2325.67</v>
      </c>
      <c r="L168" s="78"/>
      <c r="M168" s="77">
        <v>310</v>
      </c>
      <c r="N168" s="76">
        <f t="shared" si="49"/>
        <v>93</v>
      </c>
      <c r="O168" s="76">
        <f t="shared" si="50"/>
        <v>1395.4</v>
      </c>
      <c r="P168" s="76">
        <f t="shared" si="51"/>
        <v>0</v>
      </c>
      <c r="Q168" s="76">
        <f t="shared" si="52"/>
        <v>0</v>
      </c>
      <c r="R168" s="65">
        <f t="shared" si="53"/>
        <v>0.13</v>
      </c>
      <c r="S168" s="65">
        <f>IF(R168&gt;0.6,+R168-0.6,0)</f>
        <v>0</v>
      </c>
      <c r="T168" s="34">
        <f>ROUND(S168*K168,2)</f>
        <v>0</v>
      </c>
      <c r="U168" s="34">
        <f t="shared" si="54"/>
        <v>0</v>
      </c>
      <c r="V168" s="77">
        <v>17</v>
      </c>
      <c r="W168" s="76">
        <f t="shared" si="55"/>
        <v>4.25</v>
      </c>
      <c r="X168" s="36">
        <f>ROUND(M168*$X$2,2)</f>
        <v>93</v>
      </c>
      <c r="Y168" s="9">
        <f t="shared" si="56"/>
        <v>2422.92</v>
      </c>
      <c r="Z168" s="76">
        <v>1883111152.3299999</v>
      </c>
      <c r="AA168" s="77">
        <v>14766</v>
      </c>
      <c r="AB168" s="17">
        <f t="shared" si="45"/>
        <v>127530.21</v>
      </c>
      <c r="AC168" s="37">
        <f t="shared" si="46"/>
        <v>0.66240200000000005</v>
      </c>
      <c r="AD168" s="77">
        <v>115718</v>
      </c>
      <c r="AE168" s="37">
        <f t="shared" si="47"/>
        <v>0.96036100000000002</v>
      </c>
      <c r="AF168" s="37">
        <f t="shared" si="65"/>
        <v>0.24820999999999999</v>
      </c>
      <c r="AG168" s="71">
        <f t="shared" si="57"/>
        <v>0.24820999999999999</v>
      </c>
      <c r="AH168" s="38">
        <f>IF(G168&gt;=1,IF(G168&lt;=5,0.06,IF(G168&lt;=10,0.05,IF(G168&lt;=15,0.04,IF(G168&lt;=19,0.03,0)))),0)</f>
        <v>0</v>
      </c>
      <c r="AI168" s="74">
        <f t="shared" si="58"/>
        <v>0.24820999999999999</v>
      </c>
      <c r="AJ168" s="77">
        <v>0</v>
      </c>
      <c r="AK168" s="77">
        <v>0</v>
      </c>
      <c r="AL168" s="11">
        <f t="shared" si="59"/>
        <v>0</v>
      </c>
      <c r="AM168" s="83">
        <v>2</v>
      </c>
      <c r="AN168" s="84">
        <v>4</v>
      </c>
      <c r="AO168" s="11">
        <f t="shared" si="60"/>
        <v>800</v>
      </c>
      <c r="AP168" s="11">
        <f>ROUND(Y168*AI168*$AP$21,0)</f>
        <v>6931054</v>
      </c>
      <c r="AQ168" s="11">
        <f t="shared" si="61"/>
        <v>6931854</v>
      </c>
      <c r="AR168" s="35">
        <v>10699177</v>
      </c>
      <c r="AS168" s="11">
        <f t="shared" si="62"/>
        <v>3767323</v>
      </c>
      <c r="AT168" s="72" t="str">
        <f t="shared" si="63"/>
        <v>No</v>
      </c>
      <c r="AU168" s="77">
        <v>9105528</v>
      </c>
      <c r="AV168" s="35">
        <f t="shared" si="64"/>
        <v>0</v>
      </c>
      <c r="AW168" s="35">
        <f t="shared" si="48"/>
        <v>9105528</v>
      </c>
      <c r="AX168" s="35">
        <f>IF(C168=1,MAX(AW168,AR168),AW168)</f>
        <v>9105528</v>
      </c>
      <c r="AY168" s="66"/>
      <c r="AZ168" s="67"/>
      <c r="BA168" s="35"/>
      <c r="BB168" s="68"/>
      <c r="BC168" s="35"/>
      <c r="BD168" s="21"/>
      <c r="BF168" s="21"/>
      <c r="BG168" s="21"/>
      <c r="BK168" s="21"/>
      <c r="BL168" s="21"/>
      <c r="BM168" s="21"/>
      <c r="BN168" s="21"/>
      <c r="BO168" s="21"/>
    </row>
    <row r="169" spans="1:67" ht="14.35" x14ac:dyDescent="0.5">
      <c r="A169" s="8" t="s">
        <v>115</v>
      </c>
      <c r="B169" s="8"/>
      <c r="C169" s="25">
        <v>1</v>
      </c>
      <c r="D169" s="25"/>
      <c r="E169" s="25"/>
      <c r="F169" s="1">
        <v>10</v>
      </c>
      <c r="G169" s="79">
        <v>16</v>
      </c>
      <c r="H169" s="8">
        <v>143</v>
      </c>
      <c r="I169" s="3" t="s">
        <v>251</v>
      </c>
      <c r="J169" s="70"/>
      <c r="K169" s="76">
        <v>4025.42</v>
      </c>
      <c r="L169" s="79"/>
      <c r="M169" s="77">
        <v>2677</v>
      </c>
      <c r="N169" s="76">
        <f t="shared" si="49"/>
        <v>803.1</v>
      </c>
      <c r="O169" s="76">
        <f t="shared" si="50"/>
        <v>2415.25</v>
      </c>
      <c r="P169" s="76">
        <f t="shared" si="51"/>
        <v>261.75</v>
      </c>
      <c r="Q169" s="76">
        <f t="shared" si="52"/>
        <v>39.26</v>
      </c>
      <c r="R169" s="65">
        <f t="shared" si="53"/>
        <v>0.67</v>
      </c>
      <c r="S169" s="65">
        <f>IF(R169&gt;0.6,+R169-0.6,0)</f>
        <v>7.0000000000000062E-2</v>
      </c>
      <c r="T169" s="34">
        <f>ROUND(S169*K169,2)</f>
        <v>281.77999999999997</v>
      </c>
      <c r="U169" s="34">
        <f t="shared" si="54"/>
        <v>42.27</v>
      </c>
      <c r="V169" s="77">
        <v>391</v>
      </c>
      <c r="W169" s="76">
        <f t="shared" si="55"/>
        <v>97.75</v>
      </c>
      <c r="X169" s="36">
        <f>ROUND(M169*$X$2,2)</f>
        <v>803.1</v>
      </c>
      <c r="Y169" s="9">
        <f t="shared" si="56"/>
        <v>4965.5300000000007</v>
      </c>
      <c r="Z169" s="76">
        <v>2838568528</v>
      </c>
      <c r="AA169" s="77">
        <v>34737</v>
      </c>
      <c r="AB169" s="17">
        <f t="shared" si="45"/>
        <v>81716</v>
      </c>
      <c r="AC169" s="37">
        <f t="shared" si="46"/>
        <v>0.42443999999999998</v>
      </c>
      <c r="AD169" s="77">
        <v>63576</v>
      </c>
      <c r="AE169" s="37">
        <f t="shared" si="47"/>
        <v>0.52762699999999996</v>
      </c>
      <c r="AF169" s="37">
        <f t="shared" si="65"/>
        <v>0.54460399999999998</v>
      </c>
      <c r="AG169" s="71">
        <f t="shared" si="57"/>
        <v>0.54460399999999998</v>
      </c>
      <c r="AH169" s="38">
        <f>IF(G169&gt;=1,IF(G169&lt;=5,0.06,IF(G169&lt;=10,0.05,IF(G169&lt;=15,0.04,IF(G169&lt;=19,0.03,0)))),0)</f>
        <v>0.03</v>
      </c>
      <c r="AI169" s="74">
        <f t="shared" si="58"/>
        <v>0.574604</v>
      </c>
      <c r="AJ169" s="77">
        <v>0</v>
      </c>
      <c r="AK169" s="77">
        <v>0</v>
      </c>
      <c r="AL169" s="11">
        <f t="shared" si="59"/>
        <v>0</v>
      </c>
      <c r="AM169" s="83"/>
      <c r="AN169" s="84"/>
      <c r="AO169" s="11">
        <f t="shared" si="60"/>
        <v>0</v>
      </c>
      <c r="AP169" s="11">
        <f>ROUND(Y169*AI169*$AP$21,0)</f>
        <v>32883284</v>
      </c>
      <c r="AQ169" s="11">
        <f t="shared" si="61"/>
        <v>32883284</v>
      </c>
      <c r="AR169" s="35">
        <v>24482865</v>
      </c>
      <c r="AS169" s="11">
        <f t="shared" si="62"/>
        <v>8400419</v>
      </c>
      <c r="AT169" s="72" t="str">
        <f t="shared" si="63"/>
        <v>Yes</v>
      </c>
      <c r="AU169" s="77">
        <v>26958170</v>
      </c>
      <c r="AV169" s="35">
        <f t="shared" si="64"/>
        <v>895484.66540000006</v>
      </c>
      <c r="AW169" s="35">
        <f t="shared" si="48"/>
        <v>27853654.665399998</v>
      </c>
      <c r="AX169" s="35">
        <f>IF(C169=1,MAX(AW169,AR169),AW169)</f>
        <v>27853654.665399998</v>
      </c>
      <c r="AY169" s="66"/>
      <c r="AZ169" s="67"/>
      <c r="BA169" s="35"/>
      <c r="BB169" s="68"/>
      <c r="BC169" s="35"/>
      <c r="BD169" s="21"/>
      <c r="BF169" s="21"/>
      <c r="BG169" s="21"/>
      <c r="BK169" s="21"/>
      <c r="BL169" s="21"/>
      <c r="BM169" s="21"/>
      <c r="BN169" s="21"/>
      <c r="BO169" s="21"/>
    </row>
    <row r="170" spans="1:67" ht="14.35" x14ac:dyDescent="0.5">
      <c r="A170" s="8" t="s">
        <v>106</v>
      </c>
      <c r="B170" s="8"/>
      <c r="C170" s="25"/>
      <c r="D170" s="25"/>
      <c r="E170" s="25"/>
      <c r="F170" s="1">
        <v>3</v>
      </c>
      <c r="G170" s="78">
        <v>103</v>
      </c>
      <c r="H170" s="8">
        <v>144</v>
      </c>
      <c r="I170" s="3" t="s">
        <v>252</v>
      </c>
      <c r="J170" s="70"/>
      <c r="K170" s="76">
        <v>6574.91</v>
      </c>
      <c r="L170" s="78"/>
      <c r="M170" s="77">
        <v>1182</v>
      </c>
      <c r="N170" s="76">
        <f t="shared" si="49"/>
        <v>354.6</v>
      </c>
      <c r="O170" s="76">
        <f t="shared" si="50"/>
        <v>3944.95</v>
      </c>
      <c r="P170" s="76">
        <f t="shared" si="51"/>
        <v>0</v>
      </c>
      <c r="Q170" s="76">
        <f t="shared" si="52"/>
        <v>0</v>
      </c>
      <c r="R170" s="65">
        <f t="shared" si="53"/>
        <v>0.18</v>
      </c>
      <c r="S170" s="65">
        <f>IF(R170&gt;0.6,+R170-0.6,0)</f>
        <v>0</v>
      </c>
      <c r="T170" s="34">
        <f>ROUND(S170*K170,2)</f>
        <v>0</v>
      </c>
      <c r="U170" s="34">
        <f t="shared" si="54"/>
        <v>0</v>
      </c>
      <c r="V170" s="77">
        <v>278</v>
      </c>
      <c r="W170" s="76">
        <f t="shared" si="55"/>
        <v>69.5</v>
      </c>
      <c r="X170" s="36">
        <f>ROUND(M170*$X$2,2)</f>
        <v>354.6</v>
      </c>
      <c r="Y170" s="9">
        <f t="shared" si="56"/>
        <v>6999.01</v>
      </c>
      <c r="Z170" s="76">
        <v>6977094664.6700001</v>
      </c>
      <c r="AA170" s="77">
        <v>36174</v>
      </c>
      <c r="AB170" s="17">
        <f t="shared" si="45"/>
        <v>192875.95</v>
      </c>
      <c r="AC170" s="37">
        <f t="shared" si="46"/>
        <v>1.001814</v>
      </c>
      <c r="AD170" s="77">
        <v>118707</v>
      </c>
      <c r="AE170" s="37">
        <f t="shared" si="47"/>
        <v>0.98516700000000001</v>
      </c>
      <c r="AF170" s="37">
        <f t="shared" si="65"/>
        <v>3.1800000000000001E-3</v>
      </c>
      <c r="AG170" s="71">
        <f t="shared" si="57"/>
        <v>0.01</v>
      </c>
      <c r="AH170" s="38">
        <f>IF(G170&gt;=1,IF(G170&lt;=5,0.06,IF(G170&lt;=10,0.05,IF(G170&lt;=15,0.04,IF(G170&lt;=19,0.03,0)))),0)</f>
        <v>0</v>
      </c>
      <c r="AI170" s="74">
        <f t="shared" si="58"/>
        <v>0.01</v>
      </c>
      <c r="AJ170" s="77">
        <v>0</v>
      </c>
      <c r="AK170" s="77">
        <v>0</v>
      </c>
      <c r="AL170" s="11">
        <f t="shared" si="59"/>
        <v>0</v>
      </c>
      <c r="AM170" s="83"/>
      <c r="AN170" s="84"/>
      <c r="AO170" s="11">
        <f t="shared" si="60"/>
        <v>0</v>
      </c>
      <c r="AP170" s="11">
        <f>ROUND(Y170*AI170*$AP$21,0)</f>
        <v>806636</v>
      </c>
      <c r="AQ170" s="11">
        <f t="shared" si="61"/>
        <v>806636</v>
      </c>
      <c r="AR170" s="35">
        <v>3418401</v>
      </c>
      <c r="AS170" s="11">
        <f t="shared" si="62"/>
        <v>2611765</v>
      </c>
      <c r="AT170" s="72" t="str">
        <f t="shared" si="63"/>
        <v>No</v>
      </c>
      <c r="AU170" s="77">
        <v>2323541</v>
      </c>
      <c r="AV170" s="35">
        <f t="shared" si="64"/>
        <v>0</v>
      </c>
      <c r="AW170" s="35">
        <f t="shared" si="48"/>
        <v>2323541</v>
      </c>
      <c r="AX170" s="35">
        <f>IF(C170=1,MAX(AW170,AR170),AW170)</f>
        <v>2323541</v>
      </c>
      <c r="AY170" s="66"/>
      <c r="AZ170" s="67"/>
      <c r="BA170" s="35"/>
      <c r="BB170" s="68"/>
      <c r="BC170" s="35"/>
      <c r="BD170" s="21"/>
      <c r="BF170" s="21"/>
      <c r="BG170" s="21"/>
      <c r="BK170" s="21"/>
      <c r="BL170" s="21"/>
      <c r="BM170" s="21"/>
      <c r="BN170" s="21"/>
      <c r="BO170" s="21"/>
    </row>
    <row r="171" spans="1:67" ht="14.35" x14ac:dyDescent="0.5">
      <c r="A171" s="8" t="s">
        <v>104</v>
      </c>
      <c r="B171" s="8"/>
      <c r="C171" s="25"/>
      <c r="D171" s="25"/>
      <c r="E171" s="25"/>
      <c r="F171" s="1">
        <v>4</v>
      </c>
      <c r="G171" s="78">
        <v>115</v>
      </c>
      <c r="H171" s="8">
        <v>145</v>
      </c>
      <c r="I171" s="3" t="s">
        <v>253</v>
      </c>
      <c r="J171" s="70"/>
      <c r="K171" s="76">
        <v>79.930000000000007</v>
      </c>
      <c r="L171" s="78"/>
      <c r="M171" s="77">
        <v>6</v>
      </c>
      <c r="N171" s="76">
        <f t="shared" si="49"/>
        <v>1.8</v>
      </c>
      <c r="O171" s="76">
        <f t="shared" si="50"/>
        <v>47.96</v>
      </c>
      <c r="P171" s="76">
        <f t="shared" si="51"/>
        <v>0</v>
      </c>
      <c r="Q171" s="76">
        <f t="shared" si="52"/>
        <v>0</v>
      </c>
      <c r="R171" s="65">
        <f t="shared" si="53"/>
        <v>0.08</v>
      </c>
      <c r="S171" s="65">
        <f>IF(R171&gt;0.6,+R171-0.6,0)</f>
        <v>0</v>
      </c>
      <c r="T171" s="34">
        <f>ROUND(S171*K171,2)</f>
        <v>0</v>
      </c>
      <c r="U171" s="34">
        <f t="shared" si="54"/>
        <v>0</v>
      </c>
      <c r="V171" s="77">
        <v>0</v>
      </c>
      <c r="W171" s="76">
        <f t="shared" si="55"/>
        <v>0</v>
      </c>
      <c r="X171" s="36">
        <f>ROUND(M171*$X$2,2)</f>
        <v>1.8</v>
      </c>
      <c r="Y171" s="9">
        <f t="shared" si="56"/>
        <v>81.73</v>
      </c>
      <c r="Z171" s="76">
        <v>132622186</v>
      </c>
      <c r="AA171" s="77">
        <v>873</v>
      </c>
      <c r="AB171" s="17">
        <f t="shared" si="45"/>
        <v>151915.45000000001</v>
      </c>
      <c r="AC171" s="37">
        <f t="shared" si="46"/>
        <v>0.78906100000000001</v>
      </c>
      <c r="AD171" s="77">
        <v>90714</v>
      </c>
      <c r="AE171" s="37">
        <f t="shared" si="47"/>
        <v>0.75284899999999999</v>
      </c>
      <c r="AF171" s="37">
        <f t="shared" si="65"/>
        <v>0.221803</v>
      </c>
      <c r="AG171" s="71">
        <f t="shared" si="57"/>
        <v>0.221803</v>
      </c>
      <c r="AH171" s="38">
        <f>IF(G171&gt;=1,IF(G171&lt;=5,0.06,IF(G171&lt;=10,0.05,IF(G171&lt;=15,0.04,IF(G171&lt;=19,0.03,0)))),0)</f>
        <v>0</v>
      </c>
      <c r="AI171" s="74">
        <f t="shared" si="58"/>
        <v>0.221803</v>
      </c>
      <c r="AJ171" s="81">
        <v>0</v>
      </c>
      <c r="AK171" s="81">
        <v>0</v>
      </c>
      <c r="AL171" s="11">
        <f t="shared" si="59"/>
        <v>0</v>
      </c>
      <c r="AM171" s="83">
        <v>34</v>
      </c>
      <c r="AN171" s="84">
        <v>4</v>
      </c>
      <c r="AO171" s="11">
        <f t="shared" si="60"/>
        <v>13600</v>
      </c>
      <c r="AP171" s="11">
        <f>ROUND(Y171*AI171*$AP$21,0)</f>
        <v>208925</v>
      </c>
      <c r="AQ171" s="11">
        <f t="shared" si="61"/>
        <v>222525</v>
      </c>
      <c r="AR171" s="35">
        <v>237166</v>
      </c>
      <c r="AS171" s="11">
        <f t="shared" si="62"/>
        <v>14641</v>
      </c>
      <c r="AT171" s="72" t="str">
        <f t="shared" si="63"/>
        <v>No</v>
      </c>
      <c r="AU171" s="77">
        <v>211728</v>
      </c>
      <c r="AV171" s="35">
        <f t="shared" si="64"/>
        <v>0</v>
      </c>
      <c r="AW171" s="35">
        <f t="shared" si="48"/>
        <v>211728</v>
      </c>
      <c r="AX171" s="35">
        <f>IF(C171=1,MAX(AW171,AR171),AW171)</f>
        <v>211728</v>
      </c>
      <c r="AY171" s="66"/>
      <c r="AZ171" s="67"/>
      <c r="BA171" s="35"/>
      <c r="BB171" s="68"/>
      <c r="BC171" s="35"/>
      <c r="BD171" s="21"/>
      <c r="BF171" s="21"/>
      <c r="BG171" s="21"/>
      <c r="BK171" s="21"/>
      <c r="BL171" s="21"/>
      <c r="BM171" s="21"/>
      <c r="BN171" s="21"/>
      <c r="BO171" s="21"/>
    </row>
    <row r="172" spans="1:67" ht="14.35" x14ac:dyDescent="0.5">
      <c r="A172" s="8" t="s">
        <v>115</v>
      </c>
      <c r="B172" s="8"/>
      <c r="C172" s="25">
        <v>1</v>
      </c>
      <c r="D172" s="25">
        <v>1</v>
      </c>
      <c r="E172" s="25"/>
      <c r="F172" s="1">
        <v>9</v>
      </c>
      <c r="G172" s="79">
        <v>19</v>
      </c>
      <c r="H172" s="8">
        <v>146</v>
      </c>
      <c r="I172" s="3" t="s">
        <v>254</v>
      </c>
      <c r="J172" s="70"/>
      <c r="K172" s="76">
        <v>3254.16</v>
      </c>
      <c r="L172" s="79"/>
      <c r="M172" s="77">
        <v>1797</v>
      </c>
      <c r="N172" s="76">
        <f t="shared" si="49"/>
        <v>539.1</v>
      </c>
      <c r="O172" s="76">
        <f t="shared" si="50"/>
        <v>1952.5</v>
      </c>
      <c r="P172" s="76">
        <f t="shared" si="51"/>
        <v>0</v>
      </c>
      <c r="Q172" s="76">
        <f t="shared" si="52"/>
        <v>0</v>
      </c>
      <c r="R172" s="65">
        <f t="shared" si="53"/>
        <v>0.55000000000000004</v>
      </c>
      <c r="S172" s="65">
        <f>IF(R172&gt;0.6,+R172-0.6,0)</f>
        <v>0</v>
      </c>
      <c r="T172" s="34">
        <f>ROUND(S172*K172,2)</f>
        <v>0</v>
      </c>
      <c r="U172" s="34">
        <f t="shared" si="54"/>
        <v>0</v>
      </c>
      <c r="V172" s="77">
        <v>126</v>
      </c>
      <c r="W172" s="76">
        <f t="shared" si="55"/>
        <v>31.5</v>
      </c>
      <c r="X172" s="36">
        <f>ROUND(M172*$X$2,2)</f>
        <v>539.1</v>
      </c>
      <c r="Y172" s="9">
        <f t="shared" si="56"/>
        <v>3824.7599999999998</v>
      </c>
      <c r="Z172" s="76">
        <v>2787214755.3299999</v>
      </c>
      <c r="AA172" s="77">
        <v>29157</v>
      </c>
      <c r="AB172" s="17">
        <f t="shared" si="45"/>
        <v>95593.33</v>
      </c>
      <c r="AC172" s="37">
        <f t="shared" si="46"/>
        <v>0.49652000000000002</v>
      </c>
      <c r="AD172" s="77">
        <v>62566</v>
      </c>
      <c r="AE172" s="37">
        <f t="shared" si="47"/>
        <v>0.51924499999999996</v>
      </c>
      <c r="AF172" s="37">
        <f t="shared" si="65"/>
        <v>0.49666300000000002</v>
      </c>
      <c r="AG172" s="71">
        <f t="shared" si="57"/>
        <v>0.49666300000000002</v>
      </c>
      <c r="AH172" s="38">
        <f>IF(G172&gt;=1,IF(G172&lt;=5,0.06,IF(G172&lt;=10,0.05,IF(G172&lt;=15,0.04,IF(G172&lt;=19,0.03,0)))),0)</f>
        <v>0.03</v>
      </c>
      <c r="AI172" s="74">
        <f t="shared" si="58"/>
        <v>0.52666299999999999</v>
      </c>
      <c r="AJ172" s="77">
        <v>0</v>
      </c>
      <c r="AK172" s="77">
        <v>0</v>
      </c>
      <c r="AL172" s="11">
        <f t="shared" si="59"/>
        <v>0</v>
      </c>
      <c r="AM172" s="83"/>
      <c r="AN172" s="84"/>
      <c r="AO172" s="11">
        <f t="shared" si="60"/>
        <v>0</v>
      </c>
      <c r="AP172" s="11">
        <f>ROUND(Y172*AI172*$AP$21,0)</f>
        <v>23215494</v>
      </c>
      <c r="AQ172" s="11">
        <f t="shared" si="61"/>
        <v>23215494</v>
      </c>
      <c r="AR172" s="35">
        <v>19250233</v>
      </c>
      <c r="AS172" s="11">
        <f t="shared" si="62"/>
        <v>3965261</v>
      </c>
      <c r="AT172" s="72" t="str">
        <f t="shared" si="63"/>
        <v>Yes</v>
      </c>
      <c r="AU172" s="77">
        <v>20170089</v>
      </c>
      <c r="AV172" s="35">
        <f t="shared" si="64"/>
        <v>422696.82260000001</v>
      </c>
      <c r="AW172" s="35">
        <f t="shared" si="48"/>
        <v>20592785.8226</v>
      </c>
      <c r="AX172" s="35">
        <f>IF(C172=1,MAX(AW172,AR172),AW172)</f>
        <v>20592785.8226</v>
      </c>
      <c r="AY172" s="66"/>
      <c r="AZ172" s="67"/>
      <c r="BA172" s="35"/>
      <c r="BB172" s="68"/>
      <c r="BC172" s="35"/>
      <c r="BD172" s="21"/>
      <c r="BF172" s="21"/>
      <c r="BG172" s="21"/>
      <c r="BK172" s="21"/>
      <c r="BL172" s="21"/>
      <c r="BM172" s="21"/>
      <c r="BN172" s="21"/>
      <c r="BO172" s="21"/>
    </row>
    <row r="173" spans="1:67" ht="14.35" x14ac:dyDescent="0.5">
      <c r="A173" s="8" t="s">
        <v>128</v>
      </c>
      <c r="B173" s="8"/>
      <c r="C173" s="25"/>
      <c r="D173" s="25"/>
      <c r="E173" s="25"/>
      <c r="F173" s="1">
        <v>8</v>
      </c>
      <c r="G173" s="79">
        <v>35</v>
      </c>
      <c r="H173" s="8">
        <v>147</v>
      </c>
      <c r="I173" s="3" t="s">
        <v>255</v>
      </c>
      <c r="J173" s="70"/>
      <c r="K173" s="76">
        <v>317.20999999999998</v>
      </c>
      <c r="L173" s="79"/>
      <c r="M173" s="77">
        <v>85</v>
      </c>
      <c r="N173" s="76">
        <f t="shared" si="49"/>
        <v>25.5</v>
      </c>
      <c r="O173" s="76">
        <f t="shared" si="50"/>
        <v>190.33</v>
      </c>
      <c r="P173" s="76">
        <f t="shared" si="51"/>
        <v>0</v>
      </c>
      <c r="Q173" s="76">
        <f t="shared" si="52"/>
        <v>0</v>
      </c>
      <c r="R173" s="65">
        <f t="shared" si="53"/>
        <v>0.27</v>
      </c>
      <c r="S173" s="65">
        <f>IF(R173&gt;0.6,+R173-0.6,0)</f>
        <v>0</v>
      </c>
      <c r="T173" s="34">
        <f>ROUND(S173*K173,2)</f>
        <v>0</v>
      </c>
      <c r="U173" s="34">
        <f t="shared" si="54"/>
        <v>0</v>
      </c>
      <c r="V173" s="77">
        <v>0</v>
      </c>
      <c r="W173" s="76">
        <f t="shared" si="55"/>
        <v>0</v>
      </c>
      <c r="X173" s="36">
        <f>ROUND(M173*$X$2,2)</f>
        <v>25.5</v>
      </c>
      <c r="Y173" s="9">
        <f t="shared" si="56"/>
        <v>342.71</v>
      </c>
      <c r="Z173" s="76">
        <v>313503038.32999998</v>
      </c>
      <c r="AA173" s="77">
        <v>2559</v>
      </c>
      <c r="AB173" s="17">
        <f t="shared" si="45"/>
        <v>122509.98</v>
      </c>
      <c r="AC173" s="37">
        <f t="shared" si="46"/>
        <v>0.63632699999999998</v>
      </c>
      <c r="AD173" s="77">
        <v>75673</v>
      </c>
      <c r="AE173" s="37">
        <f t="shared" si="47"/>
        <v>0.62802199999999997</v>
      </c>
      <c r="AF173" s="37">
        <f t="shared" si="65"/>
        <v>0.36616500000000002</v>
      </c>
      <c r="AG173" s="71">
        <f t="shared" si="57"/>
        <v>0.36616500000000002</v>
      </c>
      <c r="AH173" s="38">
        <f>IF(G173&gt;=1,IF(G173&lt;=5,0.06,IF(G173&lt;=10,0.05,IF(G173&lt;=15,0.04,IF(G173&lt;=19,0.03,0)))),0)</f>
        <v>0</v>
      </c>
      <c r="AI173" s="74">
        <f t="shared" si="58"/>
        <v>0.36616500000000002</v>
      </c>
      <c r="AJ173" s="81">
        <v>0</v>
      </c>
      <c r="AK173" s="81">
        <v>0</v>
      </c>
      <c r="AL173" s="11">
        <f t="shared" si="59"/>
        <v>0</v>
      </c>
      <c r="AM173" s="83">
        <v>52</v>
      </c>
      <c r="AN173" s="84">
        <v>4</v>
      </c>
      <c r="AO173" s="11">
        <f t="shared" si="60"/>
        <v>20800</v>
      </c>
      <c r="AP173" s="11">
        <f>ROUND(Y173*AI173*$AP$21,0)</f>
        <v>1446254</v>
      </c>
      <c r="AQ173" s="11">
        <f t="shared" si="61"/>
        <v>1467054</v>
      </c>
      <c r="AR173" s="35">
        <v>2502621</v>
      </c>
      <c r="AS173" s="11">
        <f t="shared" si="62"/>
        <v>1035567</v>
      </c>
      <c r="AT173" s="72" t="str">
        <f t="shared" si="63"/>
        <v>No</v>
      </c>
      <c r="AU173" s="77">
        <v>2117243</v>
      </c>
      <c r="AV173" s="35">
        <f t="shared" si="64"/>
        <v>0</v>
      </c>
      <c r="AW173" s="35">
        <f t="shared" si="48"/>
        <v>2117243</v>
      </c>
      <c r="AX173" s="35">
        <f>IF(C173=1,MAX(AW173,AR173),AW173)</f>
        <v>2117243</v>
      </c>
      <c r="AY173" s="66"/>
      <c r="AZ173" s="67"/>
      <c r="BA173" s="35"/>
      <c r="BB173" s="68"/>
      <c r="BC173" s="35"/>
      <c r="BD173" s="21"/>
      <c r="BF173" s="21"/>
      <c r="BG173" s="21"/>
      <c r="BK173" s="21"/>
      <c r="BL173" s="21"/>
      <c r="BM173" s="21"/>
      <c r="BN173" s="21"/>
      <c r="BO173" s="21"/>
    </row>
    <row r="174" spans="1:67" ht="14.35" x14ac:dyDescent="0.5">
      <c r="A174" s="8" t="s">
        <v>110</v>
      </c>
      <c r="B174" s="8"/>
      <c r="C174" s="25"/>
      <c r="D174" s="25"/>
      <c r="E174" s="25"/>
      <c r="F174" s="1">
        <v>6</v>
      </c>
      <c r="G174" s="78">
        <v>86</v>
      </c>
      <c r="H174" s="8">
        <v>148</v>
      </c>
      <c r="I174" s="3" t="s">
        <v>256</v>
      </c>
      <c r="J174" s="70"/>
      <c r="K174" s="76">
        <v>5424.67</v>
      </c>
      <c r="L174" s="78"/>
      <c r="M174" s="77">
        <v>1773</v>
      </c>
      <c r="N174" s="76">
        <f t="shared" si="49"/>
        <v>531.9</v>
      </c>
      <c r="O174" s="76">
        <f t="shared" si="50"/>
        <v>3254.8</v>
      </c>
      <c r="P174" s="76">
        <f t="shared" si="51"/>
        <v>0</v>
      </c>
      <c r="Q174" s="76">
        <f t="shared" si="52"/>
        <v>0</v>
      </c>
      <c r="R174" s="65">
        <f t="shared" si="53"/>
        <v>0.33</v>
      </c>
      <c r="S174" s="65">
        <f>IF(R174&gt;0.6,+R174-0.6,0)</f>
        <v>0</v>
      </c>
      <c r="T174" s="34">
        <f>ROUND(S174*K174,2)</f>
        <v>0</v>
      </c>
      <c r="U174" s="34">
        <f t="shared" si="54"/>
        <v>0</v>
      </c>
      <c r="V174" s="77">
        <v>326</v>
      </c>
      <c r="W174" s="76">
        <f t="shared" si="55"/>
        <v>81.5</v>
      </c>
      <c r="X174" s="36">
        <f>ROUND(M174*$X$2,2)</f>
        <v>531.9</v>
      </c>
      <c r="Y174" s="9">
        <f t="shared" si="56"/>
        <v>6038.07</v>
      </c>
      <c r="Z174" s="76">
        <v>6344589339</v>
      </c>
      <c r="AA174" s="77">
        <v>44771</v>
      </c>
      <c r="AB174" s="17">
        <f t="shared" si="45"/>
        <v>141712.03</v>
      </c>
      <c r="AC174" s="37">
        <f t="shared" si="46"/>
        <v>0.73606400000000005</v>
      </c>
      <c r="AD174" s="77">
        <v>79420</v>
      </c>
      <c r="AE174" s="37">
        <f t="shared" si="47"/>
        <v>0.65911900000000001</v>
      </c>
      <c r="AF174" s="37">
        <f t="shared" si="65"/>
        <v>0.28702</v>
      </c>
      <c r="AG174" s="71">
        <f t="shared" si="57"/>
        <v>0.28702</v>
      </c>
      <c r="AH174" s="38">
        <f>IF(G174&gt;=1,IF(G174&lt;=5,0.06,IF(G174&lt;=10,0.05,IF(G174&lt;=15,0.04,IF(G174&lt;=19,0.03,0)))),0)</f>
        <v>0</v>
      </c>
      <c r="AI174" s="74">
        <f t="shared" si="58"/>
        <v>0.28702</v>
      </c>
      <c r="AJ174" s="77">
        <v>0</v>
      </c>
      <c r="AK174" s="77">
        <v>0</v>
      </c>
      <c r="AL174" s="11">
        <f t="shared" si="59"/>
        <v>0</v>
      </c>
      <c r="AM174" s="83"/>
      <c r="AN174" s="84"/>
      <c r="AO174" s="11">
        <f t="shared" si="60"/>
        <v>0</v>
      </c>
      <c r="AP174" s="11">
        <f>ROUND(Y174*AI174*$AP$21,0)</f>
        <v>19973365</v>
      </c>
      <c r="AQ174" s="11">
        <f t="shared" si="61"/>
        <v>19973365</v>
      </c>
      <c r="AR174" s="35">
        <v>21301522</v>
      </c>
      <c r="AS174" s="11">
        <f t="shared" si="62"/>
        <v>1328157</v>
      </c>
      <c r="AT174" s="72" t="str">
        <f t="shared" si="63"/>
        <v>No</v>
      </c>
      <c r="AU174" s="77">
        <v>20855570</v>
      </c>
      <c r="AV174" s="35">
        <f t="shared" si="64"/>
        <v>0</v>
      </c>
      <c r="AW174" s="35">
        <f t="shared" si="48"/>
        <v>20855570</v>
      </c>
      <c r="AX174" s="35">
        <f>IF(C174=1,MAX(AW174,AR174),AW174)</f>
        <v>20855570</v>
      </c>
      <c r="AY174" s="66"/>
      <c r="AZ174" s="67"/>
      <c r="BA174" s="35"/>
      <c r="BB174" s="68"/>
      <c r="BC174" s="35"/>
      <c r="BD174" s="21"/>
      <c r="BF174" s="21"/>
      <c r="BG174" s="21"/>
      <c r="BK174" s="21"/>
      <c r="BL174" s="21"/>
      <c r="BM174" s="21"/>
      <c r="BN174" s="21"/>
      <c r="BO174" s="21"/>
    </row>
    <row r="175" spans="1:67" ht="14.35" x14ac:dyDescent="0.5">
      <c r="A175" s="8" t="s">
        <v>104</v>
      </c>
      <c r="B175" s="8"/>
      <c r="C175" s="25"/>
      <c r="D175" s="25"/>
      <c r="E175" s="25"/>
      <c r="F175" s="1">
        <v>1</v>
      </c>
      <c r="G175" s="78">
        <v>157</v>
      </c>
      <c r="H175" s="8">
        <v>149</v>
      </c>
      <c r="I175" s="3" t="s">
        <v>257</v>
      </c>
      <c r="J175" s="70"/>
      <c r="K175" s="76">
        <v>119.38</v>
      </c>
      <c r="L175" s="78"/>
      <c r="M175" s="77">
        <v>27</v>
      </c>
      <c r="N175" s="76">
        <f t="shared" si="49"/>
        <v>8.1</v>
      </c>
      <c r="O175" s="76">
        <f t="shared" si="50"/>
        <v>71.63</v>
      </c>
      <c r="P175" s="76">
        <f t="shared" si="51"/>
        <v>0</v>
      </c>
      <c r="Q175" s="76">
        <f t="shared" si="52"/>
        <v>0</v>
      </c>
      <c r="R175" s="65">
        <f t="shared" si="53"/>
        <v>0.23</v>
      </c>
      <c r="S175" s="65">
        <f>IF(R175&gt;0.6,+R175-0.6,0)</f>
        <v>0</v>
      </c>
      <c r="T175" s="34">
        <f>ROUND(S175*K175,2)</f>
        <v>0</v>
      </c>
      <c r="U175" s="34">
        <f t="shared" si="54"/>
        <v>0</v>
      </c>
      <c r="V175" s="77">
        <v>0</v>
      </c>
      <c r="W175" s="76">
        <f t="shared" si="55"/>
        <v>0</v>
      </c>
      <c r="X175" s="36">
        <f>ROUND(M175*$X$2,2)</f>
        <v>8.1</v>
      </c>
      <c r="Y175" s="9">
        <f t="shared" si="56"/>
        <v>127.47999999999999</v>
      </c>
      <c r="Z175" s="76">
        <v>557946419</v>
      </c>
      <c r="AA175" s="77">
        <v>1432</v>
      </c>
      <c r="AB175" s="17">
        <f t="shared" si="45"/>
        <v>389627.39</v>
      </c>
      <c r="AC175" s="37">
        <f t="shared" si="46"/>
        <v>2.0237569999999998</v>
      </c>
      <c r="AD175" s="77">
        <v>107813</v>
      </c>
      <c r="AE175" s="37">
        <f t="shared" si="47"/>
        <v>0.894756</v>
      </c>
      <c r="AF175" s="37">
        <f t="shared" si="65"/>
        <v>-0.68505700000000003</v>
      </c>
      <c r="AG175" s="71">
        <f t="shared" si="57"/>
        <v>0.01</v>
      </c>
      <c r="AH175" s="38">
        <f>IF(G175&gt;=1,IF(G175&lt;=5,0.06,IF(G175&lt;=10,0.05,IF(G175&lt;=15,0.04,IF(G175&lt;=19,0.03,0)))),0)</f>
        <v>0</v>
      </c>
      <c r="AI175" s="74">
        <f t="shared" si="58"/>
        <v>0.01</v>
      </c>
      <c r="AJ175" s="77">
        <v>121</v>
      </c>
      <c r="AK175" s="77">
        <v>13</v>
      </c>
      <c r="AL175" s="11">
        <f t="shared" si="59"/>
        <v>157300</v>
      </c>
      <c r="AM175" s="83"/>
      <c r="AN175" s="84"/>
      <c r="AO175" s="11">
        <f t="shared" si="60"/>
        <v>0</v>
      </c>
      <c r="AP175" s="11">
        <f>ROUND(Y175*AI175*$AP$21,0)</f>
        <v>14692</v>
      </c>
      <c r="AQ175" s="11">
        <f t="shared" si="61"/>
        <v>171992</v>
      </c>
      <c r="AR175" s="35">
        <v>33205</v>
      </c>
      <c r="AS175" s="11">
        <f t="shared" si="62"/>
        <v>138787</v>
      </c>
      <c r="AT175" s="72" t="str">
        <f t="shared" si="63"/>
        <v>Yes</v>
      </c>
      <c r="AU175" s="77">
        <v>32115</v>
      </c>
      <c r="AV175" s="35">
        <f t="shared" si="64"/>
        <v>14794.6942</v>
      </c>
      <c r="AW175" s="35">
        <f t="shared" si="48"/>
        <v>46909.694199999998</v>
      </c>
      <c r="AX175" s="35">
        <f>IF(C175=1,MAX(AW175,AR175),AW175)</f>
        <v>46909.694199999998</v>
      </c>
      <c r="AY175" s="66"/>
      <c r="AZ175" s="67"/>
      <c r="BA175" s="35"/>
      <c r="BB175" s="68"/>
      <c r="BC175" s="35"/>
      <c r="BD175" s="21"/>
      <c r="BF175" s="21"/>
      <c r="BG175" s="21"/>
      <c r="BK175" s="21"/>
      <c r="BL175" s="21"/>
      <c r="BM175" s="21"/>
      <c r="BN175" s="21"/>
      <c r="BO175" s="21"/>
    </row>
    <row r="176" spans="1:67" ht="14.35" x14ac:dyDescent="0.5">
      <c r="A176" s="8" t="s">
        <v>100</v>
      </c>
      <c r="B176" s="8"/>
      <c r="C176" s="25"/>
      <c r="D176" s="25"/>
      <c r="E176" s="25"/>
      <c r="F176" s="1">
        <v>1</v>
      </c>
      <c r="G176" s="78">
        <v>164</v>
      </c>
      <c r="H176" s="8">
        <v>150</v>
      </c>
      <c r="I176" s="3" t="s">
        <v>258</v>
      </c>
      <c r="J176" s="70"/>
      <c r="K176" s="76">
        <v>257</v>
      </c>
      <c r="L176" s="78"/>
      <c r="M176" s="77">
        <v>75</v>
      </c>
      <c r="N176" s="76">
        <f t="shared" si="49"/>
        <v>22.5</v>
      </c>
      <c r="O176" s="76">
        <f t="shared" si="50"/>
        <v>154.19999999999999</v>
      </c>
      <c r="P176" s="76">
        <f t="shared" si="51"/>
        <v>0</v>
      </c>
      <c r="Q176" s="76">
        <f t="shared" si="52"/>
        <v>0</v>
      </c>
      <c r="R176" s="65">
        <f t="shared" si="53"/>
        <v>0.28999999999999998</v>
      </c>
      <c r="S176" s="65">
        <f>IF(R176&gt;0.6,+R176-0.6,0)</f>
        <v>0</v>
      </c>
      <c r="T176" s="34">
        <f>ROUND(S176*K176,2)</f>
        <v>0</v>
      </c>
      <c r="U176" s="34">
        <f t="shared" si="54"/>
        <v>0</v>
      </c>
      <c r="V176" s="77">
        <v>3</v>
      </c>
      <c r="W176" s="76">
        <f t="shared" si="55"/>
        <v>0.75</v>
      </c>
      <c r="X176" s="36">
        <f>ROUND(M176*$X$2,2)</f>
        <v>22.5</v>
      </c>
      <c r="Y176" s="9">
        <f t="shared" si="56"/>
        <v>280.25</v>
      </c>
      <c r="Z176" s="76">
        <v>1671128539.6700001</v>
      </c>
      <c r="AA176" s="77">
        <v>3472</v>
      </c>
      <c r="AB176" s="17">
        <f t="shared" si="45"/>
        <v>481315.82</v>
      </c>
      <c r="AC176" s="37">
        <f t="shared" si="46"/>
        <v>2.499994</v>
      </c>
      <c r="AD176" s="77">
        <v>97604</v>
      </c>
      <c r="AE176" s="37">
        <f t="shared" si="47"/>
        <v>0.81003000000000003</v>
      </c>
      <c r="AF176" s="37">
        <f t="shared" si="65"/>
        <v>-0.99300500000000003</v>
      </c>
      <c r="AG176" s="71">
        <f t="shared" si="57"/>
        <v>0.01</v>
      </c>
      <c r="AH176" s="38">
        <f>IF(G176&gt;=1,IF(G176&lt;=5,0.06,IF(G176&lt;=10,0.05,IF(G176&lt;=15,0.04,IF(G176&lt;=19,0.03,0)))),0)</f>
        <v>0</v>
      </c>
      <c r="AI176" s="74">
        <f t="shared" si="58"/>
        <v>0.01</v>
      </c>
      <c r="AJ176" s="77">
        <v>257</v>
      </c>
      <c r="AK176" s="77">
        <v>13</v>
      </c>
      <c r="AL176" s="11">
        <f t="shared" si="59"/>
        <v>334100</v>
      </c>
      <c r="AM176" s="83"/>
      <c r="AN176" s="84"/>
      <c r="AO176" s="11">
        <f t="shared" si="60"/>
        <v>0</v>
      </c>
      <c r="AP176" s="11">
        <f>ROUND(Y176*AI176*$AP$21,0)</f>
        <v>32299</v>
      </c>
      <c r="AQ176" s="11">
        <f t="shared" si="61"/>
        <v>366399</v>
      </c>
      <c r="AR176" s="35">
        <v>50646</v>
      </c>
      <c r="AS176" s="11">
        <f t="shared" si="62"/>
        <v>315753</v>
      </c>
      <c r="AT176" s="72" t="str">
        <f t="shared" si="63"/>
        <v>Yes</v>
      </c>
      <c r="AU176" s="77">
        <v>53007</v>
      </c>
      <c r="AV176" s="35">
        <f t="shared" si="64"/>
        <v>33659.269800000002</v>
      </c>
      <c r="AW176" s="35">
        <f t="shared" si="48"/>
        <v>86666.269800000009</v>
      </c>
      <c r="AX176" s="35">
        <f>IF(C176=1,MAX(AW176,AR176),AW176)</f>
        <v>86666.269800000009</v>
      </c>
      <c r="AY176" s="66"/>
      <c r="AZ176" s="67"/>
      <c r="BA176" s="35"/>
      <c r="BB176" s="68"/>
      <c r="BC176" s="35"/>
      <c r="BD176" s="21"/>
      <c r="BF176" s="21"/>
      <c r="BG176" s="21"/>
      <c r="BK176" s="21"/>
      <c r="BL176" s="21"/>
      <c r="BM176" s="21"/>
      <c r="BN176" s="21"/>
      <c r="BO176" s="21"/>
    </row>
    <row r="177" spans="1:67" ht="14.35" x14ac:dyDescent="0.5">
      <c r="A177" s="8" t="s">
        <v>120</v>
      </c>
      <c r="B177" s="8">
        <v>1</v>
      </c>
      <c r="C177" s="25">
        <v>1</v>
      </c>
      <c r="D177" s="25">
        <v>0</v>
      </c>
      <c r="E177" s="25">
        <v>1</v>
      </c>
      <c r="F177" s="1">
        <v>10</v>
      </c>
      <c r="G177" s="79">
        <v>2</v>
      </c>
      <c r="H177" s="8">
        <v>151</v>
      </c>
      <c r="I177" s="3" t="s">
        <v>259</v>
      </c>
      <c r="J177" s="70"/>
      <c r="K177" s="76">
        <v>17985.490000000002</v>
      </c>
      <c r="L177" s="79"/>
      <c r="M177" s="77">
        <v>14003</v>
      </c>
      <c r="N177" s="76">
        <f t="shared" si="49"/>
        <v>4200.8999999999996</v>
      </c>
      <c r="O177" s="76">
        <f t="shared" si="50"/>
        <v>10791.29</v>
      </c>
      <c r="P177" s="76">
        <f t="shared" si="51"/>
        <v>3211.7099999999991</v>
      </c>
      <c r="Q177" s="76">
        <f t="shared" si="52"/>
        <v>481.76</v>
      </c>
      <c r="R177" s="65">
        <f t="shared" si="53"/>
        <v>0.78</v>
      </c>
      <c r="S177" s="65">
        <f>IF(R177&gt;0.6,+R177-0.6,0)</f>
        <v>0.18000000000000005</v>
      </c>
      <c r="T177" s="34">
        <f>ROUND(S177*K177,2)</f>
        <v>3237.39</v>
      </c>
      <c r="U177" s="34">
        <f t="shared" si="54"/>
        <v>485.61</v>
      </c>
      <c r="V177" s="77">
        <v>2952</v>
      </c>
      <c r="W177" s="76">
        <f t="shared" si="55"/>
        <v>738</v>
      </c>
      <c r="X177" s="36">
        <f>ROUND(M177*$X$2,2)</f>
        <v>4200.8999999999996</v>
      </c>
      <c r="Y177" s="9">
        <f t="shared" si="56"/>
        <v>23406.149999999998</v>
      </c>
      <c r="Z177" s="76">
        <v>6368507559.3299999</v>
      </c>
      <c r="AA177" s="77">
        <v>108672</v>
      </c>
      <c r="AB177" s="17">
        <f t="shared" si="45"/>
        <v>58603.02</v>
      </c>
      <c r="AC177" s="37">
        <f t="shared" si="46"/>
        <v>0.30438900000000002</v>
      </c>
      <c r="AD177" s="77">
        <v>41617</v>
      </c>
      <c r="AE177" s="37">
        <f t="shared" si="47"/>
        <v>0.34538600000000003</v>
      </c>
      <c r="AF177" s="37">
        <f t="shared" si="65"/>
        <v>0.68331200000000003</v>
      </c>
      <c r="AG177" s="71">
        <f t="shared" si="57"/>
        <v>0.68331200000000003</v>
      </c>
      <c r="AH177" s="38">
        <f>IF(G177&gt;=1,IF(G177&lt;=5,0.06,IF(G177&lt;=10,0.05,IF(G177&lt;=15,0.04,IF(G177&lt;=19,0.03,0)))),0)</f>
        <v>0.06</v>
      </c>
      <c r="AI177" s="74">
        <f t="shared" si="58"/>
        <v>0.74331199999999997</v>
      </c>
      <c r="AJ177" s="77">
        <v>0</v>
      </c>
      <c r="AK177" s="77">
        <v>0</v>
      </c>
      <c r="AL177" s="11">
        <f t="shared" si="59"/>
        <v>0</v>
      </c>
      <c r="AM177" s="83"/>
      <c r="AN177" s="84"/>
      <c r="AO177" s="11">
        <f t="shared" si="60"/>
        <v>0</v>
      </c>
      <c r="AP177" s="11">
        <f>ROUND(Y177*AI177*$AP$21,0)</f>
        <v>200512782</v>
      </c>
      <c r="AQ177" s="11">
        <f t="shared" si="61"/>
        <v>200512782</v>
      </c>
      <c r="AR177" s="35">
        <v>133606066</v>
      </c>
      <c r="AS177" s="11">
        <f t="shared" si="62"/>
        <v>66906716</v>
      </c>
      <c r="AT177" s="72" t="str">
        <f t="shared" si="63"/>
        <v>Yes</v>
      </c>
      <c r="AU177" s="77">
        <v>150090541</v>
      </c>
      <c r="AV177" s="35">
        <f t="shared" si="64"/>
        <v>7132255.9255999997</v>
      </c>
      <c r="AW177" s="35">
        <f t="shared" si="48"/>
        <v>157222796.92559999</v>
      </c>
      <c r="AX177" s="35">
        <f>IF(C177=1,MAX(AW177,AR177),AW177)</f>
        <v>157222796.92559999</v>
      </c>
      <c r="AY177" s="66"/>
      <c r="AZ177" s="67"/>
      <c r="BA177" s="35"/>
      <c r="BB177" s="68"/>
      <c r="BC177" s="35"/>
      <c r="BD177" s="21"/>
      <c r="BF177" s="21"/>
      <c r="BG177" s="21"/>
      <c r="BK177" s="21"/>
      <c r="BL177" s="21"/>
      <c r="BM177" s="21"/>
      <c r="BN177" s="21"/>
      <c r="BO177" s="21"/>
    </row>
    <row r="178" spans="1:67" ht="14.35" x14ac:dyDescent="0.5">
      <c r="A178" s="8" t="s">
        <v>110</v>
      </c>
      <c r="B178" s="8"/>
      <c r="C178" s="25"/>
      <c r="D178" s="25"/>
      <c r="E178" s="25"/>
      <c r="F178" s="1">
        <v>2</v>
      </c>
      <c r="G178" s="78">
        <v>68</v>
      </c>
      <c r="H178" s="8">
        <v>152</v>
      </c>
      <c r="I178" s="3" t="s">
        <v>260</v>
      </c>
      <c r="J178" s="70"/>
      <c r="K178" s="76">
        <v>2539.96</v>
      </c>
      <c r="L178" s="78"/>
      <c r="M178" s="77">
        <v>727</v>
      </c>
      <c r="N178" s="76">
        <f t="shared" si="49"/>
        <v>218.1</v>
      </c>
      <c r="O178" s="76">
        <f t="shared" si="50"/>
        <v>1523.98</v>
      </c>
      <c r="P178" s="76">
        <f t="shared" si="51"/>
        <v>0</v>
      </c>
      <c r="Q178" s="76">
        <f t="shared" si="52"/>
        <v>0</v>
      </c>
      <c r="R178" s="65">
        <f t="shared" si="53"/>
        <v>0.28999999999999998</v>
      </c>
      <c r="S178" s="65">
        <f>IF(R178&gt;0.6,+R178-0.6,0)</f>
        <v>0</v>
      </c>
      <c r="T178" s="34">
        <f>ROUND(S178*K178,2)</f>
        <v>0</v>
      </c>
      <c r="U178" s="34">
        <f t="shared" si="54"/>
        <v>0</v>
      </c>
      <c r="V178" s="77">
        <v>70</v>
      </c>
      <c r="W178" s="76">
        <f t="shared" si="55"/>
        <v>17.5</v>
      </c>
      <c r="X178" s="36">
        <f>ROUND(M178*$X$2,2)</f>
        <v>218.1</v>
      </c>
      <c r="Y178" s="9">
        <f t="shared" si="56"/>
        <v>2775.56</v>
      </c>
      <c r="Z178" s="76">
        <v>4950874514.3299999</v>
      </c>
      <c r="AA178" s="77">
        <v>19052</v>
      </c>
      <c r="AB178" s="17">
        <f t="shared" si="45"/>
        <v>259861.14</v>
      </c>
      <c r="AC178" s="37">
        <f t="shared" si="46"/>
        <v>1.3497399999999999</v>
      </c>
      <c r="AD178" s="77">
        <v>85438</v>
      </c>
      <c r="AE178" s="37">
        <f t="shared" si="47"/>
        <v>0.709063</v>
      </c>
      <c r="AF178" s="37">
        <f t="shared" si="65"/>
        <v>-0.15753700000000001</v>
      </c>
      <c r="AG178" s="71">
        <f t="shared" si="57"/>
        <v>0.01</v>
      </c>
      <c r="AH178" s="38">
        <f>IF(G178&gt;=1,IF(G178&lt;=5,0.06,IF(G178&lt;=10,0.05,IF(G178&lt;=15,0.04,IF(G178&lt;=19,0.03,0)))),0)</f>
        <v>0</v>
      </c>
      <c r="AI178" s="74">
        <f t="shared" si="58"/>
        <v>0.01</v>
      </c>
      <c r="AJ178" s="77">
        <v>0</v>
      </c>
      <c r="AK178" s="77">
        <v>0</v>
      </c>
      <c r="AL178" s="11">
        <f t="shared" si="59"/>
        <v>0</v>
      </c>
      <c r="AM178" s="83">
        <v>1</v>
      </c>
      <c r="AN178" s="84">
        <v>4</v>
      </c>
      <c r="AO178" s="11">
        <f t="shared" si="60"/>
        <v>400</v>
      </c>
      <c r="AP178" s="11">
        <f>ROUND(Y178*AI178*$AP$21,0)</f>
        <v>319883</v>
      </c>
      <c r="AQ178" s="11">
        <f t="shared" si="61"/>
        <v>320283</v>
      </c>
      <c r="AR178" s="35">
        <v>321279</v>
      </c>
      <c r="AS178" s="11">
        <f t="shared" si="62"/>
        <v>996</v>
      </c>
      <c r="AT178" s="72" t="str">
        <f t="shared" si="63"/>
        <v>No</v>
      </c>
      <c r="AU178" s="77">
        <v>326444</v>
      </c>
      <c r="AV178" s="35">
        <f t="shared" si="64"/>
        <v>0</v>
      </c>
      <c r="AW178" s="35">
        <f t="shared" si="48"/>
        <v>326444</v>
      </c>
      <c r="AX178" s="35">
        <f>IF(C178=1,MAX(AW178,AR178),AW178)</f>
        <v>326444</v>
      </c>
      <c r="AY178" s="66"/>
      <c r="AZ178" s="67"/>
      <c r="BA178" s="35"/>
      <c r="BB178" s="68"/>
      <c r="BC178" s="35"/>
      <c r="BD178" s="21"/>
      <c r="BF178" s="21"/>
      <c r="BG178" s="21"/>
      <c r="BK178" s="21"/>
      <c r="BL178" s="21"/>
      <c r="BM178" s="21"/>
      <c r="BN178" s="21"/>
      <c r="BO178" s="21"/>
    </row>
    <row r="179" spans="1:67" ht="14.35" x14ac:dyDescent="0.5">
      <c r="A179" s="8" t="s">
        <v>110</v>
      </c>
      <c r="B179" s="8"/>
      <c r="C179" s="25"/>
      <c r="D179" s="25"/>
      <c r="E179" s="25"/>
      <c r="F179" s="1">
        <v>7</v>
      </c>
      <c r="G179" s="78">
        <v>61</v>
      </c>
      <c r="H179" s="8">
        <v>153</v>
      </c>
      <c r="I179" s="3" t="s">
        <v>261</v>
      </c>
      <c r="J179" s="70"/>
      <c r="K179" s="76">
        <v>2687.3</v>
      </c>
      <c r="L179" s="78"/>
      <c r="M179" s="77">
        <v>1011</v>
      </c>
      <c r="N179" s="76">
        <f t="shared" si="49"/>
        <v>303.3</v>
      </c>
      <c r="O179" s="76">
        <f t="shared" si="50"/>
        <v>1612.38</v>
      </c>
      <c r="P179" s="76">
        <f t="shared" si="51"/>
        <v>0</v>
      </c>
      <c r="Q179" s="76">
        <f t="shared" si="52"/>
        <v>0</v>
      </c>
      <c r="R179" s="65">
        <f t="shared" si="53"/>
        <v>0.38</v>
      </c>
      <c r="S179" s="65">
        <f>IF(R179&gt;0.6,+R179-0.6,0)</f>
        <v>0</v>
      </c>
      <c r="T179" s="34">
        <f>ROUND(S179*K179,2)</f>
        <v>0</v>
      </c>
      <c r="U179" s="34">
        <f t="shared" si="54"/>
        <v>0</v>
      </c>
      <c r="V179" s="77">
        <v>111</v>
      </c>
      <c r="W179" s="76">
        <f t="shared" si="55"/>
        <v>27.75</v>
      </c>
      <c r="X179" s="36">
        <f>ROUND(M179*$X$2,2)</f>
        <v>303.3</v>
      </c>
      <c r="Y179" s="9">
        <f t="shared" si="56"/>
        <v>3018.3500000000004</v>
      </c>
      <c r="Z179" s="76">
        <v>2665455080.6700001</v>
      </c>
      <c r="AA179" s="77">
        <v>21832</v>
      </c>
      <c r="AB179" s="17">
        <f t="shared" si="45"/>
        <v>122089.37</v>
      </c>
      <c r="AC179" s="37">
        <f t="shared" si="46"/>
        <v>0.63414199999999998</v>
      </c>
      <c r="AD179" s="77">
        <v>76920</v>
      </c>
      <c r="AE179" s="37">
        <f t="shared" si="47"/>
        <v>0.63837100000000002</v>
      </c>
      <c r="AF179" s="37">
        <f t="shared" si="65"/>
        <v>0.364589</v>
      </c>
      <c r="AG179" s="71">
        <f t="shared" si="57"/>
        <v>0.364589</v>
      </c>
      <c r="AH179" s="38">
        <f>IF(G179&gt;=1,IF(G179&lt;=5,0.06,IF(G179&lt;=10,0.05,IF(G179&lt;=15,0.04,IF(G179&lt;=19,0.03,0)))),0)</f>
        <v>0</v>
      </c>
      <c r="AI179" s="74">
        <f t="shared" si="58"/>
        <v>0.364589</v>
      </c>
      <c r="AJ179" s="77">
        <v>0</v>
      </c>
      <c r="AK179" s="77">
        <v>0</v>
      </c>
      <c r="AL179" s="11">
        <f t="shared" si="59"/>
        <v>0</v>
      </c>
      <c r="AM179" s="83"/>
      <c r="AN179" s="84"/>
      <c r="AO179" s="11">
        <f t="shared" si="60"/>
        <v>0</v>
      </c>
      <c r="AP179" s="11">
        <f>ROUND(Y179*AI179*$AP$21,0)</f>
        <v>12682769</v>
      </c>
      <c r="AQ179" s="11">
        <f t="shared" si="61"/>
        <v>12682769</v>
      </c>
      <c r="AR179" s="35">
        <v>11753175</v>
      </c>
      <c r="AS179" s="11">
        <f t="shared" si="62"/>
        <v>929594</v>
      </c>
      <c r="AT179" s="72" t="str">
        <f t="shared" si="63"/>
        <v>Yes</v>
      </c>
      <c r="AU179" s="77">
        <v>11780186</v>
      </c>
      <c r="AV179" s="35">
        <f t="shared" si="64"/>
        <v>99094.720400000006</v>
      </c>
      <c r="AW179" s="35">
        <f t="shared" si="48"/>
        <v>11879280.7204</v>
      </c>
      <c r="AX179" s="35">
        <f>IF(C179=1,MAX(AW179,AR179),AW179)</f>
        <v>11879280.7204</v>
      </c>
      <c r="AY179" s="66"/>
      <c r="AZ179" s="67"/>
      <c r="BA179" s="35"/>
      <c r="BB179" s="68"/>
      <c r="BC179" s="35"/>
      <c r="BD179" s="21"/>
      <c r="BF179" s="21"/>
      <c r="BG179" s="21"/>
      <c r="BK179" s="21"/>
      <c r="BL179" s="21"/>
      <c r="BM179" s="21"/>
      <c r="BN179" s="21"/>
      <c r="BO179" s="21"/>
    </row>
    <row r="180" spans="1:67" ht="14.35" x14ac:dyDescent="0.5">
      <c r="A180" s="8" t="s">
        <v>104</v>
      </c>
      <c r="B180" s="8"/>
      <c r="C180" s="25"/>
      <c r="D180" s="25"/>
      <c r="E180" s="25"/>
      <c r="F180" s="1">
        <v>2</v>
      </c>
      <c r="G180" s="78">
        <v>142</v>
      </c>
      <c r="H180" s="8">
        <v>154</v>
      </c>
      <c r="I180" s="3" t="s">
        <v>262</v>
      </c>
      <c r="J180" s="70"/>
      <c r="K180" s="76">
        <v>657.95</v>
      </c>
      <c r="L180" s="78"/>
      <c r="M180" s="77">
        <v>242</v>
      </c>
      <c r="N180" s="76">
        <f t="shared" si="49"/>
        <v>72.599999999999994</v>
      </c>
      <c r="O180" s="76">
        <f t="shared" si="50"/>
        <v>394.77</v>
      </c>
      <c r="P180" s="76">
        <f t="shared" si="51"/>
        <v>0</v>
      </c>
      <c r="Q180" s="76">
        <f t="shared" si="52"/>
        <v>0</v>
      </c>
      <c r="R180" s="65">
        <f t="shared" si="53"/>
        <v>0.37</v>
      </c>
      <c r="S180" s="65">
        <f>IF(R180&gt;0.6,+R180-0.6,0)</f>
        <v>0</v>
      </c>
      <c r="T180" s="34">
        <f>ROUND(S180*K180,2)</f>
        <v>0</v>
      </c>
      <c r="U180" s="34">
        <f t="shared" si="54"/>
        <v>0</v>
      </c>
      <c r="V180" s="77">
        <v>73</v>
      </c>
      <c r="W180" s="76">
        <f t="shared" si="55"/>
        <v>18.25</v>
      </c>
      <c r="X180" s="36">
        <f>ROUND(M180*$X$2,2)</f>
        <v>72.599999999999994</v>
      </c>
      <c r="Y180" s="9">
        <f t="shared" si="56"/>
        <v>748.80000000000007</v>
      </c>
      <c r="Z180" s="76">
        <v>1690813537.6700001</v>
      </c>
      <c r="AA180" s="77">
        <v>6904</v>
      </c>
      <c r="AB180" s="17">
        <f t="shared" si="45"/>
        <v>244903.47</v>
      </c>
      <c r="AC180" s="37">
        <f t="shared" si="46"/>
        <v>1.272049</v>
      </c>
      <c r="AD180" s="77">
        <v>89489</v>
      </c>
      <c r="AE180" s="37">
        <f t="shared" si="47"/>
        <v>0.74268299999999998</v>
      </c>
      <c r="AF180" s="37">
        <f t="shared" si="65"/>
        <v>-0.11323900000000001</v>
      </c>
      <c r="AG180" s="71">
        <f t="shared" si="57"/>
        <v>0.01</v>
      </c>
      <c r="AH180" s="38">
        <f>IF(G180&gt;=1,IF(G180&lt;=5,0.06,IF(G180&lt;=10,0.05,IF(G180&lt;=15,0.04,IF(G180&lt;=19,0.03,0)))),0)</f>
        <v>0</v>
      </c>
      <c r="AI180" s="74">
        <f t="shared" si="58"/>
        <v>0.01</v>
      </c>
      <c r="AJ180" s="77">
        <v>0</v>
      </c>
      <c r="AK180" s="77">
        <v>0</v>
      </c>
      <c r="AL180" s="11">
        <f t="shared" si="59"/>
        <v>0</v>
      </c>
      <c r="AM180" s="83"/>
      <c r="AN180" s="84"/>
      <c r="AO180" s="11">
        <f t="shared" si="60"/>
        <v>0</v>
      </c>
      <c r="AP180" s="11">
        <f>ROUND(Y180*AI180*$AP$21,0)</f>
        <v>86299</v>
      </c>
      <c r="AQ180" s="11">
        <f t="shared" si="61"/>
        <v>86299</v>
      </c>
      <c r="AR180" s="35">
        <v>70393</v>
      </c>
      <c r="AS180" s="11">
        <f t="shared" si="62"/>
        <v>15906</v>
      </c>
      <c r="AT180" s="72" t="str">
        <f t="shared" si="63"/>
        <v>Yes</v>
      </c>
      <c r="AU180" s="77">
        <v>74979</v>
      </c>
      <c r="AV180" s="35">
        <f t="shared" si="64"/>
        <v>1695.5796</v>
      </c>
      <c r="AW180" s="35">
        <f t="shared" si="48"/>
        <v>76674.579599999997</v>
      </c>
      <c r="AX180" s="35">
        <f>IF(C180=1,MAX(AW180,AR180),AW180)</f>
        <v>76674.579599999997</v>
      </c>
      <c r="AY180" s="66"/>
      <c r="AZ180" s="67"/>
      <c r="BA180" s="35"/>
      <c r="BB180" s="68"/>
      <c r="BC180" s="35"/>
      <c r="BD180" s="21"/>
      <c r="BF180" s="21"/>
      <c r="BG180" s="21"/>
      <c r="BK180" s="21"/>
      <c r="BL180" s="21"/>
      <c r="BM180" s="21"/>
      <c r="BN180" s="21"/>
      <c r="BO180" s="21"/>
    </row>
    <row r="181" spans="1:67" ht="14.35" x14ac:dyDescent="0.5">
      <c r="A181" s="8" t="s">
        <v>106</v>
      </c>
      <c r="B181" s="8"/>
      <c r="C181" s="25"/>
      <c r="D181" s="25"/>
      <c r="E181" s="25"/>
      <c r="F181" s="1">
        <v>7</v>
      </c>
      <c r="G181" s="78">
        <v>89</v>
      </c>
      <c r="H181" s="8">
        <v>155</v>
      </c>
      <c r="I181" s="3" t="s">
        <v>263</v>
      </c>
      <c r="J181" s="70"/>
      <c r="K181" s="76">
        <v>9329.1200000000008</v>
      </c>
      <c r="L181" s="78"/>
      <c r="M181" s="77">
        <v>2375</v>
      </c>
      <c r="N181" s="76">
        <f t="shared" si="49"/>
        <v>712.5</v>
      </c>
      <c r="O181" s="76">
        <f t="shared" si="50"/>
        <v>5597.47</v>
      </c>
      <c r="P181" s="76">
        <f t="shared" si="51"/>
        <v>0</v>
      </c>
      <c r="Q181" s="76">
        <f t="shared" si="52"/>
        <v>0</v>
      </c>
      <c r="R181" s="65">
        <f t="shared" si="53"/>
        <v>0.25</v>
      </c>
      <c r="S181" s="65">
        <f>IF(R181&gt;0.6,+R181-0.6,0)</f>
        <v>0</v>
      </c>
      <c r="T181" s="34">
        <f>ROUND(S181*K181,2)</f>
        <v>0</v>
      </c>
      <c r="U181" s="34">
        <f t="shared" si="54"/>
        <v>0</v>
      </c>
      <c r="V181" s="77">
        <v>573</v>
      </c>
      <c r="W181" s="76">
        <f t="shared" si="55"/>
        <v>143.25</v>
      </c>
      <c r="X181" s="36">
        <f>ROUND(M181*$X$2,2)</f>
        <v>712.5</v>
      </c>
      <c r="Y181" s="9">
        <f t="shared" si="56"/>
        <v>10184.870000000001</v>
      </c>
      <c r="Z181" s="76">
        <v>9463375467.3299999</v>
      </c>
      <c r="AA181" s="77">
        <v>63127</v>
      </c>
      <c r="AB181" s="17">
        <f t="shared" si="45"/>
        <v>149910.10999999999</v>
      </c>
      <c r="AC181" s="37">
        <f t="shared" si="46"/>
        <v>0.77864500000000003</v>
      </c>
      <c r="AD181" s="77">
        <v>99280</v>
      </c>
      <c r="AE181" s="37">
        <f t="shared" si="47"/>
        <v>0.82394000000000001</v>
      </c>
      <c r="AF181" s="37">
        <f t="shared" si="65"/>
        <v>0.20776700000000001</v>
      </c>
      <c r="AG181" s="71">
        <f t="shared" si="57"/>
        <v>0.20776700000000001</v>
      </c>
      <c r="AH181" s="38">
        <f>IF(G181&gt;=1,IF(G181&lt;=5,0.06,IF(G181&lt;=10,0.05,IF(G181&lt;=15,0.04,IF(G181&lt;=19,0.03,0)))),0)</f>
        <v>0</v>
      </c>
      <c r="AI181" s="74">
        <f t="shared" si="58"/>
        <v>0.20776700000000001</v>
      </c>
      <c r="AJ181" s="77">
        <v>0</v>
      </c>
      <c r="AK181" s="77">
        <v>0</v>
      </c>
      <c r="AL181" s="11">
        <f t="shared" si="59"/>
        <v>0</v>
      </c>
      <c r="AM181" s="83"/>
      <c r="AN181" s="84"/>
      <c r="AO181" s="11">
        <f t="shared" si="60"/>
        <v>0</v>
      </c>
      <c r="AP181" s="11">
        <f>ROUND(Y181*AI181*$AP$21,0)</f>
        <v>24387821</v>
      </c>
      <c r="AQ181" s="11">
        <f t="shared" si="61"/>
        <v>24387821</v>
      </c>
      <c r="AR181" s="35">
        <v>20961352</v>
      </c>
      <c r="AS181" s="11">
        <f t="shared" si="62"/>
        <v>3426469</v>
      </c>
      <c r="AT181" s="72" t="str">
        <f t="shared" si="63"/>
        <v>Yes</v>
      </c>
      <c r="AU181" s="77">
        <v>21880498</v>
      </c>
      <c r="AV181" s="35">
        <f t="shared" si="64"/>
        <v>365261.59539999999</v>
      </c>
      <c r="AW181" s="35">
        <f t="shared" si="48"/>
        <v>22245759.595399998</v>
      </c>
      <c r="AX181" s="35">
        <f>IF(C181=1,MAX(AW181,AR181),AW181)</f>
        <v>22245759.595399998</v>
      </c>
      <c r="AY181" s="66"/>
      <c r="AZ181" s="67"/>
      <c r="BA181" s="35"/>
      <c r="BB181" s="68"/>
      <c r="BC181" s="35"/>
      <c r="BD181" s="21"/>
      <c r="BF181" s="21"/>
      <c r="BG181" s="21"/>
      <c r="BK181" s="21"/>
      <c r="BL181" s="21"/>
      <c r="BM181" s="21"/>
      <c r="BN181" s="21"/>
      <c r="BO181" s="21"/>
    </row>
    <row r="182" spans="1:67" ht="14.35" x14ac:dyDescent="0.5">
      <c r="A182" s="8" t="s">
        <v>102</v>
      </c>
      <c r="B182" s="8"/>
      <c r="C182" s="25">
        <v>1</v>
      </c>
      <c r="D182" s="25">
        <v>1</v>
      </c>
      <c r="E182" s="25"/>
      <c r="F182" s="1">
        <v>10</v>
      </c>
      <c r="G182" s="79">
        <v>14</v>
      </c>
      <c r="H182" s="8">
        <v>156</v>
      </c>
      <c r="I182" s="3" t="s">
        <v>264</v>
      </c>
      <c r="J182" s="70"/>
      <c r="K182" s="76">
        <v>6701.12</v>
      </c>
      <c r="L182" s="79"/>
      <c r="M182" s="77">
        <v>4055</v>
      </c>
      <c r="N182" s="76">
        <f t="shared" si="49"/>
        <v>1216.5</v>
      </c>
      <c r="O182" s="76">
        <f t="shared" si="50"/>
        <v>4020.67</v>
      </c>
      <c r="P182" s="76">
        <f t="shared" si="51"/>
        <v>34.329999999999927</v>
      </c>
      <c r="Q182" s="76">
        <f t="shared" si="52"/>
        <v>5.15</v>
      </c>
      <c r="R182" s="65">
        <f t="shared" si="53"/>
        <v>0.61</v>
      </c>
      <c r="S182" s="65">
        <f>IF(R182&gt;0.6,+R182-0.6,0)</f>
        <v>1.0000000000000009E-2</v>
      </c>
      <c r="T182" s="34">
        <f>ROUND(S182*K182,2)</f>
        <v>67.010000000000005</v>
      </c>
      <c r="U182" s="34">
        <f t="shared" si="54"/>
        <v>10.050000000000001</v>
      </c>
      <c r="V182" s="77">
        <v>948</v>
      </c>
      <c r="W182" s="76">
        <f t="shared" si="55"/>
        <v>237</v>
      </c>
      <c r="X182" s="36">
        <f>ROUND(M182*$X$2,2)</f>
        <v>1216.5</v>
      </c>
      <c r="Y182" s="9">
        <f t="shared" si="56"/>
        <v>8159.7699999999995</v>
      </c>
      <c r="Z182" s="76">
        <v>4192191601.6700001</v>
      </c>
      <c r="AA182" s="77">
        <v>54918</v>
      </c>
      <c r="AB182" s="17">
        <f t="shared" si="45"/>
        <v>76335.47</v>
      </c>
      <c r="AC182" s="37">
        <f t="shared" si="46"/>
        <v>0.39649299999999998</v>
      </c>
      <c r="AD182" s="77">
        <v>58112</v>
      </c>
      <c r="AE182" s="37">
        <f t="shared" si="47"/>
        <v>0.48227999999999999</v>
      </c>
      <c r="AF182" s="37">
        <f t="shared" si="65"/>
        <v>0.57777100000000003</v>
      </c>
      <c r="AG182" s="71">
        <f t="shared" si="57"/>
        <v>0.57777100000000003</v>
      </c>
      <c r="AH182" s="38">
        <f>IF(G182&gt;=1,IF(G182&lt;=5,0.06,IF(G182&lt;=10,0.05,IF(G182&lt;=15,0.04,IF(G182&lt;=19,0.03,0)))),0)</f>
        <v>0.04</v>
      </c>
      <c r="AI182" s="74">
        <f t="shared" si="58"/>
        <v>0.61777100000000007</v>
      </c>
      <c r="AJ182" s="77">
        <v>0</v>
      </c>
      <c r="AK182" s="77">
        <v>0</v>
      </c>
      <c r="AL182" s="11">
        <f t="shared" si="59"/>
        <v>0</v>
      </c>
      <c r="AM182" s="83"/>
      <c r="AN182" s="84"/>
      <c r="AO182" s="11">
        <f t="shared" si="60"/>
        <v>0</v>
      </c>
      <c r="AP182" s="11">
        <f>ROUND(Y182*AI182*$AP$21,0)</f>
        <v>58096018</v>
      </c>
      <c r="AQ182" s="11">
        <f t="shared" si="61"/>
        <v>58096018</v>
      </c>
      <c r="AR182" s="35">
        <v>45140487</v>
      </c>
      <c r="AS182" s="11">
        <f t="shared" si="62"/>
        <v>12955531</v>
      </c>
      <c r="AT182" s="72" t="str">
        <f t="shared" si="63"/>
        <v>Yes</v>
      </c>
      <c r="AU182" s="77">
        <v>48958444</v>
      </c>
      <c r="AV182" s="35">
        <f t="shared" si="64"/>
        <v>1381059.6046</v>
      </c>
      <c r="AW182" s="35">
        <f t="shared" si="48"/>
        <v>50339503.604599997</v>
      </c>
      <c r="AX182" s="35">
        <f>IF(C182=1,MAX(AW182,AR182),AW182)</f>
        <v>50339503.604599997</v>
      </c>
      <c r="AY182" s="66"/>
      <c r="AZ182" s="67"/>
      <c r="BA182" s="35"/>
      <c r="BB182" s="68"/>
      <c r="BC182" s="35"/>
      <c r="BD182" s="21"/>
      <c r="BF182" s="21"/>
      <c r="BG182" s="21"/>
      <c r="BK182" s="21"/>
      <c r="BL182" s="21"/>
      <c r="BM182" s="21"/>
      <c r="BN182" s="21"/>
      <c r="BO182" s="21"/>
    </row>
    <row r="183" spans="1:67" ht="14.35" x14ac:dyDescent="0.5">
      <c r="A183" s="8" t="s">
        <v>142</v>
      </c>
      <c r="B183" s="8"/>
      <c r="C183" s="25"/>
      <c r="D183" s="25"/>
      <c r="E183" s="25"/>
      <c r="F183" s="1">
        <v>1</v>
      </c>
      <c r="G183" s="78">
        <v>161</v>
      </c>
      <c r="H183" s="8">
        <v>157</v>
      </c>
      <c r="I183" s="3" t="s">
        <v>265</v>
      </c>
      <c r="J183" s="70"/>
      <c r="K183" s="76">
        <v>2253.08</v>
      </c>
      <c r="L183" s="78"/>
      <c r="M183" s="77">
        <v>29</v>
      </c>
      <c r="N183" s="76">
        <f t="shared" si="49"/>
        <v>8.6999999999999993</v>
      </c>
      <c r="O183" s="76">
        <f t="shared" si="50"/>
        <v>1351.85</v>
      </c>
      <c r="P183" s="76">
        <f t="shared" si="51"/>
        <v>0</v>
      </c>
      <c r="Q183" s="76">
        <f t="shared" si="52"/>
        <v>0</v>
      </c>
      <c r="R183" s="65">
        <f t="shared" si="53"/>
        <v>0.01</v>
      </c>
      <c r="S183" s="65">
        <f>IF(R183&gt;0.6,+R183-0.6,0)</f>
        <v>0</v>
      </c>
      <c r="T183" s="34">
        <f>ROUND(S183*K183,2)</f>
        <v>0</v>
      </c>
      <c r="U183" s="34">
        <f t="shared" si="54"/>
        <v>0</v>
      </c>
      <c r="V183" s="77">
        <v>14</v>
      </c>
      <c r="W183" s="76">
        <f t="shared" si="55"/>
        <v>3.5</v>
      </c>
      <c r="X183" s="36">
        <f>ROUND(M183*$X$2,2)</f>
        <v>8.6999999999999993</v>
      </c>
      <c r="Y183" s="9">
        <f t="shared" si="56"/>
        <v>2265.2799999999997</v>
      </c>
      <c r="Z183" s="76">
        <v>3338832762.3299999</v>
      </c>
      <c r="AA183" s="77">
        <v>10288</v>
      </c>
      <c r="AB183" s="17">
        <f t="shared" si="45"/>
        <v>324536.62</v>
      </c>
      <c r="AC183" s="37">
        <f t="shared" si="46"/>
        <v>1.68567</v>
      </c>
      <c r="AD183" s="77">
        <v>219083</v>
      </c>
      <c r="AE183" s="37">
        <f t="shared" si="47"/>
        <v>1.818203</v>
      </c>
      <c r="AF183" s="37">
        <f t="shared" si="65"/>
        <v>-0.72543000000000002</v>
      </c>
      <c r="AG183" s="71">
        <f t="shared" si="57"/>
        <v>0.01</v>
      </c>
      <c r="AH183" s="38">
        <f>IF(G183&gt;=1,IF(G183&lt;=5,0.06,IF(G183&lt;=10,0.05,IF(G183&lt;=15,0.04,IF(G183&lt;=19,0.03,0)))),0)</f>
        <v>0</v>
      </c>
      <c r="AI183" s="74">
        <f t="shared" si="58"/>
        <v>0.01</v>
      </c>
      <c r="AJ183" s="77">
        <v>0</v>
      </c>
      <c r="AK183" s="77">
        <v>0</v>
      </c>
      <c r="AL183" s="11">
        <f t="shared" si="59"/>
        <v>0</v>
      </c>
      <c r="AM183" s="83"/>
      <c r="AN183" s="84"/>
      <c r="AO183" s="11">
        <f t="shared" si="60"/>
        <v>0</v>
      </c>
      <c r="AP183" s="11">
        <f>ROUND(Y183*AI183*$AP$21,0)</f>
        <v>261074</v>
      </c>
      <c r="AQ183" s="11">
        <f t="shared" si="61"/>
        <v>261074</v>
      </c>
      <c r="AR183" s="35">
        <v>263431</v>
      </c>
      <c r="AS183" s="11">
        <f t="shared" si="62"/>
        <v>2357</v>
      </c>
      <c r="AT183" s="72" t="str">
        <f t="shared" si="63"/>
        <v>No</v>
      </c>
      <c r="AU183" s="77">
        <v>263792</v>
      </c>
      <c r="AV183" s="35">
        <f t="shared" si="64"/>
        <v>0</v>
      </c>
      <c r="AW183" s="35">
        <f t="shared" si="48"/>
        <v>263792</v>
      </c>
      <c r="AX183" s="35">
        <f>IF(C183=1,MAX(AW183,AR183),AW183)</f>
        <v>263792</v>
      </c>
      <c r="AY183" s="66"/>
      <c r="AZ183" s="67"/>
      <c r="BA183" s="35"/>
      <c r="BB183" s="68"/>
      <c r="BC183" s="35"/>
      <c r="BD183" s="21"/>
      <c r="BF183" s="21"/>
      <c r="BG183" s="21"/>
      <c r="BK183" s="21"/>
      <c r="BL183" s="21"/>
      <c r="BM183" s="21"/>
      <c r="BN183" s="21"/>
      <c r="BO183" s="21"/>
    </row>
    <row r="184" spans="1:67" ht="14.35" x14ac:dyDescent="0.5">
      <c r="A184" s="8" t="s">
        <v>142</v>
      </c>
      <c r="B184" s="8"/>
      <c r="C184" s="25"/>
      <c r="D184" s="25"/>
      <c r="E184" s="25"/>
      <c r="F184" s="1">
        <v>1</v>
      </c>
      <c r="G184" s="78">
        <v>166</v>
      </c>
      <c r="H184" s="8">
        <v>158</v>
      </c>
      <c r="I184" s="3" t="s">
        <v>266</v>
      </c>
      <c r="J184" s="70"/>
      <c r="K184" s="76">
        <v>5275.25</v>
      </c>
      <c r="L184" s="78"/>
      <c r="M184" s="77">
        <v>111</v>
      </c>
      <c r="N184" s="76">
        <f t="shared" si="49"/>
        <v>33.299999999999997</v>
      </c>
      <c r="O184" s="76">
        <f t="shared" si="50"/>
        <v>3165.15</v>
      </c>
      <c r="P184" s="76">
        <f t="shared" si="51"/>
        <v>0</v>
      </c>
      <c r="Q184" s="76">
        <f t="shared" si="52"/>
        <v>0</v>
      </c>
      <c r="R184" s="65">
        <f t="shared" si="53"/>
        <v>0.02</v>
      </c>
      <c r="S184" s="65">
        <f>IF(R184&gt;0.6,+R184-0.6,0)</f>
        <v>0</v>
      </c>
      <c r="T184" s="34">
        <f>ROUND(S184*K184,2)</f>
        <v>0</v>
      </c>
      <c r="U184" s="34">
        <f t="shared" si="54"/>
        <v>0</v>
      </c>
      <c r="V184" s="77">
        <v>50</v>
      </c>
      <c r="W184" s="76">
        <f t="shared" si="55"/>
        <v>12.5</v>
      </c>
      <c r="X184" s="36">
        <f>ROUND(M184*$X$2,2)</f>
        <v>33.299999999999997</v>
      </c>
      <c r="Y184" s="9">
        <f t="shared" si="56"/>
        <v>5321.05</v>
      </c>
      <c r="Z184" s="76">
        <v>16075832968.33</v>
      </c>
      <c r="AA184" s="77">
        <v>27840</v>
      </c>
      <c r="AB184" s="17">
        <f t="shared" si="45"/>
        <v>577436.53</v>
      </c>
      <c r="AC184" s="37">
        <f t="shared" si="46"/>
        <v>2.9992529999999999</v>
      </c>
      <c r="AD184" s="77">
        <v>187988</v>
      </c>
      <c r="AE184" s="37">
        <f t="shared" si="47"/>
        <v>1.560141</v>
      </c>
      <c r="AF184" s="37">
        <f t="shared" si="65"/>
        <v>-1.5675190000000001</v>
      </c>
      <c r="AG184" s="71">
        <f t="shared" si="57"/>
        <v>0.01</v>
      </c>
      <c r="AH184" s="38">
        <f>IF(G184&gt;=1,IF(G184&lt;=5,0.06,IF(G184&lt;=10,0.05,IF(G184&lt;=15,0.04,IF(G184&lt;=19,0.03,0)))),0)</f>
        <v>0</v>
      </c>
      <c r="AI184" s="74">
        <f t="shared" si="58"/>
        <v>0.01</v>
      </c>
      <c r="AJ184" s="77">
        <v>0</v>
      </c>
      <c r="AK184" s="77">
        <v>0</v>
      </c>
      <c r="AL184" s="11">
        <f t="shared" si="59"/>
        <v>0</v>
      </c>
      <c r="AM184" s="83"/>
      <c r="AN184" s="84"/>
      <c r="AO184" s="11">
        <f t="shared" si="60"/>
        <v>0</v>
      </c>
      <c r="AP184" s="11">
        <f>ROUND(Y184*AI184*$AP$21,0)</f>
        <v>613251</v>
      </c>
      <c r="AQ184" s="11">
        <f t="shared" si="61"/>
        <v>613251</v>
      </c>
      <c r="AR184" s="35">
        <v>465334</v>
      </c>
      <c r="AS184" s="11">
        <f t="shared" si="62"/>
        <v>147917</v>
      </c>
      <c r="AT184" s="72" t="str">
        <f t="shared" si="63"/>
        <v>Yes</v>
      </c>
      <c r="AU184" s="77">
        <v>507728</v>
      </c>
      <c r="AV184" s="35">
        <f t="shared" si="64"/>
        <v>15767.9522</v>
      </c>
      <c r="AW184" s="35">
        <f t="shared" si="48"/>
        <v>523495.9522</v>
      </c>
      <c r="AX184" s="35">
        <f>IF(C184=1,MAX(AW184,AR184),AW184)</f>
        <v>523495.9522</v>
      </c>
      <c r="AY184" s="66"/>
      <c r="AZ184" s="67"/>
      <c r="BA184" s="35"/>
      <c r="BB184" s="68"/>
      <c r="BC184" s="35"/>
      <c r="BD184" s="21"/>
      <c r="BF184" s="21"/>
      <c r="BG184" s="21"/>
      <c r="BK184" s="21"/>
      <c r="BL184" s="21"/>
      <c r="BM184" s="21"/>
      <c r="BN184" s="21"/>
      <c r="BO184" s="21"/>
    </row>
    <row r="185" spans="1:67" ht="14.35" x14ac:dyDescent="0.5">
      <c r="A185" s="8" t="s">
        <v>110</v>
      </c>
      <c r="B185" s="8"/>
      <c r="C185" s="25"/>
      <c r="D185" s="25"/>
      <c r="E185" s="25"/>
      <c r="F185" s="1">
        <v>8</v>
      </c>
      <c r="G185" s="80">
        <v>56</v>
      </c>
      <c r="H185" s="8">
        <v>159</v>
      </c>
      <c r="I185" s="3" t="s">
        <v>267</v>
      </c>
      <c r="J185" s="70"/>
      <c r="K185" s="76">
        <v>3751.79</v>
      </c>
      <c r="L185" s="80"/>
      <c r="M185" s="77">
        <v>938</v>
      </c>
      <c r="N185" s="76">
        <f t="shared" si="49"/>
        <v>281.39999999999998</v>
      </c>
      <c r="O185" s="76">
        <f t="shared" si="50"/>
        <v>2251.0700000000002</v>
      </c>
      <c r="P185" s="76">
        <f t="shared" si="51"/>
        <v>0</v>
      </c>
      <c r="Q185" s="76">
        <f t="shared" si="52"/>
        <v>0</v>
      </c>
      <c r="R185" s="65">
        <f t="shared" si="53"/>
        <v>0.25</v>
      </c>
      <c r="S185" s="65">
        <f>IF(R185&gt;0.6,+R185-0.6,0)</f>
        <v>0</v>
      </c>
      <c r="T185" s="34">
        <f>ROUND(S185*K185,2)</f>
        <v>0</v>
      </c>
      <c r="U185" s="34">
        <f t="shared" si="54"/>
        <v>0</v>
      </c>
      <c r="V185" s="77">
        <v>325</v>
      </c>
      <c r="W185" s="76">
        <f t="shared" si="55"/>
        <v>81.25</v>
      </c>
      <c r="X185" s="36">
        <f>ROUND(M185*$X$2,2)</f>
        <v>281.39999999999998</v>
      </c>
      <c r="Y185" s="9">
        <f t="shared" si="56"/>
        <v>4114.4400000000005</v>
      </c>
      <c r="Z185" s="76">
        <v>3363178719.3299999</v>
      </c>
      <c r="AA185" s="77">
        <v>26267</v>
      </c>
      <c r="AB185" s="17">
        <f t="shared" si="45"/>
        <v>128038.17</v>
      </c>
      <c r="AC185" s="37">
        <f t="shared" si="46"/>
        <v>0.66504099999999999</v>
      </c>
      <c r="AD185" s="77">
        <v>83391</v>
      </c>
      <c r="AE185" s="37">
        <f t="shared" si="47"/>
        <v>0.692075</v>
      </c>
      <c r="AF185" s="37">
        <f t="shared" si="65"/>
        <v>0.326849</v>
      </c>
      <c r="AG185" s="71">
        <f t="shared" si="57"/>
        <v>0.326849</v>
      </c>
      <c r="AH185" s="38">
        <f>IF(G185&gt;=1,IF(G185&lt;=5,0.06,IF(G185&lt;=10,0.05,IF(G185&lt;=15,0.04,IF(G185&lt;=19,0.03,0)))),0)</f>
        <v>0</v>
      </c>
      <c r="AI185" s="74">
        <f t="shared" si="58"/>
        <v>0.326849</v>
      </c>
      <c r="AJ185" s="77">
        <v>0</v>
      </c>
      <c r="AK185" s="77">
        <v>0</v>
      </c>
      <c r="AL185" s="11">
        <f t="shared" si="59"/>
        <v>0</v>
      </c>
      <c r="AM185" s="83"/>
      <c r="AN185" s="84"/>
      <c r="AO185" s="11">
        <f t="shared" si="60"/>
        <v>0</v>
      </c>
      <c r="AP185" s="11">
        <f>ROUND(Y185*AI185*$AP$21,0)</f>
        <v>15498827</v>
      </c>
      <c r="AQ185" s="11">
        <f t="shared" si="61"/>
        <v>15498827</v>
      </c>
      <c r="AR185" s="35">
        <v>9348852</v>
      </c>
      <c r="AS185" s="11">
        <f t="shared" si="62"/>
        <v>6149975</v>
      </c>
      <c r="AT185" s="72" t="str">
        <f t="shared" si="63"/>
        <v>Yes</v>
      </c>
      <c r="AU185" s="77">
        <v>10885177</v>
      </c>
      <c r="AV185" s="35">
        <f t="shared" si="64"/>
        <v>655587.33499999996</v>
      </c>
      <c r="AW185" s="35">
        <f t="shared" si="48"/>
        <v>11540764.335000001</v>
      </c>
      <c r="AX185" s="35">
        <f>IF(C185=1,MAX(AW185,AR185),AW185)</f>
        <v>11540764.335000001</v>
      </c>
      <c r="AY185" s="66"/>
      <c r="AZ185" s="67"/>
      <c r="BA185" s="35"/>
      <c r="BB185" s="68"/>
      <c r="BC185" s="35"/>
      <c r="BD185" s="21"/>
      <c r="BF185" s="21"/>
      <c r="BG185" s="21"/>
      <c r="BK185" s="21"/>
      <c r="BL185" s="21"/>
      <c r="BM185" s="21"/>
      <c r="BN185" s="21"/>
      <c r="BO185" s="21"/>
    </row>
    <row r="186" spans="1:67" ht="14.35" x14ac:dyDescent="0.5">
      <c r="A186" s="8" t="s">
        <v>104</v>
      </c>
      <c r="B186" s="8"/>
      <c r="C186" s="25"/>
      <c r="D186" s="25"/>
      <c r="E186" s="25"/>
      <c r="F186" s="1">
        <v>8</v>
      </c>
      <c r="G186" s="78">
        <v>82</v>
      </c>
      <c r="H186" s="8">
        <v>160</v>
      </c>
      <c r="I186" s="3" t="s">
        <v>268</v>
      </c>
      <c r="J186" s="70"/>
      <c r="K186" s="76">
        <v>587.85</v>
      </c>
      <c r="L186" s="78"/>
      <c r="M186" s="77">
        <v>220</v>
      </c>
      <c r="N186" s="76">
        <f t="shared" si="49"/>
        <v>66</v>
      </c>
      <c r="O186" s="76">
        <f t="shared" si="50"/>
        <v>352.71</v>
      </c>
      <c r="P186" s="76">
        <f t="shared" si="51"/>
        <v>0</v>
      </c>
      <c r="Q186" s="76">
        <f t="shared" si="52"/>
        <v>0</v>
      </c>
      <c r="R186" s="65">
        <f t="shared" si="53"/>
        <v>0.37</v>
      </c>
      <c r="S186" s="65">
        <f>IF(R186&gt;0.6,+R186-0.6,0)</f>
        <v>0</v>
      </c>
      <c r="T186" s="34">
        <f>ROUND(S186*K186,2)</f>
        <v>0</v>
      </c>
      <c r="U186" s="34">
        <f t="shared" si="54"/>
        <v>0</v>
      </c>
      <c r="V186" s="77">
        <v>7</v>
      </c>
      <c r="W186" s="76">
        <f t="shared" si="55"/>
        <v>1.75</v>
      </c>
      <c r="X186" s="36">
        <f>ROUND(M186*$X$2,2)</f>
        <v>66</v>
      </c>
      <c r="Y186" s="9">
        <f t="shared" si="56"/>
        <v>655.6</v>
      </c>
      <c r="Z186" s="76">
        <v>640805459.33000004</v>
      </c>
      <c r="AA186" s="77">
        <v>5912</v>
      </c>
      <c r="AB186" s="17">
        <f t="shared" si="45"/>
        <v>108390.64</v>
      </c>
      <c r="AC186" s="37">
        <f t="shared" si="46"/>
        <v>0.56298999999999999</v>
      </c>
      <c r="AD186" s="77">
        <v>74940</v>
      </c>
      <c r="AE186" s="37">
        <f t="shared" si="47"/>
        <v>0.62193799999999999</v>
      </c>
      <c r="AF186" s="37">
        <f t="shared" si="65"/>
        <v>0.41932599999999998</v>
      </c>
      <c r="AG186" s="71">
        <f t="shared" si="57"/>
        <v>0.41932599999999998</v>
      </c>
      <c r="AH186" s="38">
        <f>IF(G186&gt;=1,IF(G186&lt;=5,0.06,IF(G186&lt;=10,0.05,IF(G186&lt;=15,0.04,IF(G186&lt;=19,0.03,0)))),0)</f>
        <v>0</v>
      </c>
      <c r="AI186" s="74">
        <f t="shared" si="58"/>
        <v>0.41932599999999998</v>
      </c>
      <c r="AJ186" s="77">
        <v>179</v>
      </c>
      <c r="AK186" s="77">
        <v>4</v>
      </c>
      <c r="AL186" s="11">
        <f t="shared" si="59"/>
        <v>71600</v>
      </c>
      <c r="AM186" s="83"/>
      <c r="AN186" s="84"/>
      <c r="AO186" s="11">
        <f t="shared" si="60"/>
        <v>0</v>
      </c>
      <c r="AP186" s="11">
        <f>ROUND(Y186*AI186*$AP$21,0)</f>
        <v>3168339</v>
      </c>
      <c r="AQ186" s="11">
        <f t="shared" si="61"/>
        <v>3239939</v>
      </c>
      <c r="AR186" s="35">
        <v>3637161</v>
      </c>
      <c r="AS186" s="11">
        <f t="shared" si="62"/>
        <v>397222</v>
      </c>
      <c r="AT186" s="72" t="str">
        <f t="shared" si="63"/>
        <v>No</v>
      </c>
      <c r="AU186" s="77">
        <v>3456594</v>
      </c>
      <c r="AV186" s="35">
        <f t="shared" si="64"/>
        <v>0</v>
      </c>
      <c r="AW186" s="35">
        <f t="shared" si="48"/>
        <v>3456594</v>
      </c>
      <c r="AX186" s="35">
        <f>IF(C186=1,MAX(AW186,AR186),AW186)</f>
        <v>3456594</v>
      </c>
      <c r="AY186" s="66"/>
      <c r="AZ186" s="67"/>
      <c r="BA186" s="35"/>
      <c r="BB186" s="68"/>
      <c r="BC186" s="35"/>
      <c r="BD186" s="21"/>
      <c r="BF186" s="21"/>
      <c r="BG186" s="21"/>
      <c r="BK186" s="21"/>
      <c r="BL186" s="21"/>
      <c r="BM186" s="21"/>
      <c r="BN186" s="21"/>
      <c r="BO186" s="21"/>
    </row>
    <row r="187" spans="1:67" ht="14.35" x14ac:dyDescent="0.5">
      <c r="A187" s="8" t="s">
        <v>142</v>
      </c>
      <c r="B187" s="8"/>
      <c r="C187" s="25"/>
      <c r="D187" s="25"/>
      <c r="E187" s="25"/>
      <c r="F187" s="1">
        <v>1</v>
      </c>
      <c r="G187" s="78">
        <v>159</v>
      </c>
      <c r="H187" s="8">
        <v>161</v>
      </c>
      <c r="I187" s="3" t="s">
        <v>269</v>
      </c>
      <c r="J187" s="70"/>
      <c r="K187" s="76">
        <v>3662.64</v>
      </c>
      <c r="L187" s="78"/>
      <c r="M187" s="77">
        <v>179</v>
      </c>
      <c r="N187" s="76">
        <f t="shared" si="49"/>
        <v>53.7</v>
      </c>
      <c r="O187" s="76">
        <f t="shared" si="50"/>
        <v>2197.58</v>
      </c>
      <c r="P187" s="76">
        <f t="shared" si="51"/>
        <v>0</v>
      </c>
      <c r="Q187" s="76">
        <f t="shared" si="52"/>
        <v>0</v>
      </c>
      <c r="R187" s="65">
        <f t="shared" si="53"/>
        <v>0.05</v>
      </c>
      <c r="S187" s="65">
        <f>IF(R187&gt;0.6,+R187-0.6,0)</f>
        <v>0</v>
      </c>
      <c r="T187" s="34">
        <f>ROUND(S187*K187,2)</f>
        <v>0</v>
      </c>
      <c r="U187" s="34">
        <f t="shared" si="54"/>
        <v>0</v>
      </c>
      <c r="V187" s="77">
        <v>29</v>
      </c>
      <c r="W187" s="76">
        <f t="shared" si="55"/>
        <v>7.25</v>
      </c>
      <c r="X187" s="36">
        <f>ROUND(M187*$X$2,2)</f>
        <v>53.7</v>
      </c>
      <c r="Y187" s="9">
        <f t="shared" si="56"/>
        <v>3723.5899999999997</v>
      </c>
      <c r="Z187" s="76">
        <v>6115418357.3299999</v>
      </c>
      <c r="AA187" s="77">
        <v>18542</v>
      </c>
      <c r="AB187" s="17">
        <f t="shared" si="45"/>
        <v>329814.39</v>
      </c>
      <c r="AC187" s="37">
        <f t="shared" si="46"/>
        <v>1.7130829999999999</v>
      </c>
      <c r="AD187" s="77">
        <v>187903</v>
      </c>
      <c r="AE187" s="37">
        <f t="shared" si="47"/>
        <v>1.5594349999999999</v>
      </c>
      <c r="AF187" s="37">
        <f t="shared" si="65"/>
        <v>-0.66698900000000005</v>
      </c>
      <c r="AG187" s="71">
        <f t="shared" si="57"/>
        <v>0.01</v>
      </c>
      <c r="AH187" s="38">
        <f>IF(G187&gt;=1,IF(G187&lt;=5,0.06,IF(G187&lt;=10,0.05,IF(G187&lt;=15,0.04,IF(G187&lt;=19,0.03,0)))),0)</f>
        <v>0</v>
      </c>
      <c r="AI187" s="74">
        <f t="shared" si="58"/>
        <v>0.01</v>
      </c>
      <c r="AJ187" s="77">
        <v>0</v>
      </c>
      <c r="AK187" s="77">
        <v>0</v>
      </c>
      <c r="AL187" s="11">
        <f t="shared" si="59"/>
        <v>0</v>
      </c>
      <c r="AM187" s="83"/>
      <c r="AN187" s="84"/>
      <c r="AO187" s="11">
        <f t="shared" si="60"/>
        <v>0</v>
      </c>
      <c r="AP187" s="11">
        <f>ROUND(Y187*AI187*$AP$21,0)</f>
        <v>429144</v>
      </c>
      <c r="AQ187" s="11">
        <f t="shared" si="61"/>
        <v>429144</v>
      </c>
      <c r="AR187" s="35">
        <v>462941</v>
      </c>
      <c r="AS187" s="11">
        <f t="shared" si="62"/>
        <v>33797</v>
      </c>
      <c r="AT187" s="72" t="str">
        <f t="shared" si="63"/>
        <v>No</v>
      </c>
      <c r="AU187" s="77">
        <v>461796</v>
      </c>
      <c r="AV187" s="35">
        <f t="shared" si="64"/>
        <v>0</v>
      </c>
      <c r="AW187" s="35">
        <f t="shared" si="48"/>
        <v>461796</v>
      </c>
      <c r="AX187" s="35">
        <f>IF(C187=1,MAX(AW187,AR187),AW187)</f>
        <v>461796</v>
      </c>
      <c r="AY187" s="66"/>
      <c r="AZ187" s="67"/>
      <c r="BA187" s="35"/>
      <c r="BB187" s="68"/>
      <c r="BC187" s="35"/>
      <c r="BD187" s="21"/>
      <c r="BF187" s="21"/>
      <c r="BG187" s="21"/>
      <c r="BK187" s="21"/>
      <c r="BL187" s="21"/>
      <c r="BM187" s="21"/>
      <c r="BN187" s="21"/>
      <c r="BO187" s="21"/>
    </row>
    <row r="188" spans="1:67" ht="14.35" x14ac:dyDescent="0.5">
      <c r="A188" s="8" t="s">
        <v>115</v>
      </c>
      <c r="B188" s="8"/>
      <c r="C188" s="25">
        <v>1</v>
      </c>
      <c r="D188" s="25">
        <v>1</v>
      </c>
      <c r="E188" s="25"/>
      <c r="F188" s="1">
        <v>9</v>
      </c>
      <c r="G188" s="79">
        <v>28</v>
      </c>
      <c r="H188" s="8">
        <v>162</v>
      </c>
      <c r="I188" s="3" t="s">
        <v>270</v>
      </c>
      <c r="J188" s="70"/>
      <c r="K188" s="76">
        <v>1067.79</v>
      </c>
      <c r="L188" s="79"/>
      <c r="M188" s="77">
        <v>559</v>
      </c>
      <c r="N188" s="76">
        <f t="shared" si="49"/>
        <v>167.7</v>
      </c>
      <c r="O188" s="76">
        <f t="shared" si="50"/>
        <v>640.66999999999996</v>
      </c>
      <c r="P188" s="76">
        <f t="shared" si="51"/>
        <v>0</v>
      </c>
      <c r="Q188" s="76">
        <f t="shared" si="52"/>
        <v>0</v>
      </c>
      <c r="R188" s="65">
        <f t="shared" si="53"/>
        <v>0.52</v>
      </c>
      <c r="S188" s="65">
        <f>IF(R188&gt;0.6,+R188-0.6,0)</f>
        <v>0</v>
      </c>
      <c r="T188" s="34">
        <f>ROUND(S188*K188,2)</f>
        <v>0</v>
      </c>
      <c r="U188" s="34">
        <f t="shared" si="54"/>
        <v>0</v>
      </c>
      <c r="V188" s="77">
        <v>31</v>
      </c>
      <c r="W188" s="76">
        <f t="shared" si="55"/>
        <v>7.75</v>
      </c>
      <c r="X188" s="36">
        <f>ROUND(M188*$X$2,2)</f>
        <v>167.7</v>
      </c>
      <c r="Y188" s="9">
        <f t="shared" si="56"/>
        <v>1243.24</v>
      </c>
      <c r="Z188" s="76">
        <v>1031961094</v>
      </c>
      <c r="AA188" s="77">
        <v>10798</v>
      </c>
      <c r="AB188" s="17">
        <f t="shared" si="45"/>
        <v>95569.65</v>
      </c>
      <c r="AC188" s="37">
        <f t="shared" si="46"/>
        <v>0.49639699999999998</v>
      </c>
      <c r="AD188" s="77">
        <v>68651</v>
      </c>
      <c r="AE188" s="37">
        <f t="shared" si="47"/>
        <v>0.56974499999999995</v>
      </c>
      <c r="AF188" s="37">
        <f t="shared" si="65"/>
        <v>0.481599</v>
      </c>
      <c r="AG188" s="71">
        <f t="shared" si="57"/>
        <v>0.481599</v>
      </c>
      <c r="AH188" s="38">
        <f>IF(G188&gt;=1,IF(G188&lt;=5,0.06,IF(G188&lt;=10,0.05,IF(G188&lt;=15,0.04,IF(G188&lt;=19,0.03,0)))),0)</f>
        <v>0</v>
      </c>
      <c r="AI188" s="74">
        <f t="shared" si="58"/>
        <v>0.481599</v>
      </c>
      <c r="AJ188" s="81">
        <v>0</v>
      </c>
      <c r="AK188" s="81">
        <v>0</v>
      </c>
      <c r="AL188" s="11">
        <f t="shared" si="59"/>
        <v>0</v>
      </c>
      <c r="AM188" s="83">
        <v>429</v>
      </c>
      <c r="AN188" s="84">
        <v>6</v>
      </c>
      <c r="AO188" s="11">
        <f t="shared" si="60"/>
        <v>257400</v>
      </c>
      <c r="AP188" s="11">
        <f>ROUND(Y188*AI188*$AP$21,0)</f>
        <v>6900515</v>
      </c>
      <c r="AQ188" s="11">
        <f t="shared" si="61"/>
        <v>7157915</v>
      </c>
      <c r="AR188" s="35">
        <v>8024957</v>
      </c>
      <c r="AS188" s="11">
        <f t="shared" si="62"/>
        <v>867042</v>
      </c>
      <c r="AT188" s="72" t="str">
        <f t="shared" si="63"/>
        <v>No</v>
      </c>
      <c r="AU188" s="77">
        <v>8024957</v>
      </c>
      <c r="AV188" s="35">
        <f t="shared" si="64"/>
        <v>0</v>
      </c>
      <c r="AW188" s="35">
        <f t="shared" si="48"/>
        <v>8024957</v>
      </c>
      <c r="AX188" s="35">
        <f>IF(C188=1,MAX(AW188,AR188),AW188)</f>
        <v>8024957</v>
      </c>
      <c r="AY188" s="66"/>
      <c r="AZ188" s="67"/>
      <c r="BA188" s="35"/>
      <c r="BB188" s="68"/>
      <c r="BC188" s="35"/>
      <c r="BD188" s="21"/>
      <c r="BF188" s="21"/>
      <c r="BG188" s="21"/>
      <c r="BK188" s="21"/>
      <c r="BL188" s="21"/>
      <c r="BM188" s="21"/>
      <c r="BN188" s="21"/>
      <c r="BO188" s="21"/>
    </row>
    <row r="189" spans="1:67" ht="14.35" x14ac:dyDescent="0.5">
      <c r="A189" s="8" t="s">
        <v>120</v>
      </c>
      <c r="B189" s="8">
        <v>1</v>
      </c>
      <c r="C189" s="25">
        <v>1</v>
      </c>
      <c r="D189" s="25">
        <v>0</v>
      </c>
      <c r="E189" s="25">
        <v>1</v>
      </c>
      <c r="F189" s="1">
        <v>10</v>
      </c>
      <c r="G189" s="79">
        <v>8</v>
      </c>
      <c r="H189" s="8">
        <v>163</v>
      </c>
      <c r="I189" s="3" t="s">
        <v>271</v>
      </c>
      <c r="J189" s="70"/>
      <c r="K189" s="76">
        <v>3189.92</v>
      </c>
      <c r="L189" s="79"/>
      <c r="M189" s="77">
        <v>2319</v>
      </c>
      <c r="N189" s="76">
        <f t="shared" si="49"/>
        <v>695.7</v>
      </c>
      <c r="O189" s="76">
        <f t="shared" si="50"/>
        <v>1913.95</v>
      </c>
      <c r="P189" s="76">
        <f t="shared" si="51"/>
        <v>405.04999999999995</v>
      </c>
      <c r="Q189" s="76">
        <f t="shared" si="52"/>
        <v>60.76</v>
      </c>
      <c r="R189" s="65">
        <f t="shared" si="53"/>
        <v>0.73</v>
      </c>
      <c r="S189" s="65">
        <f>IF(R189&gt;0.6,+R189-0.6,0)</f>
        <v>0.13</v>
      </c>
      <c r="T189" s="34">
        <f>ROUND(S189*K189,2)</f>
        <v>414.69</v>
      </c>
      <c r="U189" s="34">
        <f t="shared" si="54"/>
        <v>62.2</v>
      </c>
      <c r="V189" s="77">
        <v>965</v>
      </c>
      <c r="W189" s="76">
        <f t="shared" si="55"/>
        <v>241.25</v>
      </c>
      <c r="X189" s="36">
        <f>ROUND(M189*$X$2,2)</f>
        <v>695.7</v>
      </c>
      <c r="Y189" s="9">
        <f t="shared" si="56"/>
        <v>4187.63</v>
      </c>
      <c r="Z189" s="76">
        <v>1355053737</v>
      </c>
      <c r="AA189" s="77">
        <v>24688</v>
      </c>
      <c r="AB189" s="17">
        <f t="shared" si="45"/>
        <v>54887.14</v>
      </c>
      <c r="AC189" s="37">
        <f t="shared" si="46"/>
        <v>0.28508800000000001</v>
      </c>
      <c r="AD189" s="77">
        <v>44091</v>
      </c>
      <c r="AE189" s="37">
        <f t="shared" si="47"/>
        <v>0.36591800000000002</v>
      </c>
      <c r="AF189" s="37">
        <f t="shared" si="65"/>
        <v>0.69066300000000003</v>
      </c>
      <c r="AG189" s="71">
        <f t="shared" si="57"/>
        <v>0.69066300000000003</v>
      </c>
      <c r="AH189" s="38">
        <f>IF(G189&gt;=1,IF(G189&lt;=5,0.06,IF(G189&lt;=10,0.05,IF(G189&lt;=15,0.04,IF(G189&lt;=19,0.03,0)))),0)</f>
        <v>0.05</v>
      </c>
      <c r="AI189" s="74">
        <f t="shared" si="58"/>
        <v>0.74066300000000007</v>
      </c>
      <c r="AJ189" s="77">
        <v>0</v>
      </c>
      <c r="AK189" s="77">
        <v>0</v>
      </c>
      <c r="AL189" s="11">
        <f t="shared" si="59"/>
        <v>0</v>
      </c>
      <c r="AM189" s="83">
        <v>1</v>
      </c>
      <c r="AN189" s="84">
        <v>4</v>
      </c>
      <c r="AO189" s="11">
        <f t="shared" si="60"/>
        <v>400</v>
      </c>
      <c r="AP189" s="11">
        <f>ROUND(Y189*AI189*$AP$21,0)</f>
        <v>35746200</v>
      </c>
      <c r="AQ189" s="11">
        <f t="shared" si="61"/>
        <v>35746600</v>
      </c>
      <c r="AR189" s="35">
        <v>26582071</v>
      </c>
      <c r="AS189" s="11">
        <f t="shared" si="62"/>
        <v>9164529</v>
      </c>
      <c r="AT189" s="72" t="str">
        <f t="shared" si="63"/>
        <v>Yes</v>
      </c>
      <c r="AU189" s="77">
        <v>28962979</v>
      </c>
      <c r="AV189" s="35">
        <f t="shared" si="64"/>
        <v>976938.79139999999</v>
      </c>
      <c r="AW189" s="35">
        <f t="shared" si="48"/>
        <v>29939917.7914</v>
      </c>
      <c r="AX189" s="35">
        <f>IF(C189=1,MAX(AW189,AR189),AW189)</f>
        <v>29939917.7914</v>
      </c>
      <c r="AY189" s="66"/>
      <c r="AZ189" s="67"/>
      <c r="BA189" s="35"/>
      <c r="BB189" s="68"/>
      <c r="BC189" s="35"/>
      <c r="BD189" s="21"/>
      <c r="BF189" s="21"/>
      <c r="BG189" s="21"/>
      <c r="BK189" s="21"/>
      <c r="BL189" s="21"/>
      <c r="BM189" s="21"/>
      <c r="BN189" s="21"/>
      <c r="BO189" s="21"/>
    </row>
    <row r="190" spans="1:67" ht="14.35" x14ac:dyDescent="0.5">
      <c r="A190" s="8" t="s">
        <v>110</v>
      </c>
      <c r="B190" s="8"/>
      <c r="C190" s="25">
        <v>1</v>
      </c>
      <c r="D190" s="25">
        <v>1</v>
      </c>
      <c r="E190" s="25"/>
      <c r="F190" s="1">
        <v>6</v>
      </c>
      <c r="G190" s="79">
        <v>38</v>
      </c>
      <c r="H190" s="8">
        <v>164</v>
      </c>
      <c r="I190" s="3" t="s">
        <v>272</v>
      </c>
      <c r="J190" s="70"/>
      <c r="K190" s="76">
        <v>3883.78</v>
      </c>
      <c r="L190" s="79"/>
      <c r="M190" s="77">
        <v>1754</v>
      </c>
      <c r="N190" s="76">
        <f t="shared" si="49"/>
        <v>526.20000000000005</v>
      </c>
      <c r="O190" s="76">
        <f t="shared" si="50"/>
        <v>2330.27</v>
      </c>
      <c r="P190" s="76">
        <f t="shared" si="51"/>
        <v>0</v>
      </c>
      <c r="Q190" s="76">
        <f t="shared" si="52"/>
        <v>0</v>
      </c>
      <c r="R190" s="65">
        <f t="shared" si="53"/>
        <v>0.45</v>
      </c>
      <c r="S190" s="65">
        <f>IF(R190&gt;0.6,+R190-0.6,0)</f>
        <v>0</v>
      </c>
      <c r="T190" s="34">
        <f>ROUND(S190*K190,2)</f>
        <v>0</v>
      </c>
      <c r="U190" s="34">
        <f t="shared" si="54"/>
        <v>0</v>
      </c>
      <c r="V190" s="77">
        <v>128</v>
      </c>
      <c r="W190" s="76">
        <f t="shared" si="55"/>
        <v>32</v>
      </c>
      <c r="X190" s="36">
        <f>ROUND(M190*$X$2,2)</f>
        <v>526.20000000000005</v>
      </c>
      <c r="Y190" s="9">
        <f t="shared" si="56"/>
        <v>4441.9800000000005</v>
      </c>
      <c r="Z190" s="76">
        <v>4400606620</v>
      </c>
      <c r="AA190" s="77">
        <v>28917</v>
      </c>
      <c r="AB190" s="17">
        <f t="shared" si="45"/>
        <v>152180.60999999999</v>
      </c>
      <c r="AC190" s="37">
        <f t="shared" si="46"/>
        <v>0.790439</v>
      </c>
      <c r="AD190" s="77">
        <v>88986</v>
      </c>
      <c r="AE190" s="37">
        <f t="shared" si="47"/>
        <v>0.73850800000000005</v>
      </c>
      <c r="AF190" s="37">
        <f t="shared" si="65"/>
        <v>0.22514000000000001</v>
      </c>
      <c r="AG190" s="71">
        <f t="shared" si="57"/>
        <v>0.22514000000000001</v>
      </c>
      <c r="AH190" s="38">
        <f>IF(G190&gt;=1,IF(G190&lt;=5,0.06,IF(G190&lt;=10,0.05,IF(G190&lt;=15,0.04,IF(G190&lt;=19,0.03,0)))),0)</f>
        <v>0</v>
      </c>
      <c r="AI190" s="74">
        <f t="shared" si="58"/>
        <v>0.22514000000000001</v>
      </c>
      <c r="AJ190" s="77">
        <v>0</v>
      </c>
      <c r="AK190" s="77">
        <v>0</v>
      </c>
      <c r="AL190" s="11">
        <f t="shared" si="59"/>
        <v>0</v>
      </c>
      <c r="AM190" s="83"/>
      <c r="AN190" s="84"/>
      <c r="AO190" s="11">
        <f t="shared" si="60"/>
        <v>0</v>
      </c>
      <c r="AP190" s="11">
        <f>ROUND(Y190*AI190*$AP$21,0)</f>
        <v>11525777</v>
      </c>
      <c r="AQ190" s="11">
        <f t="shared" si="61"/>
        <v>11525777</v>
      </c>
      <c r="AR190" s="35">
        <v>12130392</v>
      </c>
      <c r="AS190" s="11">
        <f t="shared" si="62"/>
        <v>604615</v>
      </c>
      <c r="AT190" s="72" t="str">
        <f t="shared" si="63"/>
        <v>No</v>
      </c>
      <c r="AU190" s="77">
        <v>12130392</v>
      </c>
      <c r="AV190" s="35">
        <f t="shared" si="64"/>
        <v>0</v>
      </c>
      <c r="AW190" s="35">
        <f t="shared" si="48"/>
        <v>12130392</v>
      </c>
      <c r="AX190" s="35">
        <f>IF(C190=1,MAX(AW190,AR190),AW190)</f>
        <v>12130392</v>
      </c>
      <c r="AY190" s="66"/>
      <c r="AZ190" s="67"/>
      <c r="BA190" s="35"/>
      <c r="BB190" s="68"/>
      <c r="BC190" s="35"/>
      <c r="BD190" s="21"/>
      <c r="BF190" s="21"/>
      <c r="BG190" s="21"/>
      <c r="BK190" s="21"/>
      <c r="BL190" s="21"/>
      <c r="BM190" s="21"/>
      <c r="BN190" s="21"/>
      <c r="BO190" s="21"/>
    </row>
    <row r="191" spans="1:67" ht="14.35" x14ac:dyDescent="0.5">
      <c r="A191" s="8" t="s">
        <v>128</v>
      </c>
      <c r="B191" s="8"/>
      <c r="C191" s="25">
        <v>1</v>
      </c>
      <c r="D191" s="25">
        <v>1</v>
      </c>
      <c r="E191" s="25"/>
      <c r="F191" s="1">
        <v>7</v>
      </c>
      <c r="G191" s="78">
        <v>44</v>
      </c>
      <c r="H191" s="8">
        <v>165</v>
      </c>
      <c r="I191" s="3" t="s">
        <v>273</v>
      </c>
      <c r="J191" s="70"/>
      <c r="K191" s="76">
        <v>1561.69</v>
      </c>
      <c r="L191" s="78"/>
      <c r="M191" s="77">
        <v>602</v>
      </c>
      <c r="N191" s="76">
        <f t="shared" si="49"/>
        <v>180.6</v>
      </c>
      <c r="O191" s="76">
        <f t="shared" si="50"/>
        <v>937.01</v>
      </c>
      <c r="P191" s="76">
        <f t="shared" si="51"/>
        <v>0</v>
      </c>
      <c r="Q191" s="76">
        <f t="shared" si="52"/>
        <v>0</v>
      </c>
      <c r="R191" s="65">
        <f t="shared" si="53"/>
        <v>0.39</v>
      </c>
      <c r="S191" s="65">
        <f>IF(R191&gt;0.6,+R191-0.6,0)</f>
        <v>0</v>
      </c>
      <c r="T191" s="34">
        <f>ROUND(S191*K191,2)</f>
        <v>0</v>
      </c>
      <c r="U191" s="34">
        <f t="shared" si="54"/>
        <v>0</v>
      </c>
      <c r="V191" s="77">
        <v>98</v>
      </c>
      <c r="W191" s="76">
        <f t="shared" si="55"/>
        <v>24.5</v>
      </c>
      <c r="X191" s="36">
        <f>ROUND(M191*$X$2,2)</f>
        <v>180.6</v>
      </c>
      <c r="Y191" s="9">
        <f t="shared" si="56"/>
        <v>1766.79</v>
      </c>
      <c r="Z191" s="76">
        <v>2029578662.3299999</v>
      </c>
      <c r="AA191" s="77">
        <v>12613</v>
      </c>
      <c r="AB191" s="17">
        <f t="shared" si="45"/>
        <v>160911.65</v>
      </c>
      <c r="AC191" s="37">
        <f t="shared" si="46"/>
        <v>0.83578799999999998</v>
      </c>
      <c r="AD191" s="77">
        <v>66846</v>
      </c>
      <c r="AE191" s="37">
        <f t="shared" si="47"/>
        <v>0.55476499999999995</v>
      </c>
      <c r="AF191" s="37">
        <f t="shared" si="65"/>
        <v>0.24851899999999999</v>
      </c>
      <c r="AG191" s="71">
        <f t="shared" si="57"/>
        <v>0.24851899999999999</v>
      </c>
      <c r="AH191" s="38">
        <f>IF(G191&gt;=1,IF(G191&lt;=5,0.06,IF(G191&lt;=10,0.05,IF(G191&lt;=15,0.04,IF(G191&lt;=19,0.03,0)))),0)</f>
        <v>0</v>
      </c>
      <c r="AI191" s="74">
        <f t="shared" si="58"/>
        <v>0.24851899999999999</v>
      </c>
      <c r="AJ191" s="77">
        <v>0</v>
      </c>
      <c r="AK191" s="77">
        <v>0</v>
      </c>
      <c r="AL191" s="11">
        <f t="shared" si="59"/>
        <v>0</v>
      </c>
      <c r="AM191" s="83"/>
      <c r="AN191" s="84"/>
      <c r="AO191" s="11">
        <f t="shared" si="60"/>
        <v>0</v>
      </c>
      <c r="AP191" s="11">
        <f>ROUND(Y191*AI191*$AP$21,0)</f>
        <v>5060407</v>
      </c>
      <c r="AQ191" s="11">
        <f t="shared" si="61"/>
        <v>5060407</v>
      </c>
      <c r="AR191" s="35">
        <v>5167806</v>
      </c>
      <c r="AS191" s="11">
        <f t="shared" si="62"/>
        <v>107399</v>
      </c>
      <c r="AT191" s="72" t="str">
        <f t="shared" si="63"/>
        <v>No</v>
      </c>
      <c r="AU191" s="77">
        <v>5225299</v>
      </c>
      <c r="AV191" s="35">
        <f t="shared" si="64"/>
        <v>0</v>
      </c>
      <c r="AW191" s="35">
        <f t="shared" si="48"/>
        <v>5225299</v>
      </c>
      <c r="AX191" s="35">
        <f>IF(C191=1,MAX(AW191,AR191),AW191)</f>
        <v>5225299</v>
      </c>
      <c r="AY191" s="66"/>
      <c r="AZ191" s="67"/>
      <c r="BA191" s="35"/>
      <c r="BB191" s="68"/>
      <c r="BC191" s="35"/>
      <c r="BD191" s="21"/>
      <c r="BF191" s="21"/>
      <c r="BG191" s="21"/>
      <c r="BK191" s="21"/>
      <c r="BL191" s="21"/>
      <c r="BM191" s="21"/>
      <c r="BN191" s="21"/>
      <c r="BO191" s="21"/>
    </row>
    <row r="192" spans="1:67" ht="15.75" customHeight="1" x14ac:dyDescent="0.5">
      <c r="A192" s="8" t="s">
        <v>128</v>
      </c>
      <c r="B192" s="8"/>
      <c r="C192" s="25"/>
      <c r="D192" s="25"/>
      <c r="E192" s="25"/>
      <c r="F192" s="1">
        <v>7</v>
      </c>
      <c r="G192" s="78">
        <v>53</v>
      </c>
      <c r="H192" s="8">
        <v>166</v>
      </c>
      <c r="I192" s="3" t="s">
        <v>274</v>
      </c>
      <c r="J192" s="70"/>
      <c r="K192" s="76">
        <v>2293.6799999999998</v>
      </c>
      <c r="L192" s="78"/>
      <c r="M192" s="77">
        <v>705</v>
      </c>
      <c r="N192" s="76">
        <f t="shared" si="49"/>
        <v>211.5</v>
      </c>
      <c r="O192" s="76">
        <f t="shared" si="50"/>
        <v>1376.21</v>
      </c>
      <c r="P192" s="76">
        <f t="shared" si="51"/>
        <v>0</v>
      </c>
      <c r="Q192" s="76">
        <f t="shared" si="52"/>
        <v>0</v>
      </c>
      <c r="R192" s="65">
        <f t="shared" si="53"/>
        <v>0.31</v>
      </c>
      <c r="S192" s="65">
        <f>IF(R192&gt;0.6,+R192-0.6,0)</f>
        <v>0</v>
      </c>
      <c r="T192" s="34">
        <f>ROUND(S192*K192,2)</f>
        <v>0</v>
      </c>
      <c r="U192" s="34">
        <f t="shared" si="54"/>
        <v>0</v>
      </c>
      <c r="V192" s="77">
        <v>75</v>
      </c>
      <c r="W192" s="76">
        <f t="shared" si="55"/>
        <v>18.75</v>
      </c>
      <c r="X192" s="36">
        <f>ROUND(M192*$X$2,2)</f>
        <v>211.5</v>
      </c>
      <c r="Y192" s="9">
        <f t="shared" si="56"/>
        <v>2523.9299999999998</v>
      </c>
      <c r="Z192" s="76">
        <v>1811486207</v>
      </c>
      <c r="AA192" s="77">
        <v>16652</v>
      </c>
      <c r="AB192" s="17">
        <f t="shared" si="45"/>
        <v>108784.9</v>
      </c>
      <c r="AC192" s="37">
        <f t="shared" si="46"/>
        <v>0.56503800000000004</v>
      </c>
      <c r="AD192" s="77">
        <v>86786</v>
      </c>
      <c r="AE192" s="37">
        <f t="shared" si="47"/>
        <v>0.72024999999999995</v>
      </c>
      <c r="AF192" s="37">
        <f t="shared" si="65"/>
        <v>0.38839800000000002</v>
      </c>
      <c r="AG192" s="71">
        <f t="shared" si="57"/>
        <v>0.38839800000000002</v>
      </c>
      <c r="AH192" s="38">
        <f>IF(G192&gt;=1,IF(G192&lt;=5,0.06,IF(G192&lt;=10,0.05,IF(G192&lt;=15,0.04,IF(G192&lt;=19,0.03,0)))),0)</f>
        <v>0</v>
      </c>
      <c r="AI192" s="74">
        <f t="shared" si="58"/>
        <v>0.38839800000000002</v>
      </c>
      <c r="AJ192" s="77">
        <v>0</v>
      </c>
      <c r="AK192" s="77">
        <v>0</v>
      </c>
      <c r="AL192" s="11">
        <f t="shared" si="59"/>
        <v>0</v>
      </c>
      <c r="AM192" s="83"/>
      <c r="AN192" s="84"/>
      <c r="AO192" s="11">
        <f t="shared" si="60"/>
        <v>0</v>
      </c>
      <c r="AP192" s="11">
        <f>ROUND(Y192*AI192*$AP$21,0)</f>
        <v>11297835</v>
      </c>
      <c r="AQ192" s="11">
        <f t="shared" si="61"/>
        <v>11297835</v>
      </c>
      <c r="AR192" s="35">
        <v>13423576</v>
      </c>
      <c r="AS192" s="11">
        <f t="shared" si="62"/>
        <v>2125741</v>
      </c>
      <c r="AT192" s="72" t="str">
        <f t="shared" si="63"/>
        <v>No</v>
      </c>
      <c r="AU192" s="77">
        <v>12387171</v>
      </c>
      <c r="AV192" s="35">
        <f t="shared" si="64"/>
        <v>0</v>
      </c>
      <c r="AW192" s="35">
        <f t="shared" si="48"/>
        <v>12387171</v>
      </c>
      <c r="AX192" s="35">
        <f>IF(C192=1,MAX(AW192,AR192),AW192)</f>
        <v>12387171</v>
      </c>
      <c r="AY192" s="66"/>
      <c r="AZ192" s="67"/>
      <c r="BA192" s="35"/>
      <c r="BB192" s="68"/>
      <c r="BC192" s="35"/>
      <c r="BD192" s="21"/>
      <c r="BF192" s="21"/>
      <c r="BG192" s="21"/>
      <c r="BK192" s="21"/>
      <c r="BL192" s="21"/>
      <c r="BM192" s="21"/>
      <c r="BN192" s="21"/>
      <c r="BO192" s="21"/>
    </row>
    <row r="193" spans="1:67" ht="14.35" x14ac:dyDescent="0.5">
      <c r="A193" s="8" t="s">
        <v>106</v>
      </c>
      <c r="B193" s="8"/>
      <c r="C193" s="25"/>
      <c r="D193" s="25"/>
      <c r="E193" s="25"/>
      <c r="F193" s="1">
        <v>2</v>
      </c>
      <c r="G193" s="78">
        <v>127</v>
      </c>
      <c r="H193" s="8">
        <v>167</v>
      </c>
      <c r="I193" s="3" t="s">
        <v>275</v>
      </c>
      <c r="J193" s="70"/>
      <c r="K193" s="76">
        <v>1535.25</v>
      </c>
      <c r="L193" s="78"/>
      <c r="M193" s="77">
        <v>214</v>
      </c>
      <c r="N193" s="76">
        <f t="shared" si="49"/>
        <v>64.2</v>
      </c>
      <c r="O193" s="76">
        <f t="shared" si="50"/>
        <v>921.15</v>
      </c>
      <c r="P193" s="76">
        <f t="shared" si="51"/>
        <v>0</v>
      </c>
      <c r="Q193" s="76">
        <f t="shared" si="52"/>
        <v>0</v>
      </c>
      <c r="R193" s="65">
        <f t="shared" si="53"/>
        <v>0.14000000000000001</v>
      </c>
      <c r="S193" s="65">
        <f>IF(R193&gt;0.6,+R193-0.6,0)</f>
        <v>0</v>
      </c>
      <c r="T193" s="34">
        <f>ROUND(S193*K193,2)</f>
        <v>0</v>
      </c>
      <c r="U193" s="34">
        <f t="shared" si="54"/>
        <v>0</v>
      </c>
      <c r="V193" s="77">
        <v>32</v>
      </c>
      <c r="W193" s="76">
        <f t="shared" si="55"/>
        <v>8</v>
      </c>
      <c r="X193" s="36">
        <f>ROUND(M193*$X$2,2)</f>
        <v>64.2</v>
      </c>
      <c r="Y193" s="9">
        <f t="shared" si="56"/>
        <v>1607.45</v>
      </c>
      <c r="Z193" s="76">
        <v>1671279204.6700001</v>
      </c>
      <c r="AA193" s="77">
        <v>8868</v>
      </c>
      <c r="AB193" s="17">
        <f t="shared" si="45"/>
        <v>188461.8</v>
      </c>
      <c r="AC193" s="37">
        <f t="shared" si="46"/>
        <v>0.97888600000000003</v>
      </c>
      <c r="AD193" s="77">
        <v>142188</v>
      </c>
      <c r="AE193" s="37">
        <f t="shared" si="47"/>
        <v>1.18004</v>
      </c>
      <c r="AF193" s="37">
        <f t="shared" si="65"/>
        <v>-3.9232000000000003E-2</v>
      </c>
      <c r="AG193" s="71">
        <f t="shared" si="57"/>
        <v>0.01</v>
      </c>
      <c r="AH193" s="38">
        <f>IF(G193&gt;=1,IF(G193&lt;=5,0.06,IF(G193&lt;=10,0.05,IF(G193&lt;=15,0.04,IF(G193&lt;=19,0.03,0)))),0)</f>
        <v>0</v>
      </c>
      <c r="AI193" s="74">
        <f t="shared" si="58"/>
        <v>0.01</v>
      </c>
      <c r="AJ193" s="77">
        <v>703</v>
      </c>
      <c r="AK193" s="77">
        <v>6</v>
      </c>
      <c r="AL193" s="11">
        <f t="shared" si="59"/>
        <v>421800</v>
      </c>
      <c r="AM193" s="83"/>
      <c r="AN193" s="84"/>
      <c r="AO193" s="11">
        <f t="shared" si="60"/>
        <v>0</v>
      </c>
      <c r="AP193" s="11">
        <f>ROUND(Y193*AI193*$AP$21,0)</f>
        <v>185259</v>
      </c>
      <c r="AQ193" s="11">
        <f t="shared" si="61"/>
        <v>607059</v>
      </c>
      <c r="AR193" s="35">
        <v>656185</v>
      </c>
      <c r="AS193" s="11">
        <f t="shared" si="62"/>
        <v>49126</v>
      </c>
      <c r="AT193" s="72" t="str">
        <f t="shared" si="63"/>
        <v>No</v>
      </c>
      <c r="AU193" s="77">
        <v>471575</v>
      </c>
      <c r="AV193" s="35">
        <f t="shared" si="64"/>
        <v>0</v>
      </c>
      <c r="AW193" s="35">
        <f t="shared" si="48"/>
        <v>471575</v>
      </c>
      <c r="AX193" s="35">
        <f>IF(C193=1,MAX(AW193,AR193),AW193)</f>
        <v>471575</v>
      </c>
      <c r="AY193" s="66"/>
      <c r="AZ193" s="67"/>
      <c r="BA193" s="35"/>
      <c r="BB193" s="68"/>
      <c r="BC193" s="35"/>
      <c r="BD193" s="21"/>
      <c r="BF193" s="21"/>
      <c r="BG193" s="21"/>
      <c r="BK193" s="21"/>
      <c r="BL193" s="21"/>
      <c r="BM193" s="21"/>
      <c r="BN193" s="21"/>
      <c r="BO193" s="21"/>
    </row>
    <row r="194" spans="1:67" ht="14.35" x14ac:dyDescent="0.5">
      <c r="A194" s="8" t="s">
        <v>100</v>
      </c>
      <c r="B194" s="8"/>
      <c r="C194" s="25"/>
      <c r="D194" s="25"/>
      <c r="E194" s="25"/>
      <c r="F194" s="1">
        <v>4</v>
      </c>
      <c r="G194" s="78">
        <v>113</v>
      </c>
      <c r="H194" s="8">
        <v>168</v>
      </c>
      <c r="I194" s="3" t="s">
        <v>276</v>
      </c>
      <c r="J194" s="70"/>
      <c r="K194" s="76">
        <v>993.12</v>
      </c>
      <c r="L194" s="78"/>
      <c r="M194" s="77">
        <v>158</v>
      </c>
      <c r="N194" s="76">
        <f t="shared" si="49"/>
        <v>47.4</v>
      </c>
      <c r="O194" s="76">
        <f t="shared" si="50"/>
        <v>595.87</v>
      </c>
      <c r="P194" s="76">
        <f t="shared" si="51"/>
        <v>0</v>
      </c>
      <c r="Q194" s="76">
        <f t="shared" si="52"/>
        <v>0</v>
      </c>
      <c r="R194" s="65">
        <f t="shared" si="53"/>
        <v>0.16</v>
      </c>
      <c r="S194" s="65">
        <f>IF(R194&gt;0.6,+R194-0.6,0)</f>
        <v>0</v>
      </c>
      <c r="T194" s="34">
        <f>ROUND(S194*K194,2)</f>
        <v>0</v>
      </c>
      <c r="U194" s="34">
        <f t="shared" si="54"/>
        <v>0</v>
      </c>
      <c r="V194" s="77">
        <v>13</v>
      </c>
      <c r="W194" s="76">
        <f t="shared" si="55"/>
        <v>3.25</v>
      </c>
      <c r="X194" s="36">
        <f>ROUND(M194*$X$2,2)</f>
        <v>47.4</v>
      </c>
      <c r="Y194" s="9">
        <f t="shared" si="56"/>
        <v>1043.77</v>
      </c>
      <c r="Z194" s="76">
        <v>1536756728</v>
      </c>
      <c r="AA194" s="77">
        <v>9617</v>
      </c>
      <c r="AB194" s="17">
        <f t="shared" si="45"/>
        <v>159795.85</v>
      </c>
      <c r="AC194" s="37">
        <f t="shared" si="46"/>
        <v>0.82999299999999998</v>
      </c>
      <c r="AD194" s="77">
        <v>78025</v>
      </c>
      <c r="AE194" s="37">
        <f t="shared" si="47"/>
        <v>0.64754100000000003</v>
      </c>
      <c r="AF194" s="37">
        <f t="shared" si="65"/>
        <v>0.224743</v>
      </c>
      <c r="AG194" s="71">
        <f t="shared" si="57"/>
        <v>0.224743</v>
      </c>
      <c r="AH194" s="38">
        <f>IF(G194&gt;=1,IF(G194&lt;=5,0.06,IF(G194&lt;=10,0.05,IF(G194&lt;=15,0.04,IF(G194&lt;=19,0.03,0)))),0)</f>
        <v>0</v>
      </c>
      <c r="AI194" s="74">
        <f t="shared" si="58"/>
        <v>0.224743</v>
      </c>
      <c r="AJ194" s="77">
        <v>993</v>
      </c>
      <c r="AK194" s="77">
        <v>13</v>
      </c>
      <c r="AL194" s="11">
        <f t="shared" si="59"/>
        <v>1290900</v>
      </c>
      <c r="AM194" s="83"/>
      <c r="AO194" s="11">
        <f t="shared" si="60"/>
        <v>0</v>
      </c>
      <c r="AP194" s="11">
        <f>ROUND(Y194*AI194*$AP$21,0)</f>
        <v>2703535</v>
      </c>
      <c r="AQ194" s="11">
        <f t="shared" si="61"/>
        <v>3994435</v>
      </c>
      <c r="AR194" s="35">
        <v>1276811</v>
      </c>
      <c r="AS194" s="11">
        <f t="shared" si="62"/>
        <v>2717624</v>
      </c>
      <c r="AT194" s="72" t="str">
        <f t="shared" si="63"/>
        <v>Yes</v>
      </c>
      <c r="AU194" s="77">
        <v>1539859</v>
      </c>
      <c r="AV194" s="35">
        <f t="shared" si="64"/>
        <v>289698.71840000001</v>
      </c>
      <c r="AW194" s="35">
        <f t="shared" si="48"/>
        <v>1829557.7184000001</v>
      </c>
      <c r="AX194" s="35">
        <f>IF(C194=1,MAX(AW194,AR194),AW194)</f>
        <v>1829557.7184000001</v>
      </c>
      <c r="AY194" s="66"/>
      <c r="AZ194" s="67"/>
      <c r="BA194" s="35"/>
      <c r="BB194" s="68"/>
      <c r="BC194" s="35"/>
      <c r="BD194" s="21"/>
      <c r="BF194" s="21"/>
      <c r="BG194" s="21"/>
      <c r="BK194" s="21"/>
      <c r="BL194" s="21"/>
      <c r="BM194" s="21"/>
      <c r="BN194" s="21"/>
      <c r="BO194" s="21"/>
    </row>
    <row r="195" spans="1:67" ht="14.35" x14ac:dyDescent="0.5">
      <c r="A195" s="8" t="s">
        <v>104</v>
      </c>
      <c r="B195" s="8"/>
      <c r="C195" s="25"/>
      <c r="D195" s="25"/>
      <c r="E195" s="25"/>
      <c r="F195" s="1">
        <v>7</v>
      </c>
      <c r="G195" s="78">
        <v>75</v>
      </c>
      <c r="H195" s="8">
        <v>169</v>
      </c>
      <c r="I195" s="3" t="s">
        <v>277</v>
      </c>
      <c r="J195" s="70"/>
      <c r="K195" s="76">
        <v>1267.1400000000001</v>
      </c>
      <c r="L195" s="78"/>
      <c r="M195" s="77">
        <v>159</v>
      </c>
      <c r="N195" s="76">
        <f t="shared" si="49"/>
        <v>47.7</v>
      </c>
      <c r="O195" s="76">
        <f t="shared" si="50"/>
        <v>760.28</v>
      </c>
      <c r="P195" s="76">
        <f t="shared" si="51"/>
        <v>0</v>
      </c>
      <c r="Q195" s="76">
        <f t="shared" si="52"/>
        <v>0</v>
      </c>
      <c r="R195" s="65">
        <f t="shared" si="53"/>
        <v>0.13</v>
      </c>
      <c r="S195" s="65">
        <f>IF(R195&gt;0.6,+R195-0.6,0)</f>
        <v>0</v>
      </c>
      <c r="T195" s="34">
        <f>ROUND(S195*K195,2)</f>
        <v>0</v>
      </c>
      <c r="U195" s="34">
        <f t="shared" si="54"/>
        <v>0</v>
      </c>
      <c r="V195" s="77">
        <v>6</v>
      </c>
      <c r="W195" s="76">
        <f t="shared" si="55"/>
        <v>1.5</v>
      </c>
      <c r="X195" s="36">
        <f>ROUND(M195*$X$2,2)</f>
        <v>47.7</v>
      </c>
      <c r="Y195" s="9">
        <f t="shared" si="56"/>
        <v>1316.3400000000001</v>
      </c>
      <c r="Z195" s="76">
        <v>1114231023.6700001</v>
      </c>
      <c r="AA195" s="77">
        <v>7813</v>
      </c>
      <c r="AB195" s="17">
        <f t="shared" si="45"/>
        <v>142612.44</v>
      </c>
      <c r="AC195" s="37">
        <f t="shared" si="46"/>
        <v>0.74074099999999998</v>
      </c>
      <c r="AD195" s="77">
        <v>89531</v>
      </c>
      <c r="AE195" s="37">
        <f t="shared" si="47"/>
        <v>0.743031</v>
      </c>
      <c r="AF195" s="37">
        <f t="shared" si="65"/>
        <v>0.25857200000000002</v>
      </c>
      <c r="AG195" s="71">
        <f t="shared" si="57"/>
        <v>0.25857200000000002</v>
      </c>
      <c r="AH195" s="38">
        <f>IF(G195&gt;=1,IF(G195&lt;=5,0.06,IF(G195&lt;=10,0.05,IF(G195&lt;=15,0.04,IF(G195&lt;=19,0.03,0)))),0)</f>
        <v>0</v>
      </c>
      <c r="AI195" s="74">
        <f t="shared" si="58"/>
        <v>0.25857200000000002</v>
      </c>
      <c r="AJ195" s="81">
        <v>0</v>
      </c>
      <c r="AK195" s="81">
        <v>0</v>
      </c>
      <c r="AL195" s="11">
        <f t="shared" si="59"/>
        <v>0</v>
      </c>
      <c r="AM195" s="83">
        <v>449</v>
      </c>
      <c r="AN195" s="84">
        <v>4</v>
      </c>
      <c r="AO195" s="11">
        <f t="shared" si="60"/>
        <v>179600</v>
      </c>
      <c r="AP195" s="11">
        <f>ROUND(Y195*AI195*$AP$21,0)</f>
        <v>3922749</v>
      </c>
      <c r="AQ195" s="11">
        <f t="shared" si="61"/>
        <v>4102349</v>
      </c>
      <c r="AR195" s="35">
        <v>5356542</v>
      </c>
      <c r="AS195" s="11">
        <f t="shared" si="62"/>
        <v>1254193</v>
      </c>
      <c r="AT195" s="72" t="str">
        <f t="shared" si="63"/>
        <v>No</v>
      </c>
      <c r="AU195" s="77">
        <v>4990532</v>
      </c>
      <c r="AV195" s="35">
        <f t="shared" si="64"/>
        <v>0</v>
      </c>
      <c r="AW195" s="35">
        <f t="shared" si="48"/>
        <v>4990532</v>
      </c>
      <c r="AX195" s="35">
        <f>IF(C195=1,MAX(AW195,AR195),AW195)</f>
        <v>4990532</v>
      </c>
      <c r="AY195" s="66"/>
      <c r="AZ195" s="67"/>
      <c r="BA195" s="35"/>
      <c r="BB195" s="68"/>
      <c r="BC195" s="35"/>
      <c r="BD195" s="21"/>
      <c r="BF195" s="21"/>
      <c r="BG195" s="21"/>
      <c r="BK195" s="21"/>
      <c r="BL195" s="21"/>
      <c r="BM195" s="21"/>
      <c r="BN195" s="21"/>
      <c r="BO195" s="21"/>
    </row>
    <row r="196" spans="1:67" ht="14.35" x14ac:dyDescent="0.5">
      <c r="Z196" s="1"/>
      <c r="AB196" s="1"/>
      <c r="AJ196" s="11"/>
      <c r="AN196" s="84"/>
    </row>
    <row r="197" spans="1:67" ht="15.75" customHeight="1" x14ac:dyDescent="0.4">
      <c r="A197" s="8"/>
      <c r="B197" s="8"/>
      <c r="C197" s="25"/>
      <c r="D197" s="25"/>
      <c r="E197" s="25"/>
      <c r="F197" s="1"/>
      <c r="G197" s="39"/>
      <c r="H197" s="8"/>
      <c r="J197" s="70"/>
      <c r="K197" s="39"/>
      <c r="L197" s="75"/>
      <c r="M197" s="39"/>
      <c r="N197" s="39"/>
      <c r="O197" s="39"/>
      <c r="P197" s="39"/>
      <c r="Q197" s="39"/>
      <c r="R197" s="65"/>
      <c r="S197" s="65"/>
      <c r="T197" s="35"/>
      <c r="U197" s="35"/>
      <c r="V197" s="39"/>
      <c r="W197" s="39"/>
      <c r="X197" s="36"/>
      <c r="Y197" s="9"/>
      <c r="Z197" s="39"/>
      <c r="AA197" s="39"/>
      <c r="AB197" s="17"/>
      <c r="AC197" s="37"/>
      <c r="AD197" s="39"/>
      <c r="AE197" s="37"/>
      <c r="AF197" s="37"/>
      <c r="AG197" s="71"/>
      <c r="AH197" s="38"/>
      <c r="AI197" s="74"/>
      <c r="AJ197" s="39"/>
      <c r="AK197" s="39"/>
      <c r="AL197" s="39"/>
      <c r="AO197" s="11"/>
      <c r="AP197" s="11"/>
      <c r="AQ197" s="11"/>
      <c r="AR197" s="11"/>
      <c r="AS197" s="11"/>
      <c r="AT197" s="11"/>
      <c r="AU197" s="35"/>
      <c r="AV197" s="35"/>
      <c r="AW197" s="35"/>
      <c r="AX197" s="35"/>
      <c r="AY197" s="66"/>
      <c r="AZ197" s="67"/>
      <c r="BA197" s="35"/>
      <c r="BB197" s="68"/>
      <c r="BC197" s="35"/>
      <c r="BD197" s="21"/>
      <c r="BF197" s="21"/>
      <c r="BG197" s="21"/>
      <c r="BK197" s="21"/>
      <c r="BL197" s="21"/>
      <c r="BM197" s="21"/>
      <c r="BN197" s="21"/>
      <c r="BO197" s="21"/>
    </row>
    <row r="198" spans="1:67" x14ac:dyDescent="0.4">
      <c r="K198" s="9"/>
      <c r="L198" s="9"/>
      <c r="Y198" s="9"/>
      <c r="AJ198" s="11"/>
    </row>
    <row r="199" spans="1:67" x14ac:dyDescent="0.4">
      <c r="K199" s="9"/>
      <c r="L199" s="9"/>
      <c r="Y199" s="9"/>
      <c r="AJ199" s="11"/>
    </row>
    <row r="200" spans="1:67" x14ac:dyDescent="0.4">
      <c r="K200" s="9"/>
      <c r="L200" s="9"/>
      <c r="Y200" s="9"/>
      <c r="AJ200" s="11"/>
    </row>
    <row r="201" spans="1:67" x14ac:dyDescent="0.4">
      <c r="K201" s="9"/>
      <c r="L201" s="9"/>
      <c r="Y201" s="9"/>
    </row>
    <row r="202" spans="1:67" x14ac:dyDescent="0.4">
      <c r="K202" s="9"/>
      <c r="L202" s="9"/>
      <c r="Y202" s="9"/>
    </row>
    <row r="203" spans="1:67" x14ac:dyDescent="0.4">
      <c r="K203" s="9"/>
      <c r="L203" s="9"/>
      <c r="Y203" s="9"/>
    </row>
    <row r="204" spans="1:67" x14ac:dyDescent="0.4">
      <c r="K204" s="9"/>
      <c r="L204" s="9"/>
      <c r="Y204" s="9"/>
    </row>
    <row r="205" spans="1:67" x14ac:dyDescent="0.4">
      <c r="K205" s="9"/>
      <c r="L205" s="9"/>
      <c r="Y205" s="9"/>
    </row>
    <row r="206" spans="1:67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9"/>
      <c r="L206" s="9"/>
      <c r="Y206" s="9"/>
    </row>
    <row r="207" spans="1:67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9"/>
      <c r="L207" s="9"/>
      <c r="Y207" s="9"/>
    </row>
    <row r="208" spans="1:67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9"/>
      <c r="L208" s="9"/>
      <c r="Y208" s="9"/>
    </row>
    <row r="209" spans="11:52" s="1" customFormat="1" x14ac:dyDescent="0.4">
      <c r="K209" s="9"/>
      <c r="L209" s="9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9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41"/>
      <c r="AZ209" s="42"/>
    </row>
    <row r="210" spans="11:52" s="1" customFormat="1" x14ac:dyDescent="0.4">
      <c r="K210" s="9"/>
      <c r="L210" s="9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41"/>
      <c r="AZ210" s="42"/>
    </row>
    <row r="211" spans="11:52" s="1" customFormat="1" x14ac:dyDescent="0.4">
      <c r="K211" s="9"/>
      <c r="L211" s="9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41"/>
      <c r="AZ211" s="42"/>
    </row>
    <row r="212" spans="11:52" s="1" customFormat="1" x14ac:dyDescent="0.4">
      <c r="K212" s="9"/>
      <c r="L212" s="9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41"/>
      <c r="AZ212" s="42"/>
    </row>
    <row r="213" spans="11:52" s="1" customFormat="1" x14ac:dyDescent="0.4">
      <c r="K213" s="9"/>
      <c r="L213" s="9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41"/>
      <c r="AZ213" s="42"/>
    </row>
    <row r="214" spans="11:52" s="1" customFormat="1" x14ac:dyDescent="0.4">
      <c r="K214" s="9"/>
      <c r="L214" s="9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41"/>
      <c r="AZ214" s="42"/>
    </row>
    <row r="215" spans="11:52" s="1" customFormat="1" x14ac:dyDescent="0.4">
      <c r="K215" s="9"/>
      <c r="L215" s="9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41"/>
      <c r="AZ215" s="42"/>
    </row>
    <row r="216" spans="11:52" s="1" customFormat="1" x14ac:dyDescent="0.4">
      <c r="K216" s="9"/>
      <c r="L216" s="9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41"/>
      <c r="AZ216" s="42"/>
    </row>
    <row r="217" spans="11:52" s="1" customFormat="1" x14ac:dyDescent="0.4">
      <c r="K217" s="9"/>
      <c r="L217" s="9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41"/>
      <c r="AZ217" s="42"/>
    </row>
    <row r="218" spans="11:52" s="1" customFormat="1" x14ac:dyDescent="0.4">
      <c r="K218" s="9"/>
      <c r="L218" s="9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41"/>
      <c r="AZ218" s="42"/>
    </row>
    <row r="219" spans="11:52" s="1" customFormat="1" x14ac:dyDescent="0.4">
      <c r="K219" s="9"/>
      <c r="L219" s="9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41"/>
      <c r="AZ219" s="42"/>
    </row>
    <row r="220" spans="11:52" s="1" customFormat="1" x14ac:dyDescent="0.4">
      <c r="K220" s="9"/>
      <c r="L220" s="9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41"/>
      <c r="AZ220" s="42"/>
    </row>
    <row r="221" spans="11:52" s="1" customFormat="1" x14ac:dyDescent="0.4">
      <c r="K221" s="9"/>
      <c r="L221" s="9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41"/>
      <c r="AZ221" s="42"/>
    </row>
    <row r="222" spans="11:52" s="3" customFormat="1" x14ac:dyDescent="0.4">
      <c r="K222" s="9"/>
      <c r="L222" s="9"/>
      <c r="AY222" s="41"/>
      <c r="AZ222" s="42"/>
    </row>
    <row r="223" spans="11:52" s="3" customFormat="1" x14ac:dyDescent="0.4">
      <c r="K223" s="9"/>
      <c r="L223" s="9"/>
      <c r="AY223" s="41"/>
      <c r="AZ223" s="42"/>
    </row>
    <row r="224" spans="11:52" s="3" customFormat="1" x14ac:dyDescent="0.4">
      <c r="K224" s="9"/>
      <c r="L224" s="9"/>
      <c r="AY224" s="41"/>
      <c r="AZ224" s="42"/>
    </row>
    <row r="225" spans="1:55" s="3" customFormat="1" x14ac:dyDescent="0.4">
      <c r="K225" s="9"/>
      <c r="L225" s="9"/>
      <c r="AY225" s="41"/>
      <c r="AZ225" s="42"/>
    </row>
    <row r="226" spans="1:55" s="3" customFormat="1" x14ac:dyDescent="0.4">
      <c r="K226" s="9"/>
      <c r="L226" s="9"/>
      <c r="AY226" s="41"/>
      <c r="AZ226" s="42"/>
    </row>
    <row r="227" spans="1:55" s="3" customFormat="1" x14ac:dyDescent="0.4">
      <c r="K227" s="9"/>
      <c r="L227" s="9"/>
      <c r="AY227" s="41"/>
      <c r="AZ227" s="42"/>
    </row>
    <row r="228" spans="1:55" s="3" customFormat="1" x14ac:dyDescent="0.4">
      <c r="K228" s="9"/>
      <c r="L228" s="9"/>
      <c r="AY228" s="41"/>
      <c r="AZ228" s="42"/>
    </row>
    <row r="229" spans="1:55" s="3" customFormat="1" x14ac:dyDescent="0.4">
      <c r="K229" s="9"/>
      <c r="L229" s="9"/>
      <c r="AY229" s="41"/>
      <c r="AZ229" s="42"/>
    </row>
    <row r="230" spans="1:55" s="3" customFormat="1" x14ac:dyDescent="0.4">
      <c r="A230" s="1"/>
      <c r="B230" s="1"/>
      <c r="K230" s="9"/>
      <c r="L230" s="9"/>
      <c r="AY230" s="41"/>
      <c r="AZ230" s="42"/>
    </row>
    <row r="231" spans="1:55" s="3" customFormat="1" x14ac:dyDescent="0.4">
      <c r="A231" s="1"/>
      <c r="B231" s="1"/>
      <c r="K231" s="9"/>
      <c r="L231" s="9"/>
      <c r="AY231" s="41"/>
      <c r="AZ231" s="42"/>
    </row>
    <row r="232" spans="1:55" s="3" customFormat="1" x14ac:dyDescent="0.4">
      <c r="A232" s="1"/>
      <c r="B232" s="1"/>
      <c r="K232" s="9"/>
      <c r="L232" s="9"/>
      <c r="AY232" s="41"/>
      <c r="AZ232" s="42"/>
    </row>
    <row r="233" spans="1:55" s="3" customFormat="1" x14ac:dyDescent="0.4">
      <c r="A233" s="1"/>
      <c r="B233" s="1"/>
      <c r="K233" s="9"/>
      <c r="L233" s="9"/>
      <c r="AY233" s="41"/>
      <c r="AZ233" s="42"/>
    </row>
    <row r="234" spans="1:55" s="3" customFormat="1" x14ac:dyDescent="0.4">
      <c r="K234" s="9"/>
      <c r="L234" s="9"/>
      <c r="AY234" s="41"/>
      <c r="AZ234" s="42"/>
    </row>
    <row r="235" spans="1:55" s="3" customFormat="1" x14ac:dyDescent="0.4">
      <c r="K235" s="9"/>
      <c r="L235" s="9"/>
      <c r="AY235" s="41"/>
      <c r="AZ235" s="42"/>
    </row>
    <row r="236" spans="1:55" s="3" customFormat="1" x14ac:dyDescent="0.4">
      <c r="K236" s="9"/>
      <c r="L236" s="9"/>
      <c r="AY236" s="41"/>
      <c r="AZ236" s="42"/>
    </row>
    <row r="237" spans="1:55" s="3" customFormat="1" x14ac:dyDescent="0.4">
      <c r="K237" s="9"/>
      <c r="L237" s="9"/>
      <c r="AY237" s="41"/>
      <c r="AZ237" s="42"/>
    </row>
    <row r="238" spans="1:55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9"/>
      <c r="L238" s="9"/>
      <c r="BA238" s="1"/>
      <c r="BB238" s="1"/>
      <c r="BC238" s="1"/>
    </row>
    <row r="239" spans="1:55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9"/>
      <c r="L239" s="9"/>
      <c r="BA239" s="1"/>
      <c r="BB239" s="1"/>
      <c r="BC239" s="1"/>
    </row>
    <row r="240" spans="1:55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9"/>
      <c r="L240" s="9"/>
      <c r="BA240" s="1"/>
      <c r="BB240" s="1"/>
      <c r="BC240" s="1"/>
    </row>
    <row r="241" spans="11:12" s="1" customFormat="1" x14ac:dyDescent="0.4">
      <c r="K241" s="9"/>
      <c r="L241" s="9"/>
    </row>
    <row r="242" spans="11:12" s="1" customFormat="1" x14ac:dyDescent="0.4">
      <c r="K242" s="9"/>
      <c r="L242" s="9"/>
    </row>
    <row r="243" spans="11:12" s="1" customFormat="1" x14ac:dyDescent="0.4">
      <c r="K243" s="9"/>
      <c r="L243" s="9"/>
    </row>
    <row r="244" spans="11:12" s="1" customFormat="1" x14ac:dyDescent="0.4">
      <c r="K244" s="9"/>
      <c r="L244" s="9"/>
    </row>
    <row r="245" spans="11:12" s="1" customFormat="1" x14ac:dyDescent="0.4">
      <c r="K245" s="9"/>
      <c r="L245" s="9"/>
    </row>
    <row r="246" spans="11:12" s="1" customFormat="1" x14ac:dyDescent="0.4">
      <c r="K246" s="9"/>
      <c r="L246" s="9"/>
    </row>
    <row r="247" spans="11:12" s="1" customFormat="1" x14ac:dyDescent="0.4">
      <c r="K247" s="9"/>
      <c r="L247" s="9"/>
    </row>
    <row r="248" spans="11:12" s="1" customFormat="1" x14ac:dyDescent="0.4">
      <c r="K248" s="9"/>
      <c r="L248" s="9"/>
    </row>
    <row r="249" spans="11:12" s="1" customFormat="1" x14ac:dyDescent="0.4">
      <c r="K249" s="9"/>
      <c r="L249" s="9"/>
    </row>
    <row r="250" spans="11:12" s="1" customFormat="1" x14ac:dyDescent="0.4">
      <c r="K250" s="9"/>
      <c r="L250" s="9"/>
    </row>
    <row r="251" spans="11:12" s="1" customFormat="1" x14ac:dyDescent="0.4">
      <c r="K251" s="9"/>
      <c r="L251" s="9"/>
    </row>
    <row r="252" spans="11:12" s="1" customFormat="1" x14ac:dyDescent="0.4">
      <c r="K252" s="9"/>
      <c r="L252" s="9"/>
    </row>
    <row r="253" spans="11:12" s="1" customFormat="1" x14ac:dyDescent="0.4">
      <c r="K253" s="9"/>
      <c r="L253" s="9"/>
    </row>
    <row r="254" spans="11:12" s="1" customFormat="1" x14ac:dyDescent="0.4">
      <c r="K254" s="9"/>
      <c r="L254" s="9"/>
    </row>
    <row r="255" spans="11:12" s="1" customFormat="1" x14ac:dyDescent="0.4">
      <c r="K255" s="9"/>
      <c r="L255" s="9"/>
    </row>
    <row r="256" spans="11:12" s="1" customFormat="1" x14ac:dyDescent="0.4">
      <c r="K256" s="9"/>
      <c r="L256" s="9"/>
    </row>
    <row r="257" spans="11:35" s="1" customFormat="1" x14ac:dyDescent="0.4">
      <c r="K257" s="9"/>
      <c r="L257" s="9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 spans="11:35" s="1" customFormat="1" x14ac:dyDescent="0.4">
      <c r="K258" s="9"/>
      <c r="L258" s="9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 spans="11:35" s="1" customFormat="1" x14ac:dyDescent="0.4">
      <c r="K259" s="9"/>
      <c r="L259" s="9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1:35" s="1" customFormat="1" x14ac:dyDescent="0.4">
      <c r="K260" s="9"/>
      <c r="L260" s="9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1:35" s="1" customFormat="1" x14ac:dyDescent="0.4">
      <c r="K261" s="9"/>
      <c r="L261" s="9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1:35" s="1" customFormat="1" x14ac:dyDescent="0.4">
      <c r="K262" s="9"/>
      <c r="L262" s="9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 spans="11:35" s="1" customFormat="1" x14ac:dyDescent="0.4">
      <c r="K263" s="9"/>
      <c r="L263" s="9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 spans="11:35" s="1" customFormat="1" x14ac:dyDescent="0.4">
      <c r="K264" s="9"/>
      <c r="L264" s="9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 spans="11:35" s="1" customFormat="1" x14ac:dyDescent="0.4">
      <c r="K265" s="9"/>
      <c r="L265" s="9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 spans="11:35" s="1" customFormat="1" x14ac:dyDescent="0.4">
      <c r="K266" s="9"/>
      <c r="L266" s="9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 spans="11:35" s="1" customFormat="1" x14ac:dyDescent="0.4">
      <c r="K267" s="9"/>
      <c r="L267" s="9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 spans="11:35" s="1" customFormat="1" x14ac:dyDescent="0.4">
      <c r="K268" s="9"/>
      <c r="L268" s="9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 spans="11:35" s="1" customFormat="1" x14ac:dyDescent="0.4">
      <c r="K269" s="9"/>
      <c r="L269" s="9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 spans="11:35" s="1" customFormat="1" x14ac:dyDescent="0.4">
      <c r="K270" s="9"/>
      <c r="L270" s="9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 spans="11:35" s="1" customFormat="1" x14ac:dyDescent="0.4">
      <c r="K271" s="9"/>
      <c r="L271" s="9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 spans="11:35" s="1" customFormat="1" x14ac:dyDescent="0.4">
      <c r="K272" s="9"/>
      <c r="L272" s="9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 spans="11:12" s="1" customFormat="1" x14ac:dyDescent="0.4">
      <c r="K273" s="9"/>
      <c r="L273" s="9"/>
    </row>
    <row r="274" spans="11:12" s="1" customFormat="1" x14ac:dyDescent="0.4">
      <c r="K274" s="9"/>
      <c r="L274" s="9"/>
    </row>
    <row r="275" spans="11:12" s="1" customFormat="1" x14ac:dyDescent="0.4">
      <c r="K275" s="9"/>
      <c r="L275" s="9"/>
    </row>
    <row r="276" spans="11:12" s="1" customFormat="1" x14ac:dyDescent="0.4">
      <c r="K276" s="9"/>
      <c r="L276" s="9"/>
    </row>
    <row r="277" spans="11:12" s="1" customFormat="1" x14ac:dyDescent="0.4">
      <c r="K277" s="9"/>
      <c r="L277" s="9"/>
    </row>
    <row r="278" spans="11:12" s="1" customFormat="1" x14ac:dyDescent="0.4">
      <c r="K278" s="9"/>
      <c r="L278" s="9"/>
    </row>
    <row r="279" spans="11:12" s="1" customFormat="1" x14ac:dyDescent="0.4">
      <c r="K279" s="9"/>
      <c r="L279" s="9"/>
    </row>
    <row r="280" spans="11:12" s="1" customFormat="1" x14ac:dyDescent="0.4">
      <c r="K280" s="9"/>
      <c r="L280" s="9"/>
    </row>
    <row r="281" spans="11:12" s="1" customFormat="1" x14ac:dyDescent="0.4">
      <c r="K281" s="9"/>
      <c r="L281" s="9"/>
    </row>
    <row r="282" spans="11:12" s="1" customFormat="1" x14ac:dyDescent="0.4">
      <c r="K282" s="9"/>
      <c r="L282" s="9"/>
    </row>
    <row r="283" spans="11:12" s="1" customFormat="1" x14ac:dyDescent="0.4">
      <c r="K283" s="9"/>
      <c r="L283" s="9"/>
    </row>
    <row r="284" spans="11:12" s="1" customFormat="1" x14ac:dyDescent="0.4">
      <c r="K284" s="9"/>
      <c r="L284" s="9"/>
    </row>
    <row r="285" spans="11:12" s="1" customFormat="1" x14ac:dyDescent="0.4">
      <c r="K285" s="9"/>
      <c r="L285" s="9"/>
    </row>
    <row r="286" spans="11:12" s="1" customFormat="1" x14ac:dyDescent="0.4">
      <c r="K286" s="9"/>
      <c r="L286" s="9"/>
    </row>
    <row r="287" spans="11:12" s="1" customFormat="1" x14ac:dyDescent="0.4">
      <c r="K287" s="9"/>
      <c r="L287" s="9"/>
    </row>
    <row r="288" spans="11:12" s="1" customFormat="1" x14ac:dyDescent="0.4">
      <c r="K288" s="9"/>
      <c r="L288" s="9"/>
    </row>
    <row r="289" spans="11:12" s="1" customFormat="1" x14ac:dyDescent="0.4">
      <c r="K289" s="9"/>
      <c r="L289" s="9"/>
    </row>
    <row r="290" spans="11:12" s="1" customFormat="1" x14ac:dyDescent="0.4">
      <c r="K290" s="9"/>
      <c r="L290" s="9"/>
    </row>
    <row r="291" spans="11:12" s="1" customFormat="1" x14ac:dyDescent="0.4">
      <c r="K291" s="9"/>
      <c r="L291" s="9"/>
    </row>
    <row r="292" spans="11:12" s="1" customFormat="1" x14ac:dyDescent="0.4">
      <c r="K292" s="9"/>
      <c r="L292" s="9"/>
    </row>
    <row r="293" spans="11:12" s="1" customFormat="1" x14ac:dyDescent="0.4">
      <c r="K293" s="9"/>
      <c r="L293" s="9"/>
    </row>
    <row r="294" spans="11:12" s="1" customFormat="1" x14ac:dyDescent="0.4">
      <c r="K294" s="9"/>
      <c r="L294" s="9"/>
    </row>
    <row r="295" spans="11:12" s="1" customFormat="1" x14ac:dyDescent="0.4">
      <c r="K295" s="9"/>
      <c r="L295" s="9"/>
    </row>
    <row r="296" spans="11:12" s="1" customFormat="1" x14ac:dyDescent="0.4">
      <c r="K296" s="9"/>
      <c r="L296" s="9"/>
    </row>
    <row r="297" spans="11:12" s="1" customFormat="1" x14ac:dyDescent="0.4">
      <c r="K297" s="9"/>
      <c r="L297" s="9"/>
    </row>
    <row r="298" spans="11:12" s="1" customFormat="1" x14ac:dyDescent="0.4">
      <c r="K298" s="9"/>
      <c r="L298" s="9"/>
    </row>
    <row r="299" spans="11:12" s="1" customFormat="1" x14ac:dyDescent="0.4">
      <c r="K299" s="9"/>
      <c r="L299" s="9"/>
    </row>
    <row r="300" spans="11:12" s="1" customFormat="1" x14ac:dyDescent="0.4">
      <c r="K300" s="9"/>
      <c r="L300" s="9"/>
    </row>
    <row r="301" spans="11:12" s="1" customFormat="1" x14ac:dyDescent="0.4">
      <c r="K301" s="9"/>
      <c r="L301" s="9"/>
    </row>
    <row r="302" spans="11:12" s="1" customFormat="1" x14ac:dyDescent="0.4">
      <c r="K302" s="9"/>
      <c r="L302" s="9"/>
    </row>
    <row r="303" spans="11:12" s="1" customFormat="1" x14ac:dyDescent="0.4">
      <c r="K303" s="9"/>
      <c r="L303" s="9"/>
    </row>
    <row r="304" spans="11:12" s="1" customFormat="1" x14ac:dyDescent="0.4">
      <c r="K304" s="9"/>
      <c r="L304" s="9"/>
    </row>
    <row r="305" spans="11:12" s="1" customFormat="1" x14ac:dyDescent="0.4">
      <c r="K305" s="9"/>
      <c r="L305" s="9"/>
    </row>
    <row r="306" spans="11:12" s="1" customFormat="1" x14ac:dyDescent="0.4">
      <c r="K306" s="9"/>
      <c r="L306" s="9"/>
    </row>
    <row r="307" spans="11:12" s="1" customFormat="1" x14ac:dyDescent="0.4">
      <c r="K307" s="9"/>
      <c r="L307" s="9"/>
    </row>
    <row r="308" spans="11:12" s="1" customFormat="1" x14ac:dyDescent="0.4">
      <c r="K308" s="9"/>
      <c r="L308" s="9"/>
    </row>
    <row r="309" spans="11:12" s="1" customFormat="1" x14ac:dyDescent="0.4">
      <c r="K309" s="9"/>
      <c r="L309" s="9"/>
    </row>
    <row r="310" spans="11:12" s="1" customFormat="1" x14ac:dyDescent="0.4">
      <c r="K310" s="9"/>
      <c r="L310" s="9"/>
    </row>
    <row r="311" spans="11:12" s="1" customFormat="1" x14ac:dyDescent="0.4">
      <c r="K311" s="9"/>
      <c r="L311" s="9"/>
    </row>
    <row r="312" spans="11:12" s="1" customFormat="1" x14ac:dyDescent="0.4">
      <c r="K312" s="9"/>
      <c r="L312" s="9"/>
    </row>
    <row r="313" spans="11:12" s="1" customFormat="1" x14ac:dyDescent="0.4">
      <c r="K313" s="9"/>
      <c r="L313" s="9"/>
    </row>
    <row r="314" spans="11:12" s="1" customFormat="1" x14ac:dyDescent="0.4">
      <c r="K314" s="9"/>
      <c r="L314" s="9"/>
    </row>
    <row r="315" spans="11:12" s="1" customFormat="1" x14ac:dyDescent="0.4">
      <c r="K315" s="9"/>
      <c r="L315" s="9"/>
    </row>
    <row r="316" spans="11:12" s="1" customFormat="1" x14ac:dyDescent="0.4">
      <c r="K316" s="9"/>
      <c r="L316" s="9"/>
    </row>
    <row r="317" spans="11:12" s="1" customFormat="1" x14ac:dyDescent="0.4">
      <c r="K317" s="9"/>
      <c r="L317" s="9"/>
    </row>
    <row r="318" spans="11:12" s="1" customFormat="1" x14ac:dyDescent="0.4">
      <c r="K318" s="9"/>
      <c r="L318" s="9"/>
    </row>
    <row r="319" spans="11:12" s="1" customFormat="1" x14ac:dyDescent="0.4">
      <c r="K319" s="9"/>
      <c r="L319" s="9"/>
    </row>
    <row r="320" spans="11:12" s="1" customFormat="1" x14ac:dyDescent="0.4">
      <c r="K320" s="9"/>
      <c r="L320" s="9"/>
    </row>
    <row r="321" spans="11:12" s="1" customFormat="1" x14ac:dyDescent="0.4">
      <c r="K321" s="9"/>
      <c r="L321" s="9"/>
    </row>
    <row r="322" spans="11:12" s="1" customFormat="1" x14ac:dyDescent="0.4">
      <c r="K322" s="9"/>
      <c r="L322" s="9"/>
    </row>
    <row r="323" spans="11:12" s="1" customFormat="1" x14ac:dyDescent="0.4">
      <c r="K323" s="9"/>
      <c r="L323" s="9"/>
    </row>
    <row r="324" spans="11:12" s="1" customFormat="1" x14ac:dyDescent="0.4">
      <c r="K324" s="9"/>
      <c r="L324" s="9"/>
    </row>
    <row r="325" spans="11:12" s="1" customFormat="1" x14ac:dyDescent="0.4">
      <c r="K325" s="9"/>
      <c r="L325" s="9"/>
    </row>
    <row r="326" spans="11:12" s="1" customFormat="1" x14ac:dyDescent="0.4">
      <c r="K326" s="9"/>
      <c r="L326" s="9"/>
    </row>
    <row r="327" spans="11:12" s="1" customFormat="1" x14ac:dyDescent="0.4">
      <c r="K327" s="9"/>
      <c r="L327" s="9"/>
    </row>
    <row r="328" spans="11:12" s="1" customFormat="1" x14ac:dyDescent="0.4">
      <c r="K328" s="9"/>
      <c r="L328" s="9"/>
    </row>
    <row r="329" spans="11:12" s="1" customFormat="1" x14ac:dyDescent="0.4">
      <c r="K329" s="9"/>
      <c r="L329" s="9"/>
    </row>
    <row r="330" spans="11:12" s="1" customFormat="1" x14ac:dyDescent="0.4">
      <c r="K330" s="9"/>
      <c r="L330" s="9"/>
    </row>
    <row r="331" spans="11:12" s="1" customFormat="1" x14ac:dyDescent="0.4">
      <c r="K331" s="9"/>
      <c r="L331" s="9"/>
    </row>
    <row r="332" spans="11:12" s="1" customFormat="1" x14ac:dyDescent="0.4">
      <c r="K332" s="9"/>
      <c r="L332" s="9"/>
    </row>
    <row r="333" spans="11:12" s="1" customFormat="1" x14ac:dyDescent="0.4">
      <c r="K333" s="9"/>
      <c r="L333" s="9"/>
    </row>
    <row r="334" spans="11:12" s="1" customFormat="1" x14ac:dyDescent="0.4">
      <c r="K334" s="9"/>
      <c r="L334" s="9"/>
    </row>
    <row r="335" spans="11:12" s="1" customFormat="1" x14ac:dyDescent="0.4">
      <c r="K335" s="9"/>
      <c r="L335" s="9"/>
    </row>
    <row r="336" spans="11:12" s="1" customFormat="1" x14ac:dyDescent="0.4">
      <c r="K336" s="9"/>
      <c r="L336" s="9"/>
    </row>
    <row r="337" spans="11:12" s="1" customFormat="1" x14ac:dyDescent="0.4">
      <c r="K337" s="9"/>
      <c r="L337" s="9"/>
    </row>
    <row r="338" spans="11:12" s="1" customFormat="1" x14ac:dyDescent="0.4">
      <c r="K338" s="9"/>
      <c r="L338" s="9"/>
    </row>
    <row r="339" spans="11:12" s="1" customFormat="1" x14ac:dyDescent="0.4">
      <c r="K339" s="9"/>
      <c r="L339" s="9"/>
    </row>
    <row r="340" spans="11:12" s="1" customFormat="1" x14ac:dyDescent="0.4">
      <c r="K340" s="9"/>
      <c r="L340" s="9"/>
    </row>
    <row r="341" spans="11:12" s="1" customFormat="1" x14ac:dyDescent="0.4">
      <c r="K341" s="9"/>
      <c r="L341" s="9"/>
    </row>
    <row r="342" spans="11:12" s="1" customFormat="1" x14ac:dyDescent="0.4">
      <c r="K342" s="9"/>
      <c r="L342" s="9"/>
    </row>
    <row r="343" spans="11:12" s="1" customFormat="1" x14ac:dyDescent="0.4">
      <c r="K343" s="9"/>
      <c r="L343" s="9"/>
    </row>
    <row r="344" spans="11:12" s="1" customFormat="1" x14ac:dyDescent="0.4">
      <c r="K344" s="9"/>
      <c r="L344" s="9"/>
    </row>
    <row r="345" spans="11:12" s="1" customFormat="1" x14ac:dyDescent="0.4">
      <c r="K345" s="9"/>
      <c r="L345" s="9"/>
    </row>
    <row r="346" spans="11:12" s="1" customFormat="1" x14ac:dyDescent="0.4">
      <c r="K346" s="9"/>
      <c r="L346" s="9"/>
    </row>
    <row r="347" spans="11:12" s="1" customFormat="1" x14ac:dyDescent="0.4">
      <c r="K347" s="9"/>
      <c r="L347" s="9"/>
    </row>
    <row r="348" spans="11:12" s="1" customFormat="1" x14ac:dyDescent="0.4">
      <c r="K348" s="9"/>
      <c r="L348" s="9"/>
    </row>
    <row r="349" spans="11:12" s="1" customFormat="1" x14ac:dyDescent="0.4">
      <c r="K349" s="9"/>
      <c r="L349" s="9"/>
    </row>
    <row r="350" spans="11:12" s="1" customFormat="1" x14ac:dyDescent="0.4">
      <c r="K350" s="9"/>
      <c r="L350" s="9"/>
    </row>
    <row r="351" spans="11:12" s="1" customFormat="1" x14ac:dyDescent="0.4">
      <c r="K351" s="9"/>
      <c r="L351" s="9"/>
    </row>
    <row r="352" spans="11:12" s="1" customFormat="1" x14ac:dyDescent="0.4">
      <c r="K352" s="9"/>
      <c r="L352" s="9"/>
    </row>
    <row r="353" spans="11:12" s="1" customFormat="1" x14ac:dyDescent="0.4">
      <c r="K353" s="9"/>
      <c r="L353" s="9"/>
    </row>
    <row r="354" spans="11:12" s="1" customFormat="1" x14ac:dyDescent="0.4">
      <c r="K354" s="9"/>
      <c r="L354" s="9"/>
    </row>
    <row r="355" spans="11:12" s="1" customFormat="1" x14ac:dyDescent="0.4">
      <c r="K355" s="9"/>
      <c r="L355" s="9"/>
    </row>
    <row r="356" spans="11:12" s="1" customFormat="1" x14ac:dyDescent="0.4">
      <c r="K356" s="9"/>
      <c r="L356" s="9"/>
    </row>
    <row r="357" spans="11:12" s="1" customFormat="1" x14ac:dyDescent="0.4">
      <c r="K357" s="9"/>
      <c r="L357" s="9"/>
    </row>
    <row r="358" spans="11:12" s="1" customFormat="1" x14ac:dyDescent="0.4">
      <c r="K358" s="9"/>
      <c r="L358" s="9"/>
    </row>
    <row r="359" spans="11:12" s="1" customFormat="1" x14ac:dyDescent="0.4">
      <c r="K359" s="9"/>
      <c r="L359" s="9"/>
    </row>
    <row r="360" spans="11:12" s="1" customFormat="1" x14ac:dyDescent="0.4">
      <c r="K360" s="9"/>
      <c r="L360" s="9"/>
    </row>
    <row r="361" spans="11:12" s="1" customFormat="1" x14ac:dyDescent="0.4">
      <c r="K361" s="9"/>
      <c r="L361" s="9"/>
    </row>
    <row r="362" spans="11:12" s="1" customFormat="1" x14ac:dyDescent="0.4">
      <c r="K362" s="9"/>
      <c r="L362" s="9"/>
    </row>
    <row r="363" spans="11:12" s="1" customFormat="1" x14ac:dyDescent="0.4">
      <c r="K363" s="9"/>
      <c r="L363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Law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stevensj</dc:creator>
  <cp:lastModifiedBy>Chambers, Kevin</cp:lastModifiedBy>
  <cp:lastPrinted>2017-10-18T16:13:22Z</cp:lastPrinted>
  <dcterms:created xsi:type="dcterms:W3CDTF">2017-10-18T15:13:08Z</dcterms:created>
  <dcterms:modified xsi:type="dcterms:W3CDTF">2021-11-17T15:47:32Z</dcterms:modified>
</cp:coreProperties>
</file>