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18-19\ECS\"/>
    </mc:Choice>
  </mc:AlternateContent>
  <bookViews>
    <workbookView xWindow="360" yWindow="108" windowWidth="16608" windowHeight="9432" tabRatio="715"/>
  </bookViews>
  <sheets>
    <sheet name="FY 2018-19" sheetId="14" r:id="rId1"/>
  </sheets>
  <definedNames>
    <definedName name="_xlnm.Print_Titles" localSheetId="0">'FY 2018-19'!$I:$I,'FY 2018-19'!$16:$26</definedName>
  </definedNames>
  <calcPr calcId="162913"/>
</workbook>
</file>

<file path=xl/calcChain.xml><?xml version="1.0" encoding="utf-8"?>
<calcChain xmlns="http://schemas.openxmlformats.org/spreadsheetml/2006/main">
  <c r="T27" i="14" l="1"/>
  <c r="V197" i="14" l="1"/>
  <c r="AG195" i="14"/>
  <c r="AH195" i="14" s="1"/>
  <c r="X195" i="14"/>
  <c r="T195" i="14"/>
  <c r="O195" i="14"/>
  <c r="P195" i="14" s="1"/>
  <c r="Q195" i="14" s="1"/>
  <c r="J195" i="14"/>
  <c r="AG194" i="14"/>
  <c r="AH194" i="14" s="1"/>
  <c r="X194" i="14"/>
  <c r="T194" i="14"/>
  <c r="O194" i="14"/>
  <c r="P194" i="14" s="1"/>
  <c r="Q194" i="14" s="1"/>
  <c r="R194" i="14" s="1"/>
  <c r="J194" i="14"/>
  <c r="AG193" i="14"/>
  <c r="AH193" i="14" s="1"/>
  <c r="X193" i="14"/>
  <c r="T193" i="14"/>
  <c r="O193" i="14"/>
  <c r="P193" i="14" s="1"/>
  <c r="Q193" i="14" s="1"/>
  <c r="R193" i="14" s="1"/>
  <c r="J193" i="14"/>
  <c r="AG192" i="14"/>
  <c r="AH192" i="14" s="1"/>
  <c r="X192" i="14"/>
  <c r="T192" i="14"/>
  <c r="O192" i="14"/>
  <c r="P192" i="14" s="1"/>
  <c r="Q192" i="14" s="1"/>
  <c r="R192" i="14" s="1"/>
  <c r="J192" i="14"/>
  <c r="AG191" i="14"/>
  <c r="AH191" i="14" s="1"/>
  <c r="X191" i="14"/>
  <c r="T191" i="14"/>
  <c r="O191" i="14"/>
  <c r="P191" i="14" s="1"/>
  <c r="Q191" i="14" s="1"/>
  <c r="J191" i="14"/>
  <c r="AG190" i="14"/>
  <c r="AH190" i="14" s="1"/>
  <c r="X190" i="14"/>
  <c r="T190" i="14"/>
  <c r="O190" i="14"/>
  <c r="P190" i="14" s="1"/>
  <c r="Q190" i="14" s="1"/>
  <c r="R190" i="14" s="1"/>
  <c r="J190" i="14"/>
  <c r="AG189" i="14"/>
  <c r="AH189" i="14" s="1"/>
  <c r="X189" i="14"/>
  <c r="T189" i="14"/>
  <c r="O189" i="14"/>
  <c r="P189" i="14" s="1"/>
  <c r="Q189" i="14" s="1"/>
  <c r="R189" i="14" s="1"/>
  <c r="J189" i="14"/>
  <c r="AG188" i="14"/>
  <c r="AH188" i="14" s="1"/>
  <c r="X188" i="14"/>
  <c r="T188" i="14"/>
  <c r="O188" i="14"/>
  <c r="P188" i="14" s="1"/>
  <c r="Q188" i="14" s="1"/>
  <c r="R188" i="14" s="1"/>
  <c r="J188" i="14"/>
  <c r="AG187" i="14"/>
  <c r="AH187" i="14" s="1"/>
  <c r="X187" i="14"/>
  <c r="T187" i="14"/>
  <c r="O187" i="14"/>
  <c r="P187" i="14" s="1"/>
  <c r="Q187" i="14" s="1"/>
  <c r="J187" i="14"/>
  <c r="AG186" i="14"/>
  <c r="AH186" i="14" s="1"/>
  <c r="X186" i="14"/>
  <c r="T186" i="14"/>
  <c r="O186" i="14"/>
  <c r="P186" i="14" s="1"/>
  <c r="Q186" i="14" s="1"/>
  <c r="R186" i="14" s="1"/>
  <c r="J186" i="14"/>
  <c r="AG185" i="14"/>
  <c r="AH185" i="14" s="1"/>
  <c r="X185" i="14"/>
  <c r="T185" i="14"/>
  <c r="O185" i="14"/>
  <c r="P185" i="14" s="1"/>
  <c r="Q185" i="14" s="1"/>
  <c r="R185" i="14" s="1"/>
  <c r="J185" i="14"/>
  <c r="AG184" i="14"/>
  <c r="AH184" i="14" s="1"/>
  <c r="X184" i="14"/>
  <c r="T184" i="14"/>
  <c r="O184" i="14"/>
  <c r="P184" i="14" s="1"/>
  <c r="Q184" i="14" s="1"/>
  <c r="R184" i="14" s="1"/>
  <c r="J184" i="14"/>
  <c r="AG183" i="14"/>
  <c r="AH183" i="14" s="1"/>
  <c r="X183" i="14"/>
  <c r="T183" i="14"/>
  <c r="O183" i="14"/>
  <c r="P183" i="14" s="1"/>
  <c r="Q183" i="14" s="1"/>
  <c r="J183" i="14"/>
  <c r="AG182" i="14"/>
  <c r="AH182" i="14" s="1"/>
  <c r="X182" i="14"/>
  <c r="T182" i="14"/>
  <c r="O182" i="14"/>
  <c r="P182" i="14" s="1"/>
  <c r="Q182" i="14" s="1"/>
  <c r="R182" i="14" s="1"/>
  <c r="J182" i="14"/>
  <c r="AG181" i="14"/>
  <c r="AH181" i="14" s="1"/>
  <c r="X181" i="14"/>
  <c r="T181" i="14"/>
  <c r="O181" i="14"/>
  <c r="P181" i="14" s="1"/>
  <c r="Q181" i="14" s="1"/>
  <c r="R181" i="14" s="1"/>
  <c r="J181" i="14"/>
  <c r="AG180" i="14"/>
  <c r="AH180" i="14" s="1"/>
  <c r="X180" i="14"/>
  <c r="T180" i="14"/>
  <c r="O180" i="14"/>
  <c r="P180" i="14" s="1"/>
  <c r="Q180" i="14" s="1"/>
  <c r="R180" i="14" s="1"/>
  <c r="J180" i="14"/>
  <c r="AG179" i="14"/>
  <c r="AH179" i="14" s="1"/>
  <c r="X179" i="14"/>
  <c r="T179" i="14"/>
  <c r="O179" i="14"/>
  <c r="P179" i="14" s="1"/>
  <c r="Q179" i="14" s="1"/>
  <c r="J179" i="14"/>
  <c r="AG178" i="14"/>
  <c r="AH178" i="14" s="1"/>
  <c r="X178" i="14"/>
  <c r="T178" i="14"/>
  <c r="O178" i="14"/>
  <c r="P178" i="14" s="1"/>
  <c r="Q178" i="14" s="1"/>
  <c r="R178" i="14" s="1"/>
  <c r="J178" i="14"/>
  <c r="AG177" i="14"/>
  <c r="AH177" i="14" s="1"/>
  <c r="X177" i="14"/>
  <c r="T177" i="14"/>
  <c r="U177" i="14" s="1"/>
  <c r="O177" i="14"/>
  <c r="P177" i="14" s="1"/>
  <c r="Q177" i="14" s="1"/>
  <c r="R177" i="14" s="1"/>
  <c r="J177" i="14"/>
  <c r="AG176" i="14"/>
  <c r="AH176" i="14" s="1"/>
  <c r="X176" i="14"/>
  <c r="T176" i="14"/>
  <c r="O176" i="14"/>
  <c r="P176" i="14" s="1"/>
  <c r="Q176" i="14" s="1"/>
  <c r="R176" i="14" s="1"/>
  <c r="J176" i="14"/>
  <c r="AG175" i="14"/>
  <c r="AH175" i="14" s="1"/>
  <c r="X175" i="14"/>
  <c r="T175" i="14"/>
  <c r="O175" i="14"/>
  <c r="P175" i="14" s="1"/>
  <c r="Q175" i="14" s="1"/>
  <c r="J175" i="14"/>
  <c r="AG174" i="14"/>
  <c r="AH174" i="14" s="1"/>
  <c r="X174" i="14"/>
  <c r="T174" i="14"/>
  <c r="O174" i="14"/>
  <c r="P174" i="14" s="1"/>
  <c r="Q174" i="14" s="1"/>
  <c r="R174" i="14" s="1"/>
  <c r="J174" i="14"/>
  <c r="AG173" i="14"/>
  <c r="AH173" i="14" s="1"/>
  <c r="X173" i="14"/>
  <c r="T173" i="14"/>
  <c r="O173" i="14"/>
  <c r="P173" i="14" s="1"/>
  <c r="Q173" i="14" s="1"/>
  <c r="R173" i="14" s="1"/>
  <c r="J173" i="14"/>
  <c r="AG172" i="14"/>
  <c r="AH172" i="14" s="1"/>
  <c r="X172" i="14"/>
  <c r="T172" i="14"/>
  <c r="O172" i="14"/>
  <c r="P172" i="14" s="1"/>
  <c r="Q172" i="14" s="1"/>
  <c r="R172" i="14" s="1"/>
  <c r="J172" i="14"/>
  <c r="AH171" i="14"/>
  <c r="AG171" i="14"/>
  <c r="X171" i="14"/>
  <c r="T171" i="14"/>
  <c r="O171" i="14"/>
  <c r="P171" i="14" s="1"/>
  <c r="Q171" i="14" s="1"/>
  <c r="J171" i="14"/>
  <c r="AG170" i="14"/>
  <c r="AH170" i="14" s="1"/>
  <c r="X170" i="14"/>
  <c r="T170" i="14"/>
  <c r="O170" i="14"/>
  <c r="P170" i="14" s="1"/>
  <c r="Q170" i="14" s="1"/>
  <c r="R170" i="14" s="1"/>
  <c r="J170" i="14"/>
  <c r="AG169" i="14"/>
  <c r="AH169" i="14" s="1"/>
  <c r="X169" i="14"/>
  <c r="T169" i="14"/>
  <c r="O169" i="14"/>
  <c r="P169" i="14" s="1"/>
  <c r="Q169" i="14" s="1"/>
  <c r="R169" i="14" s="1"/>
  <c r="J169" i="14"/>
  <c r="AG168" i="14"/>
  <c r="AH168" i="14" s="1"/>
  <c r="X168" i="14"/>
  <c r="T168" i="14"/>
  <c r="O168" i="14"/>
  <c r="P168" i="14" s="1"/>
  <c r="Q168" i="14" s="1"/>
  <c r="R168" i="14" s="1"/>
  <c r="J168" i="14"/>
  <c r="AG167" i="14"/>
  <c r="AH167" i="14" s="1"/>
  <c r="X167" i="14"/>
  <c r="T167" i="14"/>
  <c r="O167" i="14"/>
  <c r="P167" i="14" s="1"/>
  <c r="Q167" i="14" s="1"/>
  <c r="J167" i="14"/>
  <c r="AG166" i="14"/>
  <c r="AH166" i="14" s="1"/>
  <c r="X166" i="14"/>
  <c r="T166" i="14"/>
  <c r="O166" i="14"/>
  <c r="P166" i="14" s="1"/>
  <c r="Q166" i="14" s="1"/>
  <c r="R166" i="14" s="1"/>
  <c r="J166" i="14"/>
  <c r="AG165" i="14"/>
  <c r="AH165" i="14" s="1"/>
  <c r="X165" i="14"/>
  <c r="T165" i="14"/>
  <c r="O165" i="14"/>
  <c r="P165" i="14" s="1"/>
  <c r="Q165" i="14" s="1"/>
  <c r="R165" i="14" s="1"/>
  <c r="J165" i="14"/>
  <c r="AG164" i="14"/>
  <c r="AH164" i="14" s="1"/>
  <c r="X164" i="14"/>
  <c r="T164" i="14"/>
  <c r="O164" i="14"/>
  <c r="P164" i="14" s="1"/>
  <c r="Q164" i="14" s="1"/>
  <c r="R164" i="14" s="1"/>
  <c r="J164" i="14"/>
  <c r="AG163" i="14"/>
  <c r="AH163" i="14" s="1"/>
  <c r="X163" i="14"/>
  <c r="T163" i="14"/>
  <c r="O163" i="14"/>
  <c r="P163" i="14" s="1"/>
  <c r="Q163" i="14" s="1"/>
  <c r="J163" i="14"/>
  <c r="AG162" i="14"/>
  <c r="AH162" i="14" s="1"/>
  <c r="X162" i="14"/>
  <c r="T162" i="14"/>
  <c r="O162" i="14"/>
  <c r="P162" i="14" s="1"/>
  <c r="Q162" i="14" s="1"/>
  <c r="R162" i="14" s="1"/>
  <c r="J162" i="14"/>
  <c r="AG161" i="14"/>
  <c r="AH161" i="14" s="1"/>
  <c r="X161" i="14"/>
  <c r="T161" i="14"/>
  <c r="O161" i="14"/>
  <c r="P161" i="14" s="1"/>
  <c r="Q161" i="14" s="1"/>
  <c r="R161" i="14" s="1"/>
  <c r="J161" i="14"/>
  <c r="AG160" i="14"/>
  <c r="AH160" i="14" s="1"/>
  <c r="X160" i="14"/>
  <c r="T160" i="14"/>
  <c r="O160" i="14"/>
  <c r="P160" i="14" s="1"/>
  <c r="Q160" i="14" s="1"/>
  <c r="R160" i="14" s="1"/>
  <c r="J160" i="14"/>
  <c r="AG159" i="14"/>
  <c r="AH159" i="14" s="1"/>
  <c r="X159" i="14"/>
  <c r="T159" i="14"/>
  <c r="O159" i="14"/>
  <c r="P159" i="14" s="1"/>
  <c r="Q159" i="14" s="1"/>
  <c r="J159" i="14"/>
  <c r="AG158" i="14"/>
  <c r="AH158" i="14" s="1"/>
  <c r="X158" i="14"/>
  <c r="T158" i="14"/>
  <c r="O158" i="14"/>
  <c r="P158" i="14" s="1"/>
  <c r="Q158" i="14" s="1"/>
  <c r="R158" i="14" s="1"/>
  <c r="J158" i="14"/>
  <c r="AG157" i="14"/>
  <c r="AH157" i="14" s="1"/>
  <c r="X157" i="14"/>
  <c r="T157" i="14"/>
  <c r="O157" i="14"/>
  <c r="P157" i="14" s="1"/>
  <c r="Q157" i="14" s="1"/>
  <c r="R157" i="14" s="1"/>
  <c r="J157" i="14"/>
  <c r="AG156" i="14"/>
  <c r="AH156" i="14" s="1"/>
  <c r="X156" i="14"/>
  <c r="T156" i="14"/>
  <c r="O156" i="14"/>
  <c r="P156" i="14" s="1"/>
  <c r="Q156" i="14" s="1"/>
  <c r="R156" i="14" s="1"/>
  <c r="J156" i="14"/>
  <c r="AG155" i="14"/>
  <c r="AH155" i="14" s="1"/>
  <c r="X155" i="14"/>
  <c r="T155" i="14"/>
  <c r="O155" i="14"/>
  <c r="P155" i="14" s="1"/>
  <c r="Q155" i="14" s="1"/>
  <c r="J155" i="14"/>
  <c r="AG154" i="14"/>
  <c r="AH154" i="14" s="1"/>
  <c r="X154" i="14"/>
  <c r="T154" i="14"/>
  <c r="O154" i="14"/>
  <c r="P154" i="14" s="1"/>
  <c r="Q154" i="14" s="1"/>
  <c r="R154" i="14" s="1"/>
  <c r="J154" i="14"/>
  <c r="AG153" i="14"/>
  <c r="AH153" i="14" s="1"/>
  <c r="X153" i="14"/>
  <c r="T153" i="14"/>
  <c r="O153" i="14"/>
  <c r="P153" i="14" s="1"/>
  <c r="Q153" i="14" s="1"/>
  <c r="R153" i="14" s="1"/>
  <c r="J153" i="14"/>
  <c r="AG152" i="14"/>
  <c r="AH152" i="14" s="1"/>
  <c r="X152" i="14"/>
  <c r="T152" i="14"/>
  <c r="O152" i="14"/>
  <c r="P152" i="14" s="1"/>
  <c r="Q152" i="14" s="1"/>
  <c r="R152" i="14" s="1"/>
  <c r="J152" i="14"/>
  <c r="AG151" i="14"/>
  <c r="AH151" i="14" s="1"/>
  <c r="X151" i="14"/>
  <c r="T151" i="14"/>
  <c r="O151" i="14"/>
  <c r="P151" i="14" s="1"/>
  <c r="Q151" i="14" s="1"/>
  <c r="J151" i="14"/>
  <c r="AG150" i="14"/>
  <c r="AH150" i="14" s="1"/>
  <c r="X150" i="14"/>
  <c r="T150" i="14"/>
  <c r="O150" i="14"/>
  <c r="P150" i="14" s="1"/>
  <c r="Q150" i="14" s="1"/>
  <c r="R150" i="14" s="1"/>
  <c r="J150" i="14"/>
  <c r="AG149" i="14"/>
  <c r="AH149" i="14" s="1"/>
  <c r="X149" i="14"/>
  <c r="T149" i="14"/>
  <c r="O149" i="14"/>
  <c r="P149" i="14" s="1"/>
  <c r="Q149" i="14" s="1"/>
  <c r="R149" i="14" s="1"/>
  <c r="J149" i="14"/>
  <c r="AG148" i="14"/>
  <c r="AH148" i="14" s="1"/>
  <c r="X148" i="14"/>
  <c r="T148" i="14"/>
  <c r="O148" i="14"/>
  <c r="P148" i="14" s="1"/>
  <c r="Q148" i="14" s="1"/>
  <c r="R148" i="14" s="1"/>
  <c r="J148" i="14"/>
  <c r="AG147" i="14"/>
  <c r="AH147" i="14" s="1"/>
  <c r="X147" i="14"/>
  <c r="T147" i="14"/>
  <c r="O147" i="14"/>
  <c r="P147" i="14" s="1"/>
  <c r="Q147" i="14" s="1"/>
  <c r="J147" i="14"/>
  <c r="AG146" i="14"/>
  <c r="AH146" i="14" s="1"/>
  <c r="X146" i="14"/>
  <c r="T146" i="14"/>
  <c r="O146" i="14"/>
  <c r="P146" i="14" s="1"/>
  <c r="Q146" i="14" s="1"/>
  <c r="R146" i="14" s="1"/>
  <c r="J146" i="14"/>
  <c r="AG145" i="14"/>
  <c r="AH145" i="14" s="1"/>
  <c r="X145" i="14"/>
  <c r="T145" i="14"/>
  <c r="O145" i="14"/>
  <c r="P145" i="14" s="1"/>
  <c r="Q145" i="14" s="1"/>
  <c r="R145" i="14" s="1"/>
  <c r="J145" i="14"/>
  <c r="AG144" i="14"/>
  <c r="AH144" i="14" s="1"/>
  <c r="X144" i="14"/>
  <c r="T144" i="14"/>
  <c r="O144" i="14"/>
  <c r="P144" i="14" s="1"/>
  <c r="Q144" i="14" s="1"/>
  <c r="R144" i="14" s="1"/>
  <c r="J144" i="14"/>
  <c r="AG143" i="14"/>
  <c r="AH143" i="14" s="1"/>
  <c r="X143" i="14"/>
  <c r="T143" i="14"/>
  <c r="O143" i="14"/>
  <c r="P143" i="14" s="1"/>
  <c r="Q143" i="14" s="1"/>
  <c r="J143" i="14"/>
  <c r="AG142" i="14"/>
  <c r="AH142" i="14" s="1"/>
  <c r="X142" i="14"/>
  <c r="T142" i="14"/>
  <c r="O142" i="14"/>
  <c r="P142" i="14" s="1"/>
  <c r="Q142" i="14" s="1"/>
  <c r="R142" i="14" s="1"/>
  <c r="J142" i="14"/>
  <c r="AG141" i="14"/>
  <c r="AH141" i="14" s="1"/>
  <c r="X141" i="14"/>
  <c r="T141" i="14"/>
  <c r="O141" i="14"/>
  <c r="P141" i="14" s="1"/>
  <c r="Q141" i="14" s="1"/>
  <c r="R141" i="14" s="1"/>
  <c r="J141" i="14"/>
  <c r="AG140" i="14"/>
  <c r="AH140" i="14" s="1"/>
  <c r="X140" i="14"/>
  <c r="T140" i="14"/>
  <c r="O140" i="14"/>
  <c r="P140" i="14" s="1"/>
  <c r="Q140" i="14" s="1"/>
  <c r="R140" i="14" s="1"/>
  <c r="J140" i="14"/>
  <c r="AG139" i="14"/>
  <c r="AH139" i="14" s="1"/>
  <c r="X139" i="14"/>
  <c r="T139" i="14"/>
  <c r="O139" i="14"/>
  <c r="P139" i="14" s="1"/>
  <c r="Q139" i="14" s="1"/>
  <c r="J139" i="14"/>
  <c r="AG138" i="14"/>
  <c r="AH138" i="14" s="1"/>
  <c r="X138" i="14"/>
  <c r="T138" i="14"/>
  <c r="O138" i="14"/>
  <c r="P138" i="14" s="1"/>
  <c r="Q138" i="14" s="1"/>
  <c r="R138" i="14" s="1"/>
  <c r="J138" i="14"/>
  <c r="AG137" i="14"/>
  <c r="AH137" i="14" s="1"/>
  <c r="X137" i="14"/>
  <c r="T137" i="14"/>
  <c r="O137" i="14"/>
  <c r="P137" i="14" s="1"/>
  <c r="Q137" i="14" s="1"/>
  <c r="R137" i="14" s="1"/>
  <c r="J137" i="14"/>
  <c r="AG136" i="14"/>
  <c r="AH136" i="14" s="1"/>
  <c r="X136" i="14"/>
  <c r="T136" i="14"/>
  <c r="O136" i="14"/>
  <c r="P136" i="14" s="1"/>
  <c r="Q136" i="14" s="1"/>
  <c r="R136" i="14" s="1"/>
  <c r="J136" i="14"/>
  <c r="AG135" i="14"/>
  <c r="AH135" i="14" s="1"/>
  <c r="X135" i="14"/>
  <c r="T135" i="14"/>
  <c r="O135" i="14"/>
  <c r="P135" i="14" s="1"/>
  <c r="Q135" i="14" s="1"/>
  <c r="J135" i="14"/>
  <c r="AG134" i="14"/>
  <c r="AH134" i="14" s="1"/>
  <c r="X134" i="14"/>
  <c r="T134" i="14"/>
  <c r="O134" i="14"/>
  <c r="P134" i="14" s="1"/>
  <c r="Q134" i="14" s="1"/>
  <c r="R134" i="14" s="1"/>
  <c r="J134" i="14"/>
  <c r="AG133" i="14"/>
  <c r="AH133" i="14" s="1"/>
  <c r="X133" i="14"/>
  <c r="T133" i="14"/>
  <c r="O133" i="14"/>
  <c r="P133" i="14" s="1"/>
  <c r="Q133" i="14" s="1"/>
  <c r="R133" i="14" s="1"/>
  <c r="J133" i="14"/>
  <c r="AG132" i="14"/>
  <c r="AH132" i="14" s="1"/>
  <c r="X132" i="14"/>
  <c r="T132" i="14"/>
  <c r="O132" i="14"/>
  <c r="P132" i="14" s="1"/>
  <c r="Q132" i="14" s="1"/>
  <c r="R132" i="14" s="1"/>
  <c r="J132" i="14"/>
  <c r="AG131" i="14"/>
  <c r="AH131" i="14" s="1"/>
  <c r="X131" i="14"/>
  <c r="T131" i="14"/>
  <c r="O131" i="14"/>
  <c r="P131" i="14" s="1"/>
  <c r="Q131" i="14" s="1"/>
  <c r="J131" i="14"/>
  <c r="AG130" i="14"/>
  <c r="AH130" i="14" s="1"/>
  <c r="X130" i="14"/>
  <c r="T130" i="14"/>
  <c r="O130" i="14"/>
  <c r="P130" i="14" s="1"/>
  <c r="Q130" i="14" s="1"/>
  <c r="R130" i="14" s="1"/>
  <c r="J130" i="14"/>
  <c r="AG129" i="14"/>
  <c r="AH129" i="14" s="1"/>
  <c r="X129" i="14"/>
  <c r="T129" i="14"/>
  <c r="O129" i="14"/>
  <c r="P129" i="14" s="1"/>
  <c r="Q129" i="14" s="1"/>
  <c r="R129" i="14" s="1"/>
  <c r="J129" i="14"/>
  <c r="AG128" i="14"/>
  <c r="AH128" i="14" s="1"/>
  <c r="X128" i="14"/>
  <c r="T128" i="14"/>
  <c r="O128" i="14"/>
  <c r="P128" i="14" s="1"/>
  <c r="Q128" i="14" s="1"/>
  <c r="R128" i="14" s="1"/>
  <c r="J128" i="14"/>
  <c r="AG127" i="14"/>
  <c r="AH127" i="14" s="1"/>
  <c r="X127" i="14"/>
  <c r="T127" i="14"/>
  <c r="O127" i="14"/>
  <c r="P127" i="14" s="1"/>
  <c r="Q127" i="14" s="1"/>
  <c r="J127" i="14"/>
  <c r="AG126" i="14"/>
  <c r="AH126" i="14" s="1"/>
  <c r="X126" i="14"/>
  <c r="T126" i="14"/>
  <c r="O126" i="14"/>
  <c r="P126" i="14" s="1"/>
  <c r="Q126" i="14" s="1"/>
  <c r="R126" i="14" s="1"/>
  <c r="J126" i="14"/>
  <c r="AG125" i="14"/>
  <c r="AH125" i="14" s="1"/>
  <c r="X125" i="14"/>
  <c r="T125" i="14"/>
  <c r="O125" i="14"/>
  <c r="P125" i="14" s="1"/>
  <c r="Q125" i="14" s="1"/>
  <c r="R125" i="14" s="1"/>
  <c r="J125" i="14"/>
  <c r="AG124" i="14"/>
  <c r="AH124" i="14" s="1"/>
  <c r="X124" i="14"/>
  <c r="T124" i="14"/>
  <c r="O124" i="14"/>
  <c r="P124" i="14" s="1"/>
  <c r="Q124" i="14" s="1"/>
  <c r="R124" i="14" s="1"/>
  <c r="J124" i="14"/>
  <c r="AG123" i="14"/>
  <c r="AH123" i="14" s="1"/>
  <c r="X123" i="14"/>
  <c r="T123" i="14"/>
  <c r="O123" i="14"/>
  <c r="P123" i="14" s="1"/>
  <c r="Q123" i="14" s="1"/>
  <c r="J123" i="14"/>
  <c r="AG122" i="14"/>
  <c r="AH122" i="14" s="1"/>
  <c r="X122" i="14"/>
  <c r="T122" i="14"/>
  <c r="O122" i="14"/>
  <c r="P122" i="14" s="1"/>
  <c r="Q122" i="14" s="1"/>
  <c r="R122" i="14" s="1"/>
  <c r="J122" i="14"/>
  <c r="AG121" i="14"/>
  <c r="AH121" i="14" s="1"/>
  <c r="X121" i="14"/>
  <c r="T121" i="14"/>
  <c r="O121" i="14"/>
  <c r="P121" i="14" s="1"/>
  <c r="Q121" i="14" s="1"/>
  <c r="R121" i="14" s="1"/>
  <c r="J121" i="14"/>
  <c r="AG120" i="14"/>
  <c r="AH120" i="14" s="1"/>
  <c r="X120" i="14"/>
  <c r="T120" i="14"/>
  <c r="O120" i="14"/>
  <c r="P120" i="14" s="1"/>
  <c r="Q120" i="14" s="1"/>
  <c r="R120" i="14" s="1"/>
  <c r="J120" i="14"/>
  <c r="AG119" i="14"/>
  <c r="AH119" i="14" s="1"/>
  <c r="X119" i="14"/>
  <c r="T119" i="14"/>
  <c r="O119" i="14"/>
  <c r="P119" i="14" s="1"/>
  <c r="Q119" i="14" s="1"/>
  <c r="J119" i="14"/>
  <c r="AG118" i="14"/>
  <c r="AH118" i="14" s="1"/>
  <c r="X118" i="14"/>
  <c r="T118" i="14"/>
  <c r="O118" i="14"/>
  <c r="P118" i="14" s="1"/>
  <c r="Q118" i="14" s="1"/>
  <c r="R118" i="14" s="1"/>
  <c r="J118" i="14"/>
  <c r="AG117" i="14"/>
  <c r="AH117" i="14" s="1"/>
  <c r="X117" i="14"/>
  <c r="T117" i="14"/>
  <c r="O117" i="14"/>
  <c r="P117" i="14" s="1"/>
  <c r="Q117" i="14" s="1"/>
  <c r="R117" i="14" s="1"/>
  <c r="J117" i="14"/>
  <c r="AG116" i="14"/>
  <c r="AH116" i="14" s="1"/>
  <c r="X116" i="14"/>
  <c r="T116" i="14"/>
  <c r="O116" i="14"/>
  <c r="P116" i="14" s="1"/>
  <c r="Q116" i="14" s="1"/>
  <c r="R116" i="14" s="1"/>
  <c r="J116" i="14"/>
  <c r="AG115" i="14"/>
  <c r="AH115" i="14" s="1"/>
  <c r="X115" i="14"/>
  <c r="T115" i="14"/>
  <c r="O115" i="14"/>
  <c r="P115" i="14" s="1"/>
  <c r="Q115" i="14" s="1"/>
  <c r="J115" i="14"/>
  <c r="AG114" i="14"/>
  <c r="AH114" i="14" s="1"/>
  <c r="X114" i="14"/>
  <c r="T114" i="14"/>
  <c r="O114" i="14"/>
  <c r="P114" i="14" s="1"/>
  <c r="Q114" i="14" s="1"/>
  <c r="R114" i="14" s="1"/>
  <c r="J114" i="14"/>
  <c r="AG113" i="14"/>
  <c r="AH113" i="14" s="1"/>
  <c r="X113" i="14"/>
  <c r="T113" i="14"/>
  <c r="U113" i="14" s="1"/>
  <c r="O113" i="14"/>
  <c r="P113" i="14" s="1"/>
  <c r="Q113" i="14" s="1"/>
  <c r="R113" i="14" s="1"/>
  <c r="J113" i="14"/>
  <c r="AG112" i="14"/>
  <c r="AH112" i="14" s="1"/>
  <c r="X112" i="14"/>
  <c r="T112" i="14"/>
  <c r="O112" i="14"/>
  <c r="P112" i="14" s="1"/>
  <c r="Q112" i="14" s="1"/>
  <c r="R112" i="14" s="1"/>
  <c r="J112" i="14"/>
  <c r="AG111" i="14"/>
  <c r="AH111" i="14" s="1"/>
  <c r="X111" i="14"/>
  <c r="T111" i="14"/>
  <c r="O111" i="14"/>
  <c r="P111" i="14" s="1"/>
  <c r="Q111" i="14" s="1"/>
  <c r="J111" i="14"/>
  <c r="AG110" i="14"/>
  <c r="AH110" i="14" s="1"/>
  <c r="X110" i="14"/>
  <c r="T110" i="14"/>
  <c r="O110" i="14"/>
  <c r="P110" i="14" s="1"/>
  <c r="Q110" i="14" s="1"/>
  <c r="R110" i="14" s="1"/>
  <c r="J110" i="14"/>
  <c r="AG109" i="14"/>
  <c r="AH109" i="14" s="1"/>
  <c r="X109" i="14"/>
  <c r="T109" i="14"/>
  <c r="O109" i="14"/>
  <c r="P109" i="14" s="1"/>
  <c r="Q109" i="14" s="1"/>
  <c r="R109" i="14" s="1"/>
  <c r="J109" i="14"/>
  <c r="AG108" i="14"/>
  <c r="AH108" i="14" s="1"/>
  <c r="X108" i="14"/>
  <c r="T108" i="14"/>
  <c r="O108" i="14"/>
  <c r="P108" i="14" s="1"/>
  <c r="Q108" i="14" s="1"/>
  <c r="R108" i="14" s="1"/>
  <c r="J108" i="14"/>
  <c r="AG107" i="14"/>
  <c r="AH107" i="14" s="1"/>
  <c r="X107" i="14"/>
  <c r="T107" i="14"/>
  <c r="O107" i="14"/>
  <c r="P107" i="14" s="1"/>
  <c r="Q107" i="14" s="1"/>
  <c r="J107" i="14"/>
  <c r="AG106" i="14"/>
  <c r="AH106" i="14" s="1"/>
  <c r="X106" i="14"/>
  <c r="T106" i="14"/>
  <c r="O106" i="14"/>
  <c r="P106" i="14" s="1"/>
  <c r="Q106" i="14" s="1"/>
  <c r="R106" i="14" s="1"/>
  <c r="J106" i="14"/>
  <c r="AG105" i="14"/>
  <c r="AH105" i="14" s="1"/>
  <c r="X105" i="14"/>
  <c r="T105" i="14"/>
  <c r="O105" i="14"/>
  <c r="P105" i="14" s="1"/>
  <c r="Q105" i="14" s="1"/>
  <c r="R105" i="14" s="1"/>
  <c r="J105" i="14"/>
  <c r="AG104" i="14"/>
  <c r="AH104" i="14" s="1"/>
  <c r="X104" i="14"/>
  <c r="T104" i="14"/>
  <c r="O104" i="14"/>
  <c r="P104" i="14" s="1"/>
  <c r="Q104" i="14" s="1"/>
  <c r="R104" i="14" s="1"/>
  <c r="J104" i="14"/>
  <c r="AG103" i="14"/>
  <c r="AH103" i="14" s="1"/>
  <c r="X103" i="14"/>
  <c r="T103" i="14"/>
  <c r="O103" i="14"/>
  <c r="P103" i="14" s="1"/>
  <c r="Q103" i="14" s="1"/>
  <c r="J103" i="14"/>
  <c r="AG102" i="14"/>
  <c r="AH102" i="14" s="1"/>
  <c r="X102" i="14"/>
  <c r="T102" i="14"/>
  <c r="O102" i="14"/>
  <c r="P102" i="14" s="1"/>
  <c r="Q102" i="14" s="1"/>
  <c r="R102" i="14" s="1"/>
  <c r="J102" i="14"/>
  <c r="AG101" i="14"/>
  <c r="AH101" i="14" s="1"/>
  <c r="X101" i="14"/>
  <c r="T101" i="14"/>
  <c r="O101" i="14"/>
  <c r="P101" i="14" s="1"/>
  <c r="Q101" i="14" s="1"/>
  <c r="R101" i="14" s="1"/>
  <c r="J101" i="14"/>
  <c r="AG100" i="14"/>
  <c r="AH100" i="14" s="1"/>
  <c r="X100" i="14"/>
  <c r="T100" i="14"/>
  <c r="O100" i="14"/>
  <c r="P100" i="14" s="1"/>
  <c r="Q100" i="14" s="1"/>
  <c r="R100" i="14" s="1"/>
  <c r="J100" i="14"/>
  <c r="AG99" i="14"/>
  <c r="AH99" i="14" s="1"/>
  <c r="X99" i="14"/>
  <c r="T99" i="14"/>
  <c r="O99" i="14"/>
  <c r="P99" i="14" s="1"/>
  <c r="Q99" i="14" s="1"/>
  <c r="J99" i="14"/>
  <c r="AG98" i="14"/>
  <c r="AH98" i="14" s="1"/>
  <c r="X98" i="14"/>
  <c r="T98" i="14"/>
  <c r="O98" i="14"/>
  <c r="P98" i="14" s="1"/>
  <c r="Q98" i="14" s="1"/>
  <c r="R98" i="14" s="1"/>
  <c r="J98" i="14"/>
  <c r="AG97" i="14"/>
  <c r="AH97" i="14" s="1"/>
  <c r="X97" i="14"/>
  <c r="T97" i="14"/>
  <c r="O97" i="14"/>
  <c r="P97" i="14" s="1"/>
  <c r="Q97" i="14" s="1"/>
  <c r="R97" i="14" s="1"/>
  <c r="J97" i="14"/>
  <c r="AG96" i="14"/>
  <c r="AH96" i="14" s="1"/>
  <c r="X96" i="14"/>
  <c r="T96" i="14"/>
  <c r="O96" i="14"/>
  <c r="P96" i="14" s="1"/>
  <c r="Q96" i="14" s="1"/>
  <c r="R96" i="14" s="1"/>
  <c r="J96" i="14"/>
  <c r="AG95" i="14"/>
  <c r="AH95" i="14" s="1"/>
  <c r="X95" i="14"/>
  <c r="T95" i="14"/>
  <c r="O95" i="14"/>
  <c r="P95" i="14" s="1"/>
  <c r="Q95" i="14" s="1"/>
  <c r="J95" i="14"/>
  <c r="AG94" i="14"/>
  <c r="AH94" i="14" s="1"/>
  <c r="X94" i="14"/>
  <c r="T94" i="14"/>
  <c r="O94" i="14"/>
  <c r="P94" i="14" s="1"/>
  <c r="Q94" i="14" s="1"/>
  <c r="R94" i="14" s="1"/>
  <c r="J94" i="14"/>
  <c r="AG93" i="14"/>
  <c r="AH93" i="14" s="1"/>
  <c r="X93" i="14"/>
  <c r="T93" i="14"/>
  <c r="O93" i="14"/>
  <c r="P93" i="14" s="1"/>
  <c r="Q93" i="14" s="1"/>
  <c r="R93" i="14" s="1"/>
  <c r="J93" i="14"/>
  <c r="AG92" i="14"/>
  <c r="AH92" i="14" s="1"/>
  <c r="X92" i="14"/>
  <c r="T92" i="14"/>
  <c r="O92" i="14"/>
  <c r="P92" i="14" s="1"/>
  <c r="Q92" i="14" s="1"/>
  <c r="R92" i="14" s="1"/>
  <c r="J92" i="14"/>
  <c r="AG91" i="14"/>
  <c r="AH91" i="14" s="1"/>
  <c r="X91" i="14"/>
  <c r="T91" i="14"/>
  <c r="O91" i="14"/>
  <c r="P91" i="14" s="1"/>
  <c r="Q91" i="14" s="1"/>
  <c r="J91" i="14"/>
  <c r="AG90" i="14"/>
  <c r="AH90" i="14" s="1"/>
  <c r="X90" i="14"/>
  <c r="T90" i="14"/>
  <c r="O90" i="14"/>
  <c r="P90" i="14" s="1"/>
  <c r="Q90" i="14" s="1"/>
  <c r="R90" i="14" s="1"/>
  <c r="J90" i="14"/>
  <c r="AG89" i="14"/>
  <c r="AH89" i="14" s="1"/>
  <c r="X89" i="14"/>
  <c r="T89" i="14"/>
  <c r="O89" i="14"/>
  <c r="P89" i="14" s="1"/>
  <c r="Q89" i="14" s="1"/>
  <c r="R89" i="14" s="1"/>
  <c r="J89" i="14"/>
  <c r="AG88" i="14"/>
  <c r="AH88" i="14" s="1"/>
  <c r="X88" i="14"/>
  <c r="T88" i="14"/>
  <c r="O88" i="14"/>
  <c r="P88" i="14" s="1"/>
  <c r="Q88" i="14" s="1"/>
  <c r="R88" i="14" s="1"/>
  <c r="J88" i="14"/>
  <c r="AG87" i="14"/>
  <c r="AH87" i="14" s="1"/>
  <c r="X87" i="14"/>
  <c r="T87" i="14"/>
  <c r="O87" i="14"/>
  <c r="P87" i="14" s="1"/>
  <c r="Q87" i="14" s="1"/>
  <c r="J87" i="14"/>
  <c r="AG86" i="14"/>
  <c r="AH86" i="14" s="1"/>
  <c r="X86" i="14"/>
  <c r="T86" i="14"/>
  <c r="O86" i="14"/>
  <c r="P86" i="14" s="1"/>
  <c r="Q86" i="14" s="1"/>
  <c r="R86" i="14" s="1"/>
  <c r="J86" i="14"/>
  <c r="AG85" i="14"/>
  <c r="AH85" i="14" s="1"/>
  <c r="X85" i="14"/>
  <c r="T85" i="14"/>
  <c r="O85" i="14"/>
  <c r="P85" i="14" s="1"/>
  <c r="Q85" i="14" s="1"/>
  <c r="R85" i="14" s="1"/>
  <c r="J85" i="14"/>
  <c r="AG84" i="14"/>
  <c r="AH84" i="14" s="1"/>
  <c r="X84" i="14"/>
  <c r="T84" i="14"/>
  <c r="O84" i="14"/>
  <c r="P84" i="14" s="1"/>
  <c r="Q84" i="14" s="1"/>
  <c r="R84" i="14" s="1"/>
  <c r="J84" i="14"/>
  <c r="AG83" i="14"/>
  <c r="AH83" i="14" s="1"/>
  <c r="X83" i="14"/>
  <c r="T83" i="14"/>
  <c r="O83" i="14"/>
  <c r="P83" i="14" s="1"/>
  <c r="Q83" i="14" s="1"/>
  <c r="J83" i="14"/>
  <c r="AG82" i="14"/>
  <c r="AH82" i="14" s="1"/>
  <c r="X82" i="14"/>
  <c r="T82" i="14"/>
  <c r="O82" i="14"/>
  <c r="P82" i="14" s="1"/>
  <c r="Q82" i="14" s="1"/>
  <c r="R82" i="14" s="1"/>
  <c r="J82" i="14"/>
  <c r="AG81" i="14"/>
  <c r="AH81" i="14" s="1"/>
  <c r="X81" i="14"/>
  <c r="T81" i="14"/>
  <c r="U81" i="14" s="1"/>
  <c r="O81" i="14"/>
  <c r="P81" i="14" s="1"/>
  <c r="Q81" i="14" s="1"/>
  <c r="R81" i="14" s="1"/>
  <c r="J81" i="14"/>
  <c r="AG80" i="14"/>
  <c r="AH80" i="14" s="1"/>
  <c r="X80" i="14"/>
  <c r="T80" i="14"/>
  <c r="O80" i="14"/>
  <c r="P80" i="14" s="1"/>
  <c r="Q80" i="14" s="1"/>
  <c r="R80" i="14" s="1"/>
  <c r="J80" i="14"/>
  <c r="AG79" i="14"/>
  <c r="AH79" i="14" s="1"/>
  <c r="X79" i="14"/>
  <c r="T79" i="14"/>
  <c r="O79" i="14"/>
  <c r="P79" i="14" s="1"/>
  <c r="Q79" i="14" s="1"/>
  <c r="J79" i="14"/>
  <c r="AG78" i="14"/>
  <c r="AH78" i="14" s="1"/>
  <c r="X78" i="14"/>
  <c r="T78" i="14"/>
  <c r="O78" i="14"/>
  <c r="P78" i="14" s="1"/>
  <c r="Q78" i="14" s="1"/>
  <c r="R78" i="14" s="1"/>
  <c r="J78" i="14"/>
  <c r="AG77" i="14"/>
  <c r="AH77" i="14" s="1"/>
  <c r="X77" i="14"/>
  <c r="T77" i="14"/>
  <c r="O77" i="14"/>
  <c r="P77" i="14" s="1"/>
  <c r="Q77" i="14" s="1"/>
  <c r="R77" i="14" s="1"/>
  <c r="J77" i="14"/>
  <c r="AG76" i="14"/>
  <c r="AH76" i="14" s="1"/>
  <c r="X76" i="14"/>
  <c r="T76" i="14"/>
  <c r="O76" i="14"/>
  <c r="P76" i="14" s="1"/>
  <c r="Q76" i="14" s="1"/>
  <c r="R76" i="14" s="1"/>
  <c r="J76" i="14"/>
  <c r="AG75" i="14"/>
  <c r="AH75" i="14" s="1"/>
  <c r="X75" i="14"/>
  <c r="T75" i="14"/>
  <c r="O75" i="14"/>
  <c r="P75" i="14" s="1"/>
  <c r="Q75" i="14" s="1"/>
  <c r="J75" i="14"/>
  <c r="AG74" i="14"/>
  <c r="AH74" i="14" s="1"/>
  <c r="X74" i="14"/>
  <c r="T74" i="14"/>
  <c r="O74" i="14"/>
  <c r="P74" i="14" s="1"/>
  <c r="Q74" i="14" s="1"/>
  <c r="R74" i="14" s="1"/>
  <c r="J74" i="14"/>
  <c r="AG73" i="14"/>
  <c r="AH73" i="14" s="1"/>
  <c r="X73" i="14"/>
  <c r="T73" i="14"/>
  <c r="O73" i="14"/>
  <c r="P73" i="14" s="1"/>
  <c r="Q73" i="14" s="1"/>
  <c r="R73" i="14" s="1"/>
  <c r="J73" i="14"/>
  <c r="AG72" i="14"/>
  <c r="AH72" i="14" s="1"/>
  <c r="X72" i="14"/>
  <c r="T72" i="14"/>
  <c r="O72" i="14"/>
  <c r="P72" i="14" s="1"/>
  <c r="Q72" i="14" s="1"/>
  <c r="R72" i="14" s="1"/>
  <c r="J72" i="14"/>
  <c r="AG71" i="14"/>
  <c r="AH71" i="14" s="1"/>
  <c r="X71" i="14"/>
  <c r="T71" i="14"/>
  <c r="O71" i="14"/>
  <c r="P71" i="14" s="1"/>
  <c r="Q71" i="14" s="1"/>
  <c r="J71" i="14"/>
  <c r="AG70" i="14"/>
  <c r="AH70" i="14" s="1"/>
  <c r="X70" i="14"/>
  <c r="T70" i="14"/>
  <c r="O70" i="14"/>
  <c r="P70" i="14" s="1"/>
  <c r="Q70" i="14" s="1"/>
  <c r="R70" i="14" s="1"/>
  <c r="J70" i="14"/>
  <c r="AG69" i="14"/>
  <c r="AH69" i="14" s="1"/>
  <c r="X69" i="14"/>
  <c r="T69" i="14"/>
  <c r="O69" i="14"/>
  <c r="P69" i="14" s="1"/>
  <c r="Q69" i="14" s="1"/>
  <c r="R69" i="14" s="1"/>
  <c r="J69" i="14"/>
  <c r="AG68" i="14"/>
  <c r="AH68" i="14" s="1"/>
  <c r="X68" i="14"/>
  <c r="T68" i="14"/>
  <c r="O68" i="14"/>
  <c r="P68" i="14" s="1"/>
  <c r="Q68" i="14" s="1"/>
  <c r="R68" i="14" s="1"/>
  <c r="J68" i="14"/>
  <c r="AG67" i="14"/>
  <c r="AH67" i="14" s="1"/>
  <c r="X67" i="14"/>
  <c r="T67" i="14"/>
  <c r="O67" i="14"/>
  <c r="P67" i="14" s="1"/>
  <c r="Q67" i="14" s="1"/>
  <c r="J67" i="14"/>
  <c r="AG66" i="14"/>
  <c r="AH66" i="14" s="1"/>
  <c r="X66" i="14"/>
  <c r="T66" i="14"/>
  <c r="O66" i="14"/>
  <c r="P66" i="14" s="1"/>
  <c r="Q66" i="14" s="1"/>
  <c r="R66" i="14" s="1"/>
  <c r="J66" i="14"/>
  <c r="AG65" i="14"/>
  <c r="AH65" i="14" s="1"/>
  <c r="X65" i="14"/>
  <c r="T65" i="14"/>
  <c r="O65" i="14"/>
  <c r="P65" i="14" s="1"/>
  <c r="Q65" i="14" s="1"/>
  <c r="R65" i="14" s="1"/>
  <c r="J65" i="14"/>
  <c r="AG64" i="14"/>
  <c r="AH64" i="14" s="1"/>
  <c r="X64" i="14"/>
  <c r="T64" i="14"/>
  <c r="O64" i="14"/>
  <c r="P64" i="14" s="1"/>
  <c r="Q64" i="14" s="1"/>
  <c r="R64" i="14" s="1"/>
  <c r="J64" i="14"/>
  <c r="AG63" i="14"/>
  <c r="AH63" i="14" s="1"/>
  <c r="X63" i="14"/>
  <c r="T63" i="14"/>
  <c r="O63" i="14"/>
  <c r="P63" i="14" s="1"/>
  <c r="Q63" i="14" s="1"/>
  <c r="J63" i="14"/>
  <c r="AG62" i="14"/>
  <c r="AH62" i="14" s="1"/>
  <c r="X62" i="14"/>
  <c r="T62" i="14"/>
  <c r="O62" i="14"/>
  <c r="P62" i="14" s="1"/>
  <c r="Q62" i="14" s="1"/>
  <c r="R62" i="14" s="1"/>
  <c r="J62" i="14"/>
  <c r="AG61" i="14"/>
  <c r="AH61" i="14" s="1"/>
  <c r="X61" i="14"/>
  <c r="T61" i="14"/>
  <c r="O61" i="14"/>
  <c r="P61" i="14" s="1"/>
  <c r="Q61" i="14" s="1"/>
  <c r="R61" i="14" s="1"/>
  <c r="J61" i="14"/>
  <c r="AG60" i="14"/>
  <c r="AH60" i="14" s="1"/>
  <c r="X60" i="14"/>
  <c r="T60" i="14"/>
  <c r="P60" i="14"/>
  <c r="Q60" i="14" s="1"/>
  <c r="R60" i="14" s="1"/>
  <c r="O60" i="14"/>
  <c r="J60" i="14"/>
  <c r="AG59" i="14"/>
  <c r="AH59" i="14" s="1"/>
  <c r="X59" i="14"/>
  <c r="T59" i="14"/>
  <c r="O59" i="14"/>
  <c r="P59" i="14" s="1"/>
  <c r="Q59" i="14" s="1"/>
  <c r="J59" i="14"/>
  <c r="AG58" i="14"/>
  <c r="AH58" i="14" s="1"/>
  <c r="X58" i="14"/>
  <c r="T58" i="14"/>
  <c r="O58" i="14"/>
  <c r="P58" i="14" s="1"/>
  <c r="Q58" i="14" s="1"/>
  <c r="R58" i="14" s="1"/>
  <c r="J58" i="14"/>
  <c r="AG57" i="14"/>
  <c r="AH57" i="14" s="1"/>
  <c r="X57" i="14"/>
  <c r="T57" i="14"/>
  <c r="O57" i="14"/>
  <c r="P57" i="14" s="1"/>
  <c r="Q57" i="14" s="1"/>
  <c r="R57" i="14" s="1"/>
  <c r="J57" i="14"/>
  <c r="AG56" i="14"/>
  <c r="AH56" i="14" s="1"/>
  <c r="X56" i="14"/>
  <c r="T56" i="14"/>
  <c r="O56" i="14"/>
  <c r="P56" i="14" s="1"/>
  <c r="Q56" i="14" s="1"/>
  <c r="R56" i="14" s="1"/>
  <c r="J56" i="14"/>
  <c r="AG55" i="14"/>
  <c r="AH55" i="14" s="1"/>
  <c r="X55" i="14"/>
  <c r="T55" i="14"/>
  <c r="O55" i="14"/>
  <c r="P55" i="14" s="1"/>
  <c r="Q55" i="14" s="1"/>
  <c r="J55" i="14"/>
  <c r="AG54" i="14"/>
  <c r="AH54" i="14" s="1"/>
  <c r="X54" i="14"/>
  <c r="T54" i="14"/>
  <c r="O54" i="14"/>
  <c r="P54" i="14" s="1"/>
  <c r="Q54" i="14" s="1"/>
  <c r="R54" i="14" s="1"/>
  <c r="J54" i="14"/>
  <c r="AG53" i="14"/>
  <c r="AH53" i="14" s="1"/>
  <c r="X53" i="14"/>
  <c r="T53" i="14"/>
  <c r="O53" i="14"/>
  <c r="P53" i="14" s="1"/>
  <c r="Q53" i="14" s="1"/>
  <c r="R53" i="14" s="1"/>
  <c r="J53" i="14"/>
  <c r="AG52" i="14"/>
  <c r="AH52" i="14" s="1"/>
  <c r="X52" i="14"/>
  <c r="T52" i="14"/>
  <c r="O52" i="14"/>
  <c r="P52" i="14" s="1"/>
  <c r="Q52" i="14" s="1"/>
  <c r="R52" i="14" s="1"/>
  <c r="J52" i="14"/>
  <c r="AG51" i="14"/>
  <c r="AH51" i="14" s="1"/>
  <c r="X51" i="14"/>
  <c r="T51" i="14"/>
  <c r="O51" i="14"/>
  <c r="P51" i="14" s="1"/>
  <c r="Q51" i="14" s="1"/>
  <c r="J51" i="14"/>
  <c r="AG50" i="14"/>
  <c r="AH50" i="14" s="1"/>
  <c r="X50" i="14"/>
  <c r="T50" i="14"/>
  <c r="O50" i="14"/>
  <c r="P50" i="14" s="1"/>
  <c r="Q50" i="14" s="1"/>
  <c r="R50" i="14" s="1"/>
  <c r="J50" i="14"/>
  <c r="AG49" i="14"/>
  <c r="AH49" i="14" s="1"/>
  <c r="X49" i="14"/>
  <c r="T49" i="14"/>
  <c r="O49" i="14"/>
  <c r="P49" i="14" s="1"/>
  <c r="Q49" i="14" s="1"/>
  <c r="R49" i="14" s="1"/>
  <c r="J49" i="14"/>
  <c r="AG48" i="14"/>
  <c r="AH48" i="14" s="1"/>
  <c r="X48" i="14"/>
  <c r="T48" i="14"/>
  <c r="O48" i="14"/>
  <c r="P48" i="14" s="1"/>
  <c r="Q48" i="14" s="1"/>
  <c r="R48" i="14" s="1"/>
  <c r="J48" i="14"/>
  <c r="AG47" i="14"/>
  <c r="AH47" i="14" s="1"/>
  <c r="X47" i="14"/>
  <c r="T47" i="14"/>
  <c r="O47" i="14"/>
  <c r="P47" i="14" s="1"/>
  <c r="Q47" i="14" s="1"/>
  <c r="J47" i="14"/>
  <c r="AG46" i="14"/>
  <c r="AH46" i="14" s="1"/>
  <c r="X46" i="14"/>
  <c r="T46" i="14"/>
  <c r="O46" i="14"/>
  <c r="P46" i="14" s="1"/>
  <c r="Q46" i="14" s="1"/>
  <c r="R46" i="14" s="1"/>
  <c r="J46" i="14"/>
  <c r="AG45" i="14"/>
  <c r="AH45" i="14" s="1"/>
  <c r="X45" i="14"/>
  <c r="T45" i="14"/>
  <c r="O45" i="14"/>
  <c r="P45" i="14" s="1"/>
  <c r="Q45" i="14" s="1"/>
  <c r="R45" i="14" s="1"/>
  <c r="J45" i="14"/>
  <c r="AG44" i="14"/>
  <c r="AH44" i="14" s="1"/>
  <c r="X44" i="14"/>
  <c r="T44" i="14"/>
  <c r="P44" i="14"/>
  <c r="Q44" i="14" s="1"/>
  <c r="R44" i="14" s="1"/>
  <c r="O44" i="14"/>
  <c r="J44" i="14"/>
  <c r="AG43" i="14"/>
  <c r="AH43" i="14" s="1"/>
  <c r="X43" i="14"/>
  <c r="T43" i="14"/>
  <c r="O43" i="14"/>
  <c r="P43" i="14" s="1"/>
  <c r="Q43" i="14" s="1"/>
  <c r="J43" i="14"/>
  <c r="AG42" i="14"/>
  <c r="AH42" i="14" s="1"/>
  <c r="X42" i="14"/>
  <c r="T42" i="14"/>
  <c r="O42" i="14"/>
  <c r="P42" i="14" s="1"/>
  <c r="Q42" i="14" s="1"/>
  <c r="R42" i="14" s="1"/>
  <c r="J42" i="14"/>
  <c r="AG41" i="14"/>
  <c r="AH41" i="14" s="1"/>
  <c r="X41" i="14"/>
  <c r="T41" i="14"/>
  <c r="O41" i="14"/>
  <c r="P41" i="14" s="1"/>
  <c r="Q41" i="14" s="1"/>
  <c r="R41" i="14" s="1"/>
  <c r="J41" i="14"/>
  <c r="AG40" i="14"/>
  <c r="AH40" i="14" s="1"/>
  <c r="X40" i="14"/>
  <c r="T40" i="14"/>
  <c r="O40" i="14"/>
  <c r="P40" i="14" s="1"/>
  <c r="Q40" i="14" s="1"/>
  <c r="R40" i="14" s="1"/>
  <c r="J40" i="14"/>
  <c r="AG39" i="14"/>
  <c r="AH39" i="14" s="1"/>
  <c r="X39" i="14"/>
  <c r="T39" i="14"/>
  <c r="O39" i="14"/>
  <c r="P39" i="14" s="1"/>
  <c r="Q39" i="14" s="1"/>
  <c r="J39" i="14"/>
  <c r="AG38" i="14"/>
  <c r="AH38" i="14" s="1"/>
  <c r="X38" i="14"/>
  <c r="T38" i="14"/>
  <c r="O38" i="14"/>
  <c r="P38" i="14" s="1"/>
  <c r="Q38" i="14" s="1"/>
  <c r="R38" i="14" s="1"/>
  <c r="J38" i="14"/>
  <c r="AG37" i="14"/>
  <c r="AH37" i="14" s="1"/>
  <c r="X37" i="14"/>
  <c r="T37" i="14"/>
  <c r="O37" i="14"/>
  <c r="P37" i="14" s="1"/>
  <c r="Q37" i="14" s="1"/>
  <c r="R37" i="14" s="1"/>
  <c r="J37" i="14"/>
  <c r="AG36" i="14"/>
  <c r="AH36" i="14" s="1"/>
  <c r="X36" i="14"/>
  <c r="T36" i="14"/>
  <c r="O36" i="14"/>
  <c r="P36" i="14" s="1"/>
  <c r="Q36" i="14" s="1"/>
  <c r="R36" i="14" s="1"/>
  <c r="J36" i="14"/>
  <c r="AG35" i="14"/>
  <c r="AH35" i="14" s="1"/>
  <c r="X35" i="14"/>
  <c r="T35" i="14"/>
  <c r="O35" i="14"/>
  <c r="P35" i="14" s="1"/>
  <c r="Q35" i="14" s="1"/>
  <c r="J35" i="14"/>
  <c r="AG34" i="14"/>
  <c r="AH34" i="14" s="1"/>
  <c r="X34" i="14"/>
  <c r="T34" i="14"/>
  <c r="O34" i="14"/>
  <c r="P34" i="14" s="1"/>
  <c r="Q34" i="14" s="1"/>
  <c r="R34" i="14" s="1"/>
  <c r="J34" i="14"/>
  <c r="AG33" i="14"/>
  <c r="AH33" i="14" s="1"/>
  <c r="X33" i="14"/>
  <c r="T33" i="14"/>
  <c r="U33" i="14" s="1"/>
  <c r="O33" i="14"/>
  <c r="P33" i="14" s="1"/>
  <c r="Q33" i="14" s="1"/>
  <c r="R33" i="14" s="1"/>
  <c r="J33" i="14"/>
  <c r="AG32" i="14"/>
  <c r="AH32" i="14" s="1"/>
  <c r="X32" i="14"/>
  <c r="T32" i="14"/>
  <c r="O32" i="14"/>
  <c r="P32" i="14" s="1"/>
  <c r="Q32" i="14" s="1"/>
  <c r="R32" i="14" s="1"/>
  <c r="J32" i="14"/>
  <c r="AG31" i="14"/>
  <c r="AH31" i="14" s="1"/>
  <c r="X31" i="14"/>
  <c r="T31" i="14"/>
  <c r="O31" i="14"/>
  <c r="P31" i="14" s="1"/>
  <c r="Q31" i="14" s="1"/>
  <c r="J31" i="14"/>
  <c r="AG30" i="14"/>
  <c r="AH30" i="14" s="1"/>
  <c r="X30" i="14"/>
  <c r="T30" i="14"/>
  <c r="O30" i="14"/>
  <c r="P30" i="14" s="1"/>
  <c r="Q30" i="14" s="1"/>
  <c r="R30" i="14" s="1"/>
  <c r="J30" i="14"/>
  <c r="AG29" i="14"/>
  <c r="AH29" i="14" s="1"/>
  <c r="X29" i="14"/>
  <c r="T29" i="14"/>
  <c r="O29" i="14"/>
  <c r="P29" i="14" s="1"/>
  <c r="Q29" i="14" s="1"/>
  <c r="R29" i="14" s="1"/>
  <c r="J29" i="14"/>
  <c r="AG28" i="14"/>
  <c r="AH28" i="14" s="1"/>
  <c r="X28" i="14"/>
  <c r="T28" i="14"/>
  <c r="O28" i="14"/>
  <c r="P28" i="14" s="1"/>
  <c r="Q28" i="14" s="1"/>
  <c r="R28" i="14" s="1"/>
  <c r="J28" i="14"/>
  <c r="AG27" i="14"/>
  <c r="AH27" i="14" s="1"/>
  <c r="X27" i="14"/>
  <c r="O27" i="14"/>
  <c r="P27" i="14" s="1"/>
  <c r="Q27" i="14" s="1"/>
  <c r="J27" i="14"/>
  <c r="AI21" i="14"/>
  <c r="Z20" i="14"/>
  <c r="AA21" i="14" s="1"/>
  <c r="AK17" i="14"/>
  <c r="AE17" i="14"/>
  <c r="Z17" i="14"/>
  <c r="W17" i="14"/>
  <c r="V17" i="14"/>
  <c r="S17" i="14"/>
  <c r="N17" i="14"/>
  <c r="K17" i="14"/>
  <c r="E17" i="14"/>
  <c r="D17" i="14"/>
  <c r="C17" i="14"/>
  <c r="U49" i="14" l="1"/>
  <c r="U145" i="14"/>
  <c r="U65" i="14"/>
  <c r="U97" i="14"/>
  <c r="U129" i="14"/>
  <c r="U161" i="14"/>
  <c r="U193" i="14"/>
  <c r="X17" i="14"/>
  <c r="U41" i="14"/>
  <c r="U57" i="14"/>
  <c r="U73" i="14"/>
  <c r="U89" i="14"/>
  <c r="U105" i="14"/>
  <c r="U121" i="14"/>
  <c r="U137" i="14"/>
  <c r="U153" i="14"/>
  <c r="U169" i="14"/>
  <c r="U185" i="14"/>
  <c r="J17" i="14"/>
  <c r="U28" i="14"/>
  <c r="U34" i="14"/>
  <c r="U36" i="14"/>
  <c r="U42" i="14"/>
  <c r="U44" i="14"/>
  <c r="U50" i="14"/>
  <c r="U52" i="14"/>
  <c r="U58" i="14"/>
  <c r="U60" i="14"/>
  <c r="U66" i="14"/>
  <c r="U68" i="14"/>
  <c r="U74" i="14"/>
  <c r="U76" i="14"/>
  <c r="U82" i="14"/>
  <c r="U84" i="14"/>
  <c r="U90" i="14"/>
  <c r="U92" i="14"/>
  <c r="U98" i="14"/>
  <c r="U100" i="14"/>
  <c r="U106" i="14"/>
  <c r="U108" i="14"/>
  <c r="U114" i="14"/>
  <c r="U116" i="14"/>
  <c r="U122" i="14"/>
  <c r="U124" i="14"/>
  <c r="U130" i="14"/>
  <c r="U132" i="14"/>
  <c r="U138" i="14"/>
  <c r="U140" i="14"/>
  <c r="U146" i="14"/>
  <c r="U148" i="14"/>
  <c r="U154" i="14"/>
  <c r="U156" i="14"/>
  <c r="U162" i="14"/>
  <c r="U164" i="14"/>
  <c r="U170" i="14"/>
  <c r="U172" i="14"/>
  <c r="U178" i="14"/>
  <c r="U180" i="14"/>
  <c r="U186" i="14"/>
  <c r="U188" i="14"/>
  <c r="U194" i="14"/>
  <c r="AA194" i="14"/>
  <c r="AA190" i="14"/>
  <c r="AA186" i="14"/>
  <c r="AA182" i="14"/>
  <c r="AA178" i="14"/>
  <c r="AA174" i="14"/>
  <c r="AA170" i="14"/>
  <c r="AA166" i="14"/>
  <c r="AA162" i="14"/>
  <c r="AA158" i="14"/>
  <c r="AA154" i="14"/>
  <c r="AA150" i="14"/>
  <c r="AA146" i="14"/>
  <c r="AA142" i="14"/>
  <c r="AA138" i="14"/>
  <c r="AA134" i="14"/>
  <c r="AA130" i="14"/>
  <c r="AA126" i="14"/>
  <c r="AA122" i="14"/>
  <c r="AA118" i="14"/>
  <c r="AA114" i="14"/>
  <c r="AA110" i="14"/>
  <c r="AA106" i="14"/>
  <c r="AA102" i="14"/>
  <c r="AA98" i="14"/>
  <c r="AA94" i="14"/>
  <c r="AA90" i="14"/>
  <c r="AA86" i="14"/>
  <c r="AA82" i="14"/>
  <c r="AA78" i="14"/>
  <c r="AA74" i="14"/>
  <c r="AA70" i="14"/>
  <c r="AA66" i="14"/>
  <c r="AA62" i="14"/>
  <c r="AA58" i="14"/>
  <c r="AA54" i="14"/>
  <c r="AA50" i="14"/>
  <c r="AA46" i="14"/>
  <c r="AA42" i="14"/>
  <c r="AA38" i="14"/>
  <c r="AA34" i="14"/>
  <c r="AA30" i="14"/>
  <c r="AA193" i="14"/>
  <c r="AA189" i="14"/>
  <c r="AA185" i="14"/>
  <c r="AA181" i="14"/>
  <c r="AA177" i="14"/>
  <c r="AA173" i="14"/>
  <c r="AA169" i="14"/>
  <c r="AA165" i="14"/>
  <c r="AA161" i="14"/>
  <c r="AA157" i="14"/>
  <c r="AA153" i="14"/>
  <c r="AA149" i="14"/>
  <c r="AA145" i="14"/>
  <c r="AA141" i="14"/>
  <c r="AA137" i="14"/>
  <c r="AA133" i="14"/>
  <c r="AA129" i="14"/>
  <c r="AA125" i="14"/>
  <c r="AA121" i="14"/>
  <c r="AA117" i="14"/>
  <c r="AA113" i="14"/>
  <c r="AA109" i="14"/>
  <c r="AA105" i="14"/>
  <c r="AA101" i="14"/>
  <c r="AA97" i="14"/>
  <c r="AA93" i="14"/>
  <c r="AA89" i="14"/>
  <c r="AA85" i="14"/>
  <c r="AA81" i="14"/>
  <c r="AA77" i="14"/>
  <c r="AA73" i="14"/>
  <c r="AA69" i="14"/>
  <c r="AA65" i="14"/>
  <c r="AA61" i="14"/>
  <c r="AA57" i="14"/>
  <c r="AA53" i="14"/>
  <c r="AA49" i="14"/>
  <c r="AA45" i="14"/>
  <c r="AA41" i="14"/>
  <c r="AA37" i="14"/>
  <c r="AA33" i="14"/>
  <c r="AA29" i="14"/>
  <c r="AA192" i="14"/>
  <c r="AA188" i="14"/>
  <c r="AA184" i="14"/>
  <c r="AA180" i="14"/>
  <c r="AA176" i="14"/>
  <c r="AA172" i="14"/>
  <c r="AA168" i="14"/>
  <c r="AA164" i="14"/>
  <c r="AA160" i="14"/>
  <c r="AA156" i="14"/>
  <c r="AA152" i="14"/>
  <c r="AA148" i="14"/>
  <c r="AA144" i="14"/>
  <c r="AA140" i="14"/>
  <c r="AA136" i="14"/>
  <c r="AA132" i="14"/>
  <c r="AA128" i="14"/>
  <c r="AA124" i="14"/>
  <c r="AA120" i="14"/>
  <c r="AA116" i="14"/>
  <c r="AA112" i="14"/>
  <c r="AA108" i="14"/>
  <c r="AA104" i="14"/>
  <c r="AA100" i="14"/>
  <c r="AA96" i="14"/>
  <c r="AA92" i="14"/>
  <c r="AA88" i="14"/>
  <c r="AA84" i="14"/>
  <c r="AA80" i="14"/>
  <c r="AA76" i="14"/>
  <c r="AA72" i="14"/>
  <c r="AA68" i="14"/>
  <c r="AA64" i="14"/>
  <c r="AA60" i="14"/>
  <c r="AA56" i="14"/>
  <c r="AA52" i="14"/>
  <c r="AA48" i="14"/>
  <c r="AA44" i="14"/>
  <c r="AA40" i="14"/>
  <c r="AA36" i="14"/>
  <c r="AA32" i="14"/>
  <c r="AA28" i="14"/>
  <c r="AA195" i="14"/>
  <c r="AA191" i="14"/>
  <c r="AA187" i="14"/>
  <c r="AA183" i="14"/>
  <c r="AA179" i="14"/>
  <c r="AA175" i="14"/>
  <c r="AA171" i="14"/>
  <c r="AA167" i="14"/>
  <c r="AA163" i="14"/>
  <c r="AA159" i="14"/>
  <c r="AA155" i="14"/>
  <c r="AA151" i="14"/>
  <c r="AA147" i="14"/>
  <c r="AA143" i="14"/>
  <c r="AA139" i="14"/>
  <c r="AA135" i="14"/>
  <c r="AA131" i="14"/>
  <c r="AA127" i="14"/>
  <c r="AA123" i="14"/>
  <c r="AA119" i="14"/>
  <c r="AA115" i="14"/>
  <c r="AA111" i="14"/>
  <c r="AA107" i="14"/>
  <c r="AA103" i="14"/>
  <c r="AA99" i="14"/>
  <c r="AA95" i="14"/>
  <c r="AA91" i="14"/>
  <c r="AA87" i="14"/>
  <c r="AA83" i="14"/>
  <c r="AA79" i="14"/>
  <c r="AA75" i="14"/>
  <c r="AA71" i="14"/>
  <c r="AA67" i="14"/>
  <c r="AA63" i="14"/>
  <c r="AA59" i="14"/>
  <c r="AA55" i="14"/>
  <c r="AA51" i="14"/>
  <c r="AA47" i="14"/>
  <c r="AA43" i="14"/>
  <c r="AA39" i="14"/>
  <c r="AA35" i="14"/>
  <c r="AA31" i="14"/>
  <c r="AA27" i="14"/>
  <c r="R27" i="14"/>
  <c r="U27" i="14"/>
  <c r="R35" i="14"/>
  <c r="U35" i="14"/>
  <c r="R43" i="14"/>
  <c r="U43" i="14"/>
  <c r="R51" i="14"/>
  <c r="U51" i="14"/>
  <c r="R59" i="14"/>
  <c r="U59" i="14"/>
  <c r="R67" i="14"/>
  <c r="U67" i="14"/>
  <c r="R75" i="14"/>
  <c r="U75" i="14"/>
  <c r="R83" i="14"/>
  <c r="U83" i="14"/>
  <c r="R91" i="14"/>
  <c r="U91" i="14"/>
  <c r="R99" i="14"/>
  <c r="U99" i="14"/>
  <c r="R107" i="14"/>
  <c r="U107" i="14"/>
  <c r="R115" i="14"/>
  <c r="U115" i="14"/>
  <c r="R123" i="14"/>
  <c r="U123" i="14"/>
  <c r="R131" i="14"/>
  <c r="U131" i="14"/>
  <c r="R139" i="14"/>
  <c r="U139" i="14"/>
  <c r="R147" i="14"/>
  <c r="U147" i="14"/>
  <c r="R155" i="14"/>
  <c r="U155" i="14"/>
  <c r="R163" i="14"/>
  <c r="U163" i="14"/>
  <c r="R171" i="14"/>
  <c r="U171" i="14"/>
  <c r="R179" i="14"/>
  <c r="U179" i="14"/>
  <c r="R187" i="14"/>
  <c r="U187" i="14"/>
  <c r="R195" i="14"/>
  <c r="U195" i="14"/>
  <c r="AH17" i="14"/>
  <c r="U30" i="14"/>
  <c r="U32" i="14"/>
  <c r="U38" i="14"/>
  <c r="U40" i="14"/>
  <c r="U46" i="14"/>
  <c r="U48" i="14"/>
  <c r="U54" i="14"/>
  <c r="U56" i="14"/>
  <c r="U62" i="14"/>
  <c r="U64" i="14"/>
  <c r="U70" i="14"/>
  <c r="U72" i="14"/>
  <c r="U78" i="14"/>
  <c r="U80" i="14"/>
  <c r="U86" i="14"/>
  <c r="U88" i="14"/>
  <c r="U94" i="14"/>
  <c r="U96" i="14"/>
  <c r="U102" i="14"/>
  <c r="U104" i="14"/>
  <c r="U110" i="14"/>
  <c r="U112" i="14"/>
  <c r="U118" i="14"/>
  <c r="U120" i="14"/>
  <c r="U126" i="14"/>
  <c r="U128" i="14"/>
  <c r="U134" i="14"/>
  <c r="U136" i="14"/>
  <c r="U142" i="14"/>
  <c r="U144" i="14"/>
  <c r="U150" i="14"/>
  <c r="U152" i="14"/>
  <c r="U158" i="14"/>
  <c r="U160" i="14"/>
  <c r="U166" i="14"/>
  <c r="U168" i="14"/>
  <c r="U174" i="14"/>
  <c r="U176" i="14"/>
  <c r="U182" i="14"/>
  <c r="U184" i="14"/>
  <c r="U190" i="14"/>
  <c r="U192" i="14"/>
  <c r="U29" i="14"/>
  <c r="R31" i="14"/>
  <c r="U31" i="14"/>
  <c r="U37" i="14"/>
  <c r="R39" i="14"/>
  <c r="U39" i="14"/>
  <c r="U45" i="14"/>
  <c r="R47" i="14"/>
  <c r="U47" i="14"/>
  <c r="U53" i="14"/>
  <c r="R55" i="14"/>
  <c r="U55" i="14"/>
  <c r="U61" i="14"/>
  <c r="R63" i="14"/>
  <c r="U63" i="14"/>
  <c r="U69" i="14"/>
  <c r="R71" i="14"/>
  <c r="U71" i="14"/>
  <c r="U77" i="14"/>
  <c r="R79" i="14"/>
  <c r="U79" i="14"/>
  <c r="U85" i="14"/>
  <c r="R87" i="14"/>
  <c r="U87" i="14"/>
  <c r="U93" i="14"/>
  <c r="R95" i="14"/>
  <c r="U95" i="14"/>
  <c r="U101" i="14"/>
  <c r="R103" i="14"/>
  <c r="U103" i="14"/>
  <c r="U109" i="14"/>
  <c r="R111" i="14"/>
  <c r="U111" i="14"/>
  <c r="U117" i="14"/>
  <c r="R119" i="14"/>
  <c r="U119" i="14"/>
  <c r="U125" i="14"/>
  <c r="R127" i="14"/>
  <c r="U127" i="14"/>
  <c r="U133" i="14"/>
  <c r="R135" i="14"/>
  <c r="U135" i="14"/>
  <c r="U141" i="14"/>
  <c r="R143" i="14"/>
  <c r="U143" i="14"/>
  <c r="U149" i="14"/>
  <c r="R151" i="14"/>
  <c r="U151" i="14"/>
  <c r="U157" i="14"/>
  <c r="R159" i="14"/>
  <c r="U159" i="14"/>
  <c r="U165" i="14"/>
  <c r="R167" i="14"/>
  <c r="U167" i="14"/>
  <c r="U173" i="14"/>
  <c r="R175" i="14"/>
  <c r="U175" i="14"/>
  <c r="U181" i="14"/>
  <c r="R183" i="14"/>
  <c r="U183" i="14"/>
  <c r="U189" i="14"/>
  <c r="R191" i="14"/>
  <c r="U191" i="14"/>
  <c r="X20" i="14"/>
  <c r="Y21" i="14" s="1"/>
  <c r="Y42" i="14" s="1"/>
  <c r="T17" i="14"/>
  <c r="AB42" i="14" l="1"/>
  <c r="AC42" i="14" s="1"/>
  <c r="AD42" i="14" s="1"/>
  <c r="AI42" i="14" s="1"/>
  <c r="AJ42" i="14" s="1"/>
  <c r="AM42" i="14" s="1"/>
  <c r="AN42" i="14" s="1"/>
  <c r="AO42" i="14" s="1"/>
  <c r="Y195" i="14"/>
  <c r="AB195" i="14" s="1"/>
  <c r="AC195" i="14" s="1"/>
  <c r="AD195" i="14" s="1"/>
  <c r="AI195" i="14" s="1"/>
  <c r="AJ195" i="14" s="1"/>
  <c r="Y163" i="14"/>
  <c r="AB163" i="14" s="1"/>
  <c r="AC163" i="14" s="1"/>
  <c r="AD163" i="14" s="1"/>
  <c r="Y131" i="14"/>
  <c r="AB131" i="14" s="1"/>
  <c r="AC131" i="14" s="1"/>
  <c r="AD131" i="14" s="1"/>
  <c r="AI131" i="14" s="1"/>
  <c r="AJ131" i="14" s="1"/>
  <c r="Y99" i="14"/>
  <c r="AB99" i="14" s="1"/>
  <c r="AC99" i="14" s="1"/>
  <c r="AD99" i="14" s="1"/>
  <c r="Y67" i="14"/>
  <c r="AB67" i="14" s="1"/>
  <c r="AC67" i="14" s="1"/>
  <c r="AD67" i="14" s="1"/>
  <c r="Y35" i="14"/>
  <c r="AB35" i="14" s="1"/>
  <c r="AC35" i="14" s="1"/>
  <c r="AD35" i="14" s="1"/>
  <c r="Y176" i="14"/>
  <c r="AB176" i="14" s="1"/>
  <c r="AC176" i="14" s="1"/>
  <c r="AD176" i="14" s="1"/>
  <c r="AI176" i="14" s="1"/>
  <c r="AJ176" i="14" s="1"/>
  <c r="Y166" i="14"/>
  <c r="AB166" i="14" s="1"/>
  <c r="AC166" i="14" s="1"/>
  <c r="AD166" i="14" s="1"/>
  <c r="Y144" i="14"/>
  <c r="AB144" i="14" s="1"/>
  <c r="AC144" i="14" s="1"/>
  <c r="AD144" i="14" s="1"/>
  <c r="Y134" i="14"/>
  <c r="AB134" i="14" s="1"/>
  <c r="AC134" i="14" s="1"/>
  <c r="AD134" i="14" s="1"/>
  <c r="AI134" i="14" s="1"/>
  <c r="AJ134" i="14" s="1"/>
  <c r="Y112" i="14"/>
  <c r="AB112" i="14" s="1"/>
  <c r="AC112" i="14" s="1"/>
  <c r="AD112" i="14" s="1"/>
  <c r="AI112" i="14" s="1"/>
  <c r="AJ112" i="14" s="1"/>
  <c r="Y102" i="14"/>
  <c r="AB102" i="14" s="1"/>
  <c r="AC102" i="14" s="1"/>
  <c r="AD102" i="14" s="1"/>
  <c r="Y80" i="14"/>
  <c r="AB80" i="14" s="1"/>
  <c r="AC80" i="14" s="1"/>
  <c r="AD80" i="14" s="1"/>
  <c r="AI80" i="14" s="1"/>
  <c r="AJ80" i="14" s="1"/>
  <c r="Y70" i="14"/>
  <c r="AB70" i="14" s="1"/>
  <c r="AC70" i="14" s="1"/>
  <c r="AD70" i="14" s="1"/>
  <c r="AI70" i="14" s="1"/>
  <c r="AJ70" i="14" s="1"/>
  <c r="Y48" i="14"/>
  <c r="AB48" i="14" s="1"/>
  <c r="AC48" i="14" s="1"/>
  <c r="AD48" i="14" s="1"/>
  <c r="AI48" i="14" s="1"/>
  <c r="AJ48" i="14" s="1"/>
  <c r="Y38" i="14"/>
  <c r="AB38" i="14" s="1"/>
  <c r="AC38" i="14" s="1"/>
  <c r="AD38" i="14" s="1"/>
  <c r="Y183" i="14"/>
  <c r="AB183" i="14" s="1"/>
  <c r="AC183" i="14" s="1"/>
  <c r="AD183" i="14" s="1"/>
  <c r="AI183" i="14" s="1"/>
  <c r="AJ183" i="14" s="1"/>
  <c r="Y151" i="14"/>
  <c r="AB151" i="14" s="1"/>
  <c r="AC151" i="14" s="1"/>
  <c r="AD151" i="14" s="1"/>
  <c r="AI151" i="14" s="1"/>
  <c r="AJ151" i="14" s="1"/>
  <c r="Y119" i="14"/>
  <c r="AB119" i="14" s="1"/>
  <c r="AC119" i="14" s="1"/>
  <c r="AD119" i="14" s="1"/>
  <c r="AI119" i="14" s="1"/>
  <c r="AJ119" i="14" s="1"/>
  <c r="Y87" i="14"/>
  <c r="AB87" i="14" s="1"/>
  <c r="AC87" i="14" s="1"/>
  <c r="AD87" i="14" s="1"/>
  <c r="AI87" i="14" s="1"/>
  <c r="AJ87" i="14" s="1"/>
  <c r="Y55" i="14"/>
  <c r="AB55" i="14" s="1"/>
  <c r="AC55" i="14" s="1"/>
  <c r="AD55" i="14" s="1"/>
  <c r="AI55" i="14" s="1"/>
  <c r="AJ55" i="14" s="1"/>
  <c r="Y180" i="14"/>
  <c r="AB180" i="14" s="1"/>
  <c r="AC180" i="14" s="1"/>
  <c r="AD180" i="14" s="1"/>
  <c r="AI180" i="14" s="1"/>
  <c r="AJ180" i="14" s="1"/>
  <c r="Y170" i="14"/>
  <c r="AB170" i="14" s="1"/>
  <c r="AC170" i="14" s="1"/>
  <c r="AD170" i="14" s="1"/>
  <c r="AI170" i="14" s="1"/>
  <c r="AJ170" i="14" s="1"/>
  <c r="Y148" i="14"/>
  <c r="AB148" i="14" s="1"/>
  <c r="AC148" i="14" s="1"/>
  <c r="AD148" i="14" s="1"/>
  <c r="AI148" i="14" s="1"/>
  <c r="AJ148" i="14" s="1"/>
  <c r="Y138" i="14"/>
  <c r="AB138" i="14" s="1"/>
  <c r="AC138" i="14" s="1"/>
  <c r="AD138" i="14" s="1"/>
  <c r="AI138" i="14" s="1"/>
  <c r="AJ138" i="14" s="1"/>
  <c r="Y116" i="14"/>
  <c r="AB116" i="14" s="1"/>
  <c r="AC116" i="14" s="1"/>
  <c r="AD116" i="14" s="1"/>
  <c r="AI116" i="14" s="1"/>
  <c r="AJ116" i="14" s="1"/>
  <c r="Y106" i="14"/>
  <c r="AB106" i="14" s="1"/>
  <c r="AC106" i="14" s="1"/>
  <c r="AD106" i="14" s="1"/>
  <c r="AI106" i="14" s="1"/>
  <c r="AJ106" i="14" s="1"/>
  <c r="Y84" i="14"/>
  <c r="AB84" i="14" s="1"/>
  <c r="AC84" i="14" s="1"/>
  <c r="AD84" i="14" s="1"/>
  <c r="AI84" i="14" s="1"/>
  <c r="AJ84" i="14" s="1"/>
  <c r="Y74" i="14"/>
  <c r="AB74" i="14" s="1"/>
  <c r="AC74" i="14" s="1"/>
  <c r="AD74" i="14" s="1"/>
  <c r="AI74" i="14" s="1"/>
  <c r="AJ74" i="14" s="1"/>
  <c r="Y52" i="14"/>
  <c r="AB52" i="14" s="1"/>
  <c r="AC52" i="14" s="1"/>
  <c r="AD52" i="14" s="1"/>
  <c r="AI52" i="14" s="1"/>
  <c r="AJ52" i="14" s="1"/>
  <c r="U17" i="14"/>
  <c r="Y193" i="14"/>
  <c r="AB193" i="14" s="1"/>
  <c r="AC193" i="14" s="1"/>
  <c r="AD193" i="14" s="1"/>
  <c r="AI193" i="14" s="1"/>
  <c r="AJ193" i="14" s="1"/>
  <c r="Y189" i="14"/>
  <c r="AB189" i="14" s="1"/>
  <c r="AC189" i="14" s="1"/>
  <c r="AD189" i="14" s="1"/>
  <c r="AI189" i="14" s="1"/>
  <c r="AJ189" i="14" s="1"/>
  <c r="Y185" i="14"/>
  <c r="AB185" i="14" s="1"/>
  <c r="AC185" i="14" s="1"/>
  <c r="AD185" i="14" s="1"/>
  <c r="AI185" i="14" s="1"/>
  <c r="AJ185" i="14" s="1"/>
  <c r="Y181" i="14"/>
  <c r="AB181" i="14" s="1"/>
  <c r="AC181" i="14" s="1"/>
  <c r="AD181" i="14" s="1"/>
  <c r="AI181" i="14" s="1"/>
  <c r="AJ181" i="14" s="1"/>
  <c r="Y177" i="14"/>
  <c r="AB177" i="14" s="1"/>
  <c r="AC177" i="14" s="1"/>
  <c r="AD177" i="14" s="1"/>
  <c r="AI177" i="14" s="1"/>
  <c r="AJ177" i="14" s="1"/>
  <c r="Y173" i="14"/>
  <c r="AB173" i="14" s="1"/>
  <c r="AC173" i="14" s="1"/>
  <c r="AD173" i="14" s="1"/>
  <c r="AI173" i="14" s="1"/>
  <c r="AJ173" i="14" s="1"/>
  <c r="Y169" i="14"/>
  <c r="AB169" i="14" s="1"/>
  <c r="AC169" i="14" s="1"/>
  <c r="AD169" i="14" s="1"/>
  <c r="AI169" i="14" s="1"/>
  <c r="AJ169" i="14" s="1"/>
  <c r="Y165" i="14"/>
  <c r="AB165" i="14" s="1"/>
  <c r="AC165" i="14" s="1"/>
  <c r="AD165" i="14" s="1"/>
  <c r="AI165" i="14" s="1"/>
  <c r="AJ165" i="14" s="1"/>
  <c r="Y161" i="14"/>
  <c r="AB161" i="14" s="1"/>
  <c r="AC161" i="14" s="1"/>
  <c r="AD161" i="14" s="1"/>
  <c r="AI161" i="14" s="1"/>
  <c r="AJ161" i="14" s="1"/>
  <c r="Y157" i="14"/>
  <c r="AB157" i="14" s="1"/>
  <c r="AC157" i="14" s="1"/>
  <c r="AD157" i="14" s="1"/>
  <c r="AI157" i="14" s="1"/>
  <c r="AJ157" i="14" s="1"/>
  <c r="Y153" i="14"/>
  <c r="AB153" i="14" s="1"/>
  <c r="AC153" i="14" s="1"/>
  <c r="AD153" i="14" s="1"/>
  <c r="AI153" i="14" s="1"/>
  <c r="AJ153" i="14" s="1"/>
  <c r="Y149" i="14"/>
  <c r="AB149" i="14" s="1"/>
  <c r="AC149" i="14" s="1"/>
  <c r="AD149" i="14" s="1"/>
  <c r="AI149" i="14" s="1"/>
  <c r="AJ149" i="14" s="1"/>
  <c r="Y145" i="14"/>
  <c r="AB145" i="14" s="1"/>
  <c r="AC145" i="14" s="1"/>
  <c r="AD145" i="14" s="1"/>
  <c r="AI145" i="14" s="1"/>
  <c r="AJ145" i="14" s="1"/>
  <c r="Y141" i="14"/>
  <c r="AB141" i="14" s="1"/>
  <c r="AC141" i="14" s="1"/>
  <c r="AD141" i="14" s="1"/>
  <c r="AI141" i="14" s="1"/>
  <c r="AJ141" i="14" s="1"/>
  <c r="Y137" i="14"/>
  <c r="AB137" i="14" s="1"/>
  <c r="AC137" i="14" s="1"/>
  <c r="AD137" i="14" s="1"/>
  <c r="AI137" i="14" s="1"/>
  <c r="AJ137" i="14" s="1"/>
  <c r="Y133" i="14"/>
  <c r="AB133" i="14" s="1"/>
  <c r="AC133" i="14" s="1"/>
  <c r="AD133" i="14" s="1"/>
  <c r="AI133" i="14" s="1"/>
  <c r="AJ133" i="14" s="1"/>
  <c r="Y129" i="14"/>
  <c r="AB129" i="14" s="1"/>
  <c r="AC129" i="14" s="1"/>
  <c r="AD129" i="14" s="1"/>
  <c r="AI129" i="14" s="1"/>
  <c r="AJ129" i="14" s="1"/>
  <c r="Y125" i="14"/>
  <c r="AB125" i="14" s="1"/>
  <c r="AC125" i="14" s="1"/>
  <c r="AD125" i="14" s="1"/>
  <c r="AI125" i="14" s="1"/>
  <c r="AJ125" i="14" s="1"/>
  <c r="Y121" i="14"/>
  <c r="AB121" i="14" s="1"/>
  <c r="AC121" i="14" s="1"/>
  <c r="AD121" i="14" s="1"/>
  <c r="AI121" i="14" s="1"/>
  <c r="AJ121" i="14" s="1"/>
  <c r="Y117" i="14"/>
  <c r="AB117" i="14" s="1"/>
  <c r="AC117" i="14" s="1"/>
  <c r="AD117" i="14" s="1"/>
  <c r="AI117" i="14" s="1"/>
  <c r="AJ117" i="14" s="1"/>
  <c r="Y113" i="14"/>
  <c r="AB113" i="14" s="1"/>
  <c r="AC113" i="14" s="1"/>
  <c r="AD113" i="14" s="1"/>
  <c r="AI113" i="14" s="1"/>
  <c r="AJ113" i="14" s="1"/>
  <c r="Y109" i="14"/>
  <c r="AB109" i="14" s="1"/>
  <c r="AC109" i="14" s="1"/>
  <c r="AD109" i="14" s="1"/>
  <c r="AI109" i="14" s="1"/>
  <c r="AJ109" i="14" s="1"/>
  <c r="Y105" i="14"/>
  <c r="AB105" i="14" s="1"/>
  <c r="AC105" i="14" s="1"/>
  <c r="AD105" i="14" s="1"/>
  <c r="AI105" i="14" s="1"/>
  <c r="AJ105" i="14" s="1"/>
  <c r="Y101" i="14"/>
  <c r="AB101" i="14" s="1"/>
  <c r="AC101" i="14" s="1"/>
  <c r="AD101" i="14" s="1"/>
  <c r="AI101" i="14" s="1"/>
  <c r="AJ101" i="14" s="1"/>
  <c r="Y97" i="14"/>
  <c r="AB97" i="14" s="1"/>
  <c r="AC97" i="14" s="1"/>
  <c r="AD97" i="14" s="1"/>
  <c r="AI97" i="14" s="1"/>
  <c r="AJ97" i="14" s="1"/>
  <c r="Y93" i="14"/>
  <c r="AB93" i="14" s="1"/>
  <c r="AC93" i="14" s="1"/>
  <c r="AD93" i="14" s="1"/>
  <c r="AI93" i="14" s="1"/>
  <c r="AJ93" i="14" s="1"/>
  <c r="Y89" i="14"/>
  <c r="AB89" i="14" s="1"/>
  <c r="AC89" i="14" s="1"/>
  <c r="AD89" i="14" s="1"/>
  <c r="AI89" i="14" s="1"/>
  <c r="AJ89" i="14" s="1"/>
  <c r="Y85" i="14"/>
  <c r="AB85" i="14" s="1"/>
  <c r="AC85" i="14" s="1"/>
  <c r="AD85" i="14" s="1"/>
  <c r="AI85" i="14" s="1"/>
  <c r="AJ85" i="14" s="1"/>
  <c r="Y81" i="14"/>
  <c r="AB81" i="14" s="1"/>
  <c r="AC81" i="14" s="1"/>
  <c r="AD81" i="14" s="1"/>
  <c r="AI81" i="14" s="1"/>
  <c r="AJ81" i="14" s="1"/>
  <c r="Y77" i="14"/>
  <c r="AB77" i="14" s="1"/>
  <c r="AC77" i="14" s="1"/>
  <c r="AD77" i="14" s="1"/>
  <c r="AI77" i="14" s="1"/>
  <c r="AJ77" i="14" s="1"/>
  <c r="Y73" i="14"/>
  <c r="AB73" i="14" s="1"/>
  <c r="AC73" i="14" s="1"/>
  <c r="AD73" i="14" s="1"/>
  <c r="AI73" i="14" s="1"/>
  <c r="AJ73" i="14" s="1"/>
  <c r="Y69" i="14"/>
  <c r="AB69" i="14" s="1"/>
  <c r="AC69" i="14" s="1"/>
  <c r="AD69" i="14" s="1"/>
  <c r="AI69" i="14" s="1"/>
  <c r="AJ69" i="14" s="1"/>
  <c r="Y65" i="14"/>
  <c r="AB65" i="14" s="1"/>
  <c r="AC65" i="14" s="1"/>
  <c r="AD65" i="14" s="1"/>
  <c r="AI65" i="14" s="1"/>
  <c r="AJ65" i="14" s="1"/>
  <c r="Y61" i="14"/>
  <c r="AB61" i="14" s="1"/>
  <c r="AC61" i="14" s="1"/>
  <c r="AD61" i="14" s="1"/>
  <c r="AI61" i="14" s="1"/>
  <c r="AJ61" i="14" s="1"/>
  <c r="Y57" i="14"/>
  <c r="AB57" i="14" s="1"/>
  <c r="AC57" i="14" s="1"/>
  <c r="AD57" i="14" s="1"/>
  <c r="AI57" i="14" s="1"/>
  <c r="AJ57" i="14" s="1"/>
  <c r="Y53" i="14"/>
  <c r="AB53" i="14" s="1"/>
  <c r="AC53" i="14" s="1"/>
  <c r="AD53" i="14" s="1"/>
  <c r="AI53" i="14" s="1"/>
  <c r="AJ53" i="14" s="1"/>
  <c r="Y49" i="14"/>
  <c r="AB49" i="14" s="1"/>
  <c r="AC49" i="14" s="1"/>
  <c r="AD49" i="14" s="1"/>
  <c r="AI49" i="14" s="1"/>
  <c r="AJ49" i="14" s="1"/>
  <c r="Y45" i="14"/>
  <c r="AB45" i="14" s="1"/>
  <c r="AC45" i="14" s="1"/>
  <c r="AD45" i="14" s="1"/>
  <c r="AI45" i="14" s="1"/>
  <c r="AJ45" i="14" s="1"/>
  <c r="Y41" i="14"/>
  <c r="AB41" i="14" s="1"/>
  <c r="AC41" i="14" s="1"/>
  <c r="AD41" i="14" s="1"/>
  <c r="AI41" i="14" s="1"/>
  <c r="AJ41" i="14" s="1"/>
  <c r="Y37" i="14"/>
  <c r="AB37" i="14" s="1"/>
  <c r="AC37" i="14" s="1"/>
  <c r="AD37" i="14" s="1"/>
  <c r="AI37" i="14" s="1"/>
  <c r="AJ37" i="14" s="1"/>
  <c r="Y33" i="14"/>
  <c r="AB33" i="14" s="1"/>
  <c r="AC33" i="14" s="1"/>
  <c r="AD33" i="14" s="1"/>
  <c r="AI33" i="14" s="1"/>
  <c r="AJ33" i="14" s="1"/>
  <c r="Y29" i="14"/>
  <c r="AB29" i="14" s="1"/>
  <c r="AC29" i="14" s="1"/>
  <c r="AD29" i="14" s="1"/>
  <c r="AI29" i="14" s="1"/>
  <c r="AJ29" i="14" s="1"/>
  <c r="Y171" i="14"/>
  <c r="AB171" i="14" s="1"/>
  <c r="AC171" i="14" s="1"/>
  <c r="AD171" i="14" s="1"/>
  <c r="AI171" i="14" s="1"/>
  <c r="AJ171" i="14" s="1"/>
  <c r="Y139" i="14"/>
  <c r="AB139" i="14" s="1"/>
  <c r="AC139" i="14" s="1"/>
  <c r="AD139" i="14" s="1"/>
  <c r="AI139" i="14" s="1"/>
  <c r="AJ139" i="14" s="1"/>
  <c r="Y107" i="14"/>
  <c r="AB107" i="14" s="1"/>
  <c r="AC107" i="14" s="1"/>
  <c r="AD107" i="14" s="1"/>
  <c r="Y75" i="14"/>
  <c r="AB75" i="14" s="1"/>
  <c r="AC75" i="14" s="1"/>
  <c r="AD75" i="14" s="1"/>
  <c r="Y43" i="14"/>
  <c r="AB43" i="14" s="1"/>
  <c r="AC43" i="14" s="1"/>
  <c r="AD43" i="14" s="1"/>
  <c r="AI43" i="14" s="1"/>
  <c r="AJ43" i="14" s="1"/>
  <c r="Y190" i="14"/>
  <c r="AB190" i="14" s="1"/>
  <c r="AC190" i="14" s="1"/>
  <c r="AD190" i="14" s="1"/>
  <c r="AI190" i="14" s="1"/>
  <c r="AJ190" i="14" s="1"/>
  <c r="Y168" i="14"/>
  <c r="AB168" i="14" s="1"/>
  <c r="AC168" i="14" s="1"/>
  <c r="AD168" i="14" s="1"/>
  <c r="AI168" i="14" s="1"/>
  <c r="AJ168" i="14" s="1"/>
  <c r="Y158" i="14"/>
  <c r="AB158" i="14" s="1"/>
  <c r="AC158" i="14" s="1"/>
  <c r="AD158" i="14" s="1"/>
  <c r="AI158" i="14" s="1"/>
  <c r="AJ158" i="14" s="1"/>
  <c r="Y136" i="14"/>
  <c r="AB136" i="14" s="1"/>
  <c r="AC136" i="14" s="1"/>
  <c r="AD136" i="14" s="1"/>
  <c r="AI136" i="14" s="1"/>
  <c r="AJ136" i="14" s="1"/>
  <c r="Y126" i="14"/>
  <c r="AB126" i="14" s="1"/>
  <c r="AC126" i="14" s="1"/>
  <c r="AD126" i="14" s="1"/>
  <c r="AI126" i="14" s="1"/>
  <c r="AJ126" i="14" s="1"/>
  <c r="Y104" i="14"/>
  <c r="AB104" i="14" s="1"/>
  <c r="AC104" i="14" s="1"/>
  <c r="AD104" i="14" s="1"/>
  <c r="Y94" i="14"/>
  <c r="AB94" i="14" s="1"/>
  <c r="AC94" i="14" s="1"/>
  <c r="AD94" i="14" s="1"/>
  <c r="Y72" i="14"/>
  <c r="AB72" i="14" s="1"/>
  <c r="AC72" i="14" s="1"/>
  <c r="AD72" i="14" s="1"/>
  <c r="AI72" i="14" s="1"/>
  <c r="AJ72" i="14" s="1"/>
  <c r="Y62" i="14"/>
  <c r="AB62" i="14" s="1"/>
  <c r="AC62" i="14" s="1"/>
  <c r="AD62" i="14" s="1"/>
  <c r="AI62" i="14" s="1"/>
  <c r="AJ62" i="14" s="1"/>
  <c r="Y40" i="14"/>
  <c r="AB40" i="14" s="1"/>
  <c r="AC40" i="14" s="1"/>
  <c r="AD40" i="14" s="1"/>
  <c r="AI40" i="14" s="1"/>
  <c r="AJ40" i="14" s="1"/>
  <c r="Y30" i="14"/>
  <c r="AB30" i="14" s="1"/>
  <c r="AC30" i="14" s="1"/>
  <c r="AD30" i="14" s="1"/>
  <c r="AI30" i="14" s="1"/>
  <c r="AJ30" i="14" s="1"/>
  <c r="Y191" i="14"/>
  <c r="AB191" i="14" s="1"/>
  <c r="AC191" i="14" s="1"/>
  <c r="AD191" i="14" s="1"/>
  <c r="AI191" i="14" s="1"/>
  <c r="AJ191" i="14" s="1"/>
  <c r="Y159" i="14"/>
  <c r="AB159" i="14" s="1"/>
  <c r="AC159" i="14" s="1"/>
  <c r="AD159" i="14" s="1"/>
  <c r="AI159" i="14" s="1"/>
  <c r="AJ159" i="14" s="1"/>
  <c r="Y127" i="14"/>
  <c r="AB127" i="14" s="1"/>
  <c r="AC127" i="14" s="1"/>
  <c r="AD127" i="14" s="1"/>
  <c r="AI127" i="14" s="1"/>
  <c r="AJ127" i="14" s="1"/>
  <c r="AI104" i="14"/>
  <c r="AJ104" i="14" s="1"/>
  <c r="Y95" i="14"/>
  <c r="AB95" i="14" s="1"/>
  <c r="AC95" i="14" s="1"/>
  <c r="AD95" i="14" s="1"/>
  <c r="AI95" i="14" s="1"/>
  <c r="AJ95" i="14" s="1"/>
  <c r="Y63" i="14"/>
  <c r="AB63" i="14" s="1"/>
  <c r="AC63" i="14" s="1"/>
  <c r="AD63" i="14" s="1"/>
  <c r="AI63" i="14" s="1"/>
  <c r="AJ63" i="14" s="1"/>
  <c r="Y31" i="14"/>
  <c r="AB31" i="14" s="1"/>
  <c r="AC31" i="14" s="1"/>
  <c r="AD31" i="14" s="1"/>
  <c r="AI31" i="14" s="1"/>
  <c r="AJ31" i="14" s="1"/>
  <c r="Y194" i="14"/>
  <c r="AB194" i="14" s="1"/>
  <c r="AC194" i="14" s="1"/>
  <c r="AD194" i="14" s="1"/>
  <c r="AI194" i="14" s="1"/>
  <c r="AJ194" i="14" s="1"/>
  <c r="Y172" i="14"/>
  <c r="AB172" i="14" s="1"/>
  <c r="AC172" i="14" s="1"/>
  <c r="AD172" i="14" s="1"/>
  <c r="AI172" i="14" s="1"/>
  <c r="AJ172" i="14" s="1"/>
  <c r="Y162" i="14"/>
  <c r="AB162" i="14" s="1"/>
  <c r="AC162" i="14" s="1"/>
  <c r="AD162" i="14" s="1"/>
  <c r="AI162" i="14" s="1"/>
  <c r="AJ162" i="14" s="1"/>
  <c r="Y140" i="14"/>
  <c r="AB140" i="14" s="1"/>
  <c r="AC140" i="14" s="1"/>
  <c r="AD140" i="14" s="1"/>
  <c r="AI140" i="14" s="1"/>
  <c r="AJ140" i="14" s="1"/>
  <c r="Y130" i="14"/>
  <c r="AB130" i="14" s="1"/>
  <c r="AC130" i="14" s="1"/>
  <c r="AD130" i="14" s="1"/>
  <c r="AI130" i="14" s="1"/>
  <c r="AJ130" i="14" s="1"/>
  <c r="Y108" i="14"/>
  <c r="AB108" i="14" s="1"/>
  <c r="AC108" i="14" s="1"/>
  <c r="AD108" i="14" s="1"/>
  <c r="AI108" i="14" s="1"/>
  <c r="AJ108" i="14" s="1"/>
  <c r="Y98" i="14"/>
  <c r="AB98" i="14" s="1"/>
  <c r="AC98" i="14" s="1"/>
  <c r="AD98" i="14" s="1"/>
  <c r="AI98" i="14" s="1"/>
  <c r="AJ98" i="14" s="1"/>
  <c r="Y76" i="14"/>
  <c r="AB76" i="14" s="1"/>
  <c r="AC76" i="14" s="1"/>
  <c r="AD76" i="14" s="1"/>
  <c r="AI76" i="14" s="1"/>
  <c r="AJ76" i="14" s="1"/>
  <c r="Y66" i="14"/>
  <c r="AB66" i="14" s="1"/>
  <c r="AC66" i="14" s="1"/>
  <c r="AD66" i="14" s="1"/>
  <c r="AI66" i="14" s="1"/>
  <c r="AJ66" i="14" s="1"/>
  <c r="Y44" i="14"/>
  <c r="AB44" i="14" s="1"/>
  <c r="AC44" i="14" s="1"/>
  <c r="AD44" i="14" s="1"/>
  <c r="AI44" i="14" s="1"/>
  <c r="AJ44" i="14" s="1"/>
  <c r="Y34" i="14"/>
  <c r="AB34" i="14" s="1"/>
  <c r="AC34" i="14" s="1"/>
  <c r="AD34" i="14" s="1"/>
  <c r="AI34" i="14" s="1"/>
  <c r="AJ34" i="14" s="1"/>
  <c r="R17" i="14"/>
  <c r="Y179" i="14"/>
  <c r="AB179" i="14" s="1"/>
  <c r="AC179" i="14" s="1"/>
  <c r="AD179" i="14" s="1"/>
  <c r="AI179" i="14" s="1"/>
  <c r="AJ179" i="14" s="1"/>
  <c r="Y147" i="14"/>
  <c r="AB147" i="14" s="1"/>
  <c r="AC147" i="14" s="1"/>
  <c r="AD147" i="14" s="1"/>
  <c r="AI147" i="14" s="1"/>
  <c r="AJ147" i="14" s="1"/>
  <c r="Y115" i="14"/>
  <c r="AB115" i="14" s="1"/>
  <c r="AC115" i="14" s="1"/>
  <c r="AD115" i="14" s="1"/>
  <c r="AI115" i="14" s="1"/>
  <c r="AJ115" i="14" s="1"/>
  <c r="Y83" i="14"/>
  <c r="AB83" i="14" s="1"/>
  <c r="AC83" i="14" s="1"/>
  <c r="AD83" i="14" s="1"/>
  <c r="AI83" i="14" s="1"/>
  <c r="AJ83" i="14" s="1"/>
  <c r="Y51" i="14"/>
  <c r="AB51" i="14" s="1"/>
  <c r="AC51" i="14" s="1"/>
  <c r="AD51" i="14" s="1"/>
  <c r="AI51" i="14" s="1"/>
  <c r="AJ51" i="14" s="1"/>
  <c r="Y192" i="14"/>
  <c r="AB192" i="14" s="1"/>
  <c r="AC192" i="14" s="1"/>
  <c r="AD192" i="14" s="1"/>
  <c r="AI192" i="14" s="1"/>
  <c r="AJ192" i="14" s="1"/>
  <c r="Y182" i="14"/>
  <c r="AB182" i="14" s="1"/>
  <c r="AC182" i="14" s="1"/>
  <c r="AD182" i="14" s="1"/>
  <c r="AI182" i="14" s="1"/>
  <c r="AJ182" i="14" s="1"/>
  <c r="Y160" i="14"/>
  <c r="AB160" i="14" s="1"/>
  <c r="AC160" i="14" s="1"/>
  <c r="AD160" i="14" s="1"/>
  <c r="AI160" i="14" s="1"/>
  <c r="AJ160" i="14" s="1"/>
  <c r="Y150" i="14"/>
  <c r="AB150" i="14" s="1"/>
  <c r="AC150" i="14" s="1"/>
  <c r="AD150" i="14" s="1"/>
  <c r="AI150" i="14" s="1"/>
  <c r="AJ150" i="14" s="1"/>
  <c r="Y128" i="14"/>
  <c r="AB128" i="14" s="1"/>
  <c r="AC128" i="14" s="1"/>
  <c r="AD128" i="14" s="1"/>
  <c r="AI128" i="14" s="1"/>
  <c r="AJ128" i="14" s="1"/>
  <c r="Y118" i="14"/>
  <c r="AB118" i="14" s="1"/>
  <c r="AC118" i="14" s="1"/>
  <c r="AD118" i="14" s="1"/>
  <c r="AI118" i="14" s="1"/>
  <c r="AJ118" i="14" s="1"/>
  <c r="Y96" i="14"/>
  <c r="AB96" i="14" s="1"/>
  <c r="AC96" i="14" s="1"/>
  <c r="AD96" i="14" s="1"/>
  <c r="AI96" i="14" s="1"/>
  <c r="AJ96" i="14" s="1"/>
  <c r="Y86" i="14"/>
  <c r="AB86" i="14" s="1"/>
  <c r="AC86" i="14" s="1"/>
  <c r="AD86" i="14" s="1"/>
  <c r="AI86" i="14" s="1"/>
  <c r="AJ86" i="14" s="1"/>
  <c r="Y64" i="14"/>
  <c r="AB64" i="14" s="1"/>
  <c r="AC64" i="14" s="1"/>
  <c r="AD64" i="14" s="1"/>
  <c r="AI64" i="14" s="1"/>
  <c r="AJ64" i="14" s="1"/>
  <c r="Y54" i="14"/>
  <c r="AB54" i="14" s="1"/>
  <c r="AC54" i="14" s="1"/>
  <c r="AD54" i="14" s="1"/>
  <c r="AI54" i="14" s="1"/>
  <c r="AJ54" i="14" s="1"/>
  <c r="Y32" i="14"/>
  <c r="AB32" i="14" s="1"/>
  <c r="AC32" i="14" s="1"/>
  <c r="AD32" i="14" s="1"/>
  <c r="AI32" i="14" s="1"/>
  <c r="AJ32" i="14" s="1"/>
  <c r="Y167" i="14"/>
  <c r="AB167" i="14" s="1"/>
  <c r="AC167" i="14" s="1"/>
  <c r="AD167" i="14" s="1"/>
  <c r="AI167" i="14" s="1"/>
  <c r="AJ167" i="14" s="1"/>
  <c r="AI144" i="14"/>
  <c r="AJ144" i="14" s="1"/>
  <c r="Y135" i="14"/>
  <c r="AB135" i="14" s="1"/>
  <c r="AC135" i="14" s="1"/>
  <c r="AD135" i="14" s="1"/>
  <c r="AI135" i="14" s="1"/>
  <c r="AJ135" i="14" s="1"/>
  <c r="Y103" i="14"/>
  <c r="AB103" i="14" s="1"/>
  <c r="AC103" i="14" s="1"/>
  <c r="AD103" i="14" s="1"/>
  <c r="AI103" i="14" s="1"/>
  <c r="AJ103" i="14" s="1"/>
  <c r="AI94" i="14"/>
  <c r="AJ94" i="14" s="1"/>
  <c r="Y71" i="14"/>
  <c r="AB71" i="14" s="1"/>
  <c r="AC71" i="14" s="1"/>
  <c r="AD71" i="14" s="1"/>
  <c r="AI71" i="14" s="1"/>
  <c r="AJ71" i="14" s="1"/>
  <c r="Y39" i="14"/>
  <c r="AB39" i="14" s="1"/>
  <c r="AC39" i="14" s="1"/>
  <c r="AD39" i="14" s="1"/>
  <c r="AI39" i="14" s="1"/>
  <c r="AJ39" i="14" s="1"/>
  <c r="Y186" i="14"/>
  <c r="AB186" i="14" s="1"/>
  <c r="AC186" i="14" s="1"/>
  <c r="AD186" i="14" s="1"/>
  <c r="AI186" i="14" s="1"/>
  <c r="AJ186" i="14" s="1"/>
  <c r="Y164" i="14"/>
  <c r="AB164" i="14" s="1"/>
  <c r="AC164" i="14" s="1"/>
  <c r="AD164" i="14" s="1"/>
  <c r="AI164" i="14" s="1"/>
  <c r="AJ164" i="14" s="1"/>
  <c r="Y154" i="14"/>
  <c r="AB154" i="14" s="1"/>
  <c r="AC154" i="14" s="1"/>
  <c r="AD154" i="14" s="1"/>
  <c r="AI154" i="14" s="1"/>
  <c r="AJ154" i="14" s="1"/>
  <c r="Y132" i="14"/>
  <c r="AB132" i="14" s="1"/>
  <c r="AC132" i="14" s="1"/>
  <c r="AD132" i="14" s="1"/>
  <c r="AI132" i="14" s="1"/>
  <c r="AJ132" i="14" s="1"/>
  <c r="Y122" i="14"/>
  <c r="AB122" i="14" s="1"/>
  <c r="AC122" i="14" s="1"/>
  <c r="AD122" i="14" s="1"/>
  <c r="AI122" i="14" s="1"/>
  <c r="AJ122" i="14" s="1"/>
  <c r="AI107" i="14"/>
  <c r="AJ107" i="14" s="1"/>
  <c r="Y100" i="14"/>
  <c r="AB100" i="14" s="1"/>
  <c r="AC100" i="14" s="1"/>
  <c r="AD100" i="14" s="1"/>
  <c r="AI100" i="14" s="1"/>
  <c r="AJ100" i="14" s="1"/>
  <c r="Y90" i="14"/>
  <c r="AB90" i="14" s="1"/>
  <c r="AC90" i="14" s="1"/>
  <c r="AD90" i="14" s="1"/>
  <c r="AI90" i="14" s="1"/>
  <c r="AJ90" i="14" s="1"/>
  <c r="AI75" i="14"/>
  <c r="AJ75" i="14" s="1"/>
  <c r="Y68" i="14"/>
  <c r="AB68" i="14" s="1"/>
  <c r="AC68" i="14" s="1"/>
  <c r="AD68" i="14" s="1"/>
  <c r="AI68" i="14" s="1"/>
  <c r="AJ68" i="14" s="1"/>
  <c r="Y58" i="14"/>
  <c r="AB58" i="14" s="1"/>
  <c r="AC58" i="14" s="1"/>
  <c r="AD58" i="14" s="1"/>
  <c r="AI58" i="14" s="1"/>
  <c r="AJ58" i="14" s="1"/>
  <c r="Y36" i="14"/>
  <c r="AB36" i="14" s="1"/>
  <c r="AC36" i="14" s="1"/>
  <c r="AD36" i="14" s="1"/>
  <c r="AI36" i="14" s="1"/>
  <c r="AJ36" i="14" s="1"/>
  <c r="Y187" i="14"/>
  <c r="AB187" i="14" s="1"/>
  <c r="AC187" i="14" s="1"/>
  <c r="AD187" i="14" s="1"/>
  <c r="AI187" i="14" s="1"/>
  <c r="AJ187" i="14" s="1"/>
  <c r="Y155" i="14"/>
  <c r="AB155" i="14" s="1"/>
  <c r="AC155" i="14" s="1"/>
  <c r="AD155" i="14" s="1"/>
  <c r="AI155" i="14" s="1"/>
  <c r="AJ155" i="14" s="1"/>
  <c r="Y123" i="14"/>
  <c r="AB123" i="14" s="1"/>
  <c r="AC123" i="14" s="1"/>
  <c r="AD123" i="14" s="1"/>
  <c r="AI123" i="14" s="1"/>
  <c r="AJ123" i="14" s="1"/>
  <c r="Y91" i="14"/>
  <c r="AB91" i="14" s="1"/>
  <c r="AC91" i="14" s="1"/>
  <c r="AD91" i="14" s="1"/>
  <c r="AI91" i="14" s="1"/>
  <c r="AJ91" i="14" s="1"/>
  <c r="Y59" i="14"/>
  <c r="AB59" i="14" s="1"/>
  <c r="AC59" i="14" s="1"/>
  <c r="AD59" i="14" s="1"/>
  <c r="AI59" i="14" s="1"/>
  <c r="AJ59" i="14" s="1"/>
  <c r="Y27" i="14"/>
  <c r="AB27" i="14" s="1"/>
  <c r="Y184" i="14"/>
  <c r="AB184" i="14" s="1"/>
  <c r="AC184" i="14" s="1"/>
  <c r="AD184" i="14" s="1"/>
  <c r="AI184" i="14" s="1"/>
  <c r="AJ184" i="14" s="1"/>
  <c r="Y174" i="14"/>
  <c r="AB174" i="14" s="1"/>
  <c r="AC174" i="14" s="1"/>
  <c r="AD174" i="14" s="1"/>
  <c r="AI174" i="14" s="1"/>
  <c r="AJ174" i="14" s="1"/>
  <c r="Y152" i="14"/>
  <c r="AB152" i="14" s="1"/>
  <c r="AC152" i="14" s="1"/>
  <c r="AD152" i="14" s="1"/>
  <c r="AI152" i="14" s="1"/>
  <c r="AJ152" i="14" s="1"/>
  <c r="Y142" i="14"/>
  <c r="AB142" i="14" s="1"/>
  <c r="AC142" i="14" s="1"/>
  <c r="AD142" i="14" s="1"/>
  <c r="AI142" i="14" s="1"/>
  <c r="AJ142" i="14" s="1"/>
  <c r="Y120" i="14"/>
  <c r="AB120" i="14" s="1"/>
  <c r="AC120" i="14" s="1"/>
  <c r="AD120" i="14" s="1"/>
  <c r="AI120" i="14" s="1"/>
  <c r="AJ120" i="14" s="1"/>
  <c r="Y110" i="14"/>
  <c r="AB110" i="14" s="1"/>
  <c r="AC110" i="14" s="1"/>
  <c r="AD110" i="14" s="1"/>
  <c r="AI110" i="14" s="1"/>
  <c r="AJ110" i="14" s="1"/>
  <c r="Y88" i="14"/>
  <c r="AB88" i="14" s="1"/>
  <c r="AC88" i="14" s="1"/>
  <c r="AD88" i="14" s="1"/>
  <c r="AI88" i="14" s="1"/>
  <c r="AJ88" i="14" s="1"/>
  <c r="Y78" i="14"/>
  <c r="AB78" i="14" s="1"/>
  <c r="AC78" i="14" s="1"/>
  <c r="AD78" i="14" s="1"/>
  <c r="AI78" i="14" s="1"/>
  <c r="AJ78" i="14" s="1"/>
  <c r="Y56" i="14"/>
  <c r="AB56" i="14" s="1"/>
  <c r="AC56" i="14" s="1"/>
  <c r="AD56" i="14" s="1"/>
  <c r="AI56" i="14" s="1"/>
  <c r="AJ56" i="14" s="1"/>
  <c r="Y46" i="14"/>
  <c r="AB46" i="14" s="1"/>
  <c r="AC46" i="14" s="1"/>
  <c r="AD46" i="14" s="1"/>
  <c r="AI46" i="14" s="1"/>
  <c r="AJ46" i="14" s="1"/>
  <c r="Y175" i="14"/>
  <c r="AB175" i="14" s="1"/>
  <c r="AC175" i="14" s="1"/>
  <c r="AD175" i="14" s="1"/>
  <c r="AI175" i="14" s="1"/>
  <c r="AJ175" i="14" s="1"/>
  <c r="AI166" i="14"/>
  <c r="AJ166" i="14" s="1"/>
  <c r="Y143" i="14"/>
  <c r="AB143" i="14" s="1"/>
  <c r="AC143" i="14" s="1"/>
  <c r="AD143" i="14" s="1"/>
  <c r="AI143" i="14" s="1"/>
  <c r="AJ143" i="14" s="1"/>
  <c r="Y111" i="14"/>
  <c r="AB111" i="14" s="1"/>
  <c r="AC111" i="14" s="1"/>
  <c r="AD111" i="14" s="1"/>
  <c r="AI111" i="14" s="1"/>
  <c r="AJ111" i="14" s="1"/>
  <c r="AI102" i="14"/>
  <c r="AJ102" i="14" s="1"/>
  <c r="Y79" i="14"/>
  <c r="AB79" i="14" s="1"/>
  <c r="AC79" i="14" s="1"/>
  <c r="AD79" i="14" s="1"/>
  <c r="AI79" i="14" s="1"/>
  <c r="AJ79" i="14" s="1"/>
  <c r="Y47" i="14"/>
  <c r="AB47" i="14" s="1"/>
  <c r="AC47" i="14" s="1"/>
  <c r="AD47" i="14" s="1"/>
  <c r="AI47" i="14" s="1"/>
  <c r="AJ47" i="14" s="1"/>
  <c r="AI38" i="14"/>
  <c r="AJ38" i="14" s="1"/>
  <c r="Y188" i="14"/>
  <c r="AB188" i="14" s="1"/>
  <c r="AC188" i="14" s="1"/>
  <c r="AD188" i="14" s="1"/>
  <c r="AI188" i="14" s="1"/>
  <c r="AJ188" i="14" s="1"/>
  <c r="Y178" i="14"/>
  <c r="AB178" i="14" s="1"/>
  <c r="AC178" i="14" s="1"/>
  <c r="AD178" i="14" s="1"/>
  <c r="AI178" i="14" s="1"/>
  <c r="AJ178" i="14" s="1"/>
  <c r="AI163" i="14"/>
  <c r="AJ163" i="14" s="1"/>
  <c r="Y156" i="14"/>
  <c r="AB156" i="14" s="1"/>
  <c r="AC156" i="14" s="1"/>
  <c r="AD156" i="14" s="1"/>
  <c r="AI156" i="14" s="1"/>
  <c r="AJ156" i="14" s="1"/>
  <c r="Y146" i="14"/>
  <c r="AB146" i="14" s="1"/>
  <c r="AC146" i="14" s="1"/>
  <c r="AD146" i="14" s="1"/>
  <c r="AI146" i="14" s="1"/>
  <c r="AJ146" i="14" s="1"/>
  <c r="Y124" i="14"/>
  <c r="AB124" i="14" s="1"/>
  <c r="AC124" i="14" s="1"/>
  <c r="AD124" i="14" s="1"/>
  <c r="AI124" i="14" s="1"/>
  <c r="AJ124" i="14" s="1"/>
  <c r="Y114" i="14"/>
  <c r="AB114" i="14" s="1"/>
  <c r="AC114" i="14" s="1"/>
  <c r="AD114" i="14" s="1"/>
  <c r="AI114" i="14" s="1"/>
  <c r="AJ114" i="14" s="1"/>
  <c r="AI99" i="14"/>
  <c r="AJ99" i="14" s="1"/>
  <c r="Y92" i="14"/>
  <c r="AB92" i="14" s="1"/>
  <c r="AC92" i="14" s="1"/>
  <c r="AD92" i="14" s="1"/>
  <c r="AI92" i="14" s="1"/>
  <c r="AJ92" i="14" s="1"/>
  <c r="Y82" i="14"/>
  <c r="AB82" i="14" s="1"/>
  <c r="AC82" i="14" s="1"/>
  <c r="AD82" i="14" s="1"/>
  <c r="AI82" i="14" s="1"/>
  <c r="AJ82" i="14" s="1"/>
  <c r="AI67" i="14"/>
  <c r="AJ67" i="14" s="1"/>
  <c r="Y60" i="14"/>
  <c r="AB60" i="14" s="1"/>
  <c r="AC60" i="14" s="1"/>
  <c r="AD60" i="14" s="1"/>
  <c r="AI60" i="14" s="1"/>
  <c r="AJ60" i="14" s="1"/>
  <c r="Y50" i="14"/>
  <c r="AB50" i="14" s="1"/>
  <c r="AC50" i="14" s="1"/>
  <c r="AD50" i="14" s="1"/>
  <c r="AI50" i="14" s="1"/>
  <c r="AJ50" i="14" s="1"/>
  <c r="AI35" i="14"/>
  <c r="AJ35" i="14" s="1"/>
  <c r="Y28" i="14"/>
  <c r="AB28" i="14" s="1"/>
  <c r="AC28" i="14" s="1"/>
  <c r="AD28" i="14" s="1"/>
  <c r="AI28" i="14" s="1"/>
  <c r="AJ28" i="14" s="1"/>
  <c r="AL42" i="14" l="1"/>
  <c r="AM39" i="14"/>
  <c r="AN39" i="14" s="1"/>
  <c r="AO39" i="14" s="1"/>
  <c r="AL39" i="14"/>
  <c r="AM51" i="14"/>
  <c r="AN51" i="14" s="1"/>
  <c r="AO51" i="14" s="1"/>
  <c r="AL51" i="14"/>
  <c r="AM91" i="14"/>
  <c r="AN91" i="14" s="1"/>
  <c r="AO91" i="14" s="1"/>
  <c r="AL91" i="14"/>
  <c r="AM167" i="14"/>
  <c r="AN167" i="14" s="1"/>
  <c r="AO167" i="14" s="1"/>
  <c r="AL167" i="14"/>
  <c r="AM64" i="14"/>
  <c r="AN64" i="14" s="1"/>
  <c r="AO64" i="14" s="1"/>
  <c r="AL64" i="14"/>
  <c r="AM128" i="14"/>
  <c r="AN128" i="14" s="1"/>
  <c r="AO128" i="14" s="1"/>
  <c r="AL128" i="14"/>
  <c r="AM192" i="14"/>
  <c r="AN192" i="14" s="1"/>
  <c r="AO192" i="14" s="1"/>
  <c r="AL192" i="14"/>
  <c r="AM83" i="14"/>
  <c r="AN83" i="14" s="1"/>
  <c r="AO83" i="14" s="1"/>
  <c r="AL83" i="14"/>
  <c r="AM43" i="14"/>
  <c r="AN43" i="14" s="1"/>
  <c r="AO43" i="14" s="1"/>
  <c r="AL43" i="14"/>
  <c r="AM171" i="14"/>
  <c r="AN171" i="14" s="1"/>
  <c r="AO171" i="14" s="1"/>
  <c r="AL171" i="14"/>
  <c r="AM119" i="14"/>
  <c r="AN119" i="14" s="1"/>
  <c r="AO119" i="14" s="1"/>
  <c r="AL119" i="14"/>
  <c r="AM48" i="14"/>
  <c r="AN48" i="14" s="1"/>
  <c r="AO48" i="14" s="1"/>
  <c r="AL48" i="14"/>
  <c r="AM112" i="14"/>
  <c r="AN112" i="14" s="1"/>
  <c r="AO112" i="14" s="1"/>
  <c r="AL112" i="14"/>
  <c r="AM176" i="14"/>
  <c r="AN176" i="14" s="1"/>
  <c r="AO176" i="14" s="1"/>
  <c r="AL176" i="14"/>
  <c r="AM59" i="14"/>
  <c r="AN59" i="14" s="1"/>
  <c r="AO59" i="14" s="1"/>
  <c r="AL59" i="14"/>
  <c r="AL54" i="14"/>
  <c r="AM54" i="14"/>
  <c r="AN54" i="14" s="1"/>
  <c r="AO54" i="14" s="1"/>
  <c r="AM87" i="14"/>
  <c r="AN87" i="14" s="1"/>
  <c r="AO87" i="14" s="1"/>
  <c r="AL87" i="14"/>
  <c r="AM111" i="14"/>
  <c r="AN111" i="14" s="1"/>
  <c r="AO111" i="14" s="1"/>
  <c r="AL111" i="14"/>
  <c r="AM120" i="14"/>
  <c r="AN120" i="14" s="1"/>
  <c r="AO120" i="14" s="1"/>
  <c r="AL120" i="14"/>
  <c r="AM71" i="14"/>
  <c r="AN71" i="14" s="1"/>
  <c r="AO71" i="14" s="1"/>
  <c r="AL71" i="14"/>
  <c r="AM135" i="14"/>
  <c r="AN135" i="14" s="1"/>
  <c r="AO135" i="14" s="1"/>
  <c r="AL135" i="14"/>
  <c r="AL86" i="14"/>
  <c r="AM86" i="14"/>
  <c r="AN86" i="14" s="1"/>
  <c r="AO86" i="14" s="1"/>
  <c r="AL150" i="14"/>
  <c r="AM150" i="14"/>
  <c r="AN150" i="14" s="1"/>
  <c r="AO150" i="14" s="1"/>
  <c r="AM168" i="14"/>
  <c r="AN168" i="14" s="1"/>
  <c r="AO168" i="14" s="1"/>
  <c r="AL168" i="14"/>
  <c r="AM151" i="14"/>
  <c r="AN151" i="14" s="1"/>
  <c r="AO151" i="14" s="1"/>
  <c r="AL151" i="14"/>
  <c r="AM184" i="14"/>
  <c r="AN184" i="14" s="1"/>
  <c r="AO184" i="14" s="1"/>
  <c r="AL184" i="14"/>
  <c r="AM187" i="14"/>
  <c r="AN187" i="14" s="1"/>
  <c r="AO187" i="14" s="1"/>
  <c r="AL187" i="14"/>
  <c r="AM103" i="14"/>
  <c r="AN103" i="14" s="1"/>
  <c r="AO103" i="14" s="1"/>
  <c r="AL103" i="14"/>
  <c r="AL182" i="14"/>
  <c r="AM182" i="14"/>
  <c r="AN182" i="14" s="1"/>
  <c r="AO182" i="14" s="1"/>
  <c r="AM179" i="14"/>
  <c r="AN179" i="14" s="1"/>
  <c r="AO179" i="14" s="1"/>
  <c r="AL179" i="14"/>
  <c r="AM56" i="14"/>
  <c r="AN56" i="14" s="1"/>
  <c r="AO56" i="14" s="1"/>
  <c r="AL56" i="14"/>
  <c r="AM88" i="14"/>
  <c r="AN88" i="14" s="1"/>
  <c r="AO88" i="14" s="1"/>
  <c r="AL88" i="14"/>
  <c r="AL174" i="14"/>
  <c r="AM174" i="14"/>
  <c r="AN174" i="14" s="1"/>
  <c r="AO174" i="14" s="1"/>
  <c r="AM123" i="14"/>
  <c r="AN123" i="14" s="1"/>
  <c r="AO123" i="14" s="1"/>
  <c r="AL123" i="14"/>
  <c r="AL46" i="14"/>
  <c r="AM46" i="14"/>
  <c r="AN46" i="14" s="1"/>
  <c r="AO46" i="14" s="1"/>
  <c r="AL78" i="14"/>
  <c r="AM78" i="14"/>
  <c r="AN78" i="14" s="1"/>
  <c r="AO78" i="14" s="1"/>
  <c r="AL110" i="14"/>
  <c r="AM110" i="14"/>
  <c r="AN110" i="14" s="1"/>
  <c r="AO110" i="14" s="1"/>
  <c r="AL142" i="14"/>
  <c r="AM142" i="14"/>
  <c r="AN142" i="14" s="1"/>
  <c r="AO142" i="14" s="1"/>
  <c r="AM155" i="14"/>
  <c r="AN155" i="14" s="1"/>
  <c r="AO155" i="14" s="1"/>
  <c r="AL155" i="14"/>
  <c r="AM32" i="14"/>
  <c r="AN32" i="14" s="1"/>
  <c r="AO32" i="14" s="1"/>
  <c r="AL32" i="14"/>
  <c r="AM96" i="14"/>
  <c r="AN96" i="14" s="1"/>
  <c r="AO96" i="14" s="1"/>
  <c r="AL96" i="14"/>
  <c r="AM160" i="14"/>
  <c r="AN160" i="14" s="1"/>
  <c r="AO160" i="14" s="1"/>
  <c r="AL160" i="14"/>
  <c r="AM147" i="14"/>
  <c r="AN147" i="14" s="1"/>
  <c r="AO147" i="14" s="1"/>
  <c r="AL147" i="14"/>
  <c r="AM31" i="14"/>
  <c r="AN31" i="14" s="1"/>
  <c r="AO31" i="14" s="1"/>
  <c r="AL31" i="14"/>
  <c r="AM159" i="14"/>
  <c r="AN159" i="14" s="1"/>
  <c r="AO159" i="14" s="1"/>
  <c r="AL159" i="14"/>
  <c r="AM40" i="14"/>
  <c r="AN40" i="14" s="1"/>
  <c r="AO40" i="14" s="1"/>
  <c r="AL40" i="14"/>
  <c r="AM29" i="14"/>
  <c r="AN29" i="14" s="1"/>
  <c r="AO29" i="14" s="1"/>
  <c r="AL29" i="14"/>
  <c r="AM45" i="14"/>
  <c r="AN45" i="14" s="1"/>
  <c r="AO45" i="14" s="1"/>
  <c r="AL45" i="14"/>
  <c r="AM61" i="14"/>
  <c r="AN61" i="14" s="1"/>
  <c r="AO61" i="14" s="1"/>
  <c r="AL61" i="14"/>
  <c r="AM77" i="14"/>
  <c r="AN77" i="14" s="1"/>
  <c r="AO77" i="14" s="1"/>
  <c r="AL77" i="14"/>
  <c r="AM93" i="14"/>
  <c r="AN93" i="14" s="1"/>
  <c r="AO93" i="14" s="1"/>
  <c r="AL93" i="14"/>
  <c r="AM109" i="14"/>
  <c r="AN109" i="14" s="1"/>
  <c r="AO109" i="14" s="1"/>
  <c r="AL109" i="14"/>
  <c r="AM125" i="14"/>
  <c r="AN125" i="14" s="1"/>
  <c r="AO125" i="14" s="1"/>
  <c r="AL125" i="14"/>
  <c r="AM141" i="14"/>
  <c r="AN141" i="14" s="1"/>
  <c r="AO141" i="14" s="1"/>
  <c r="AL141" i="14"/>
  <c r="AM157" i="14"/>
  <c r="AN157" i="14" s="1"/>
  <c r="AO157" i="14" s="1"/>
  <c r="AL157" i="14"/>
  <c r="AM173" i="14"/>
  <c r="AN173" i="14" s="1"/>
  <c r="AO173" i="14" s="1"/>
  <c r="AL173" i="14"/>
  <c r="AM189" i="14"/>
  <c r="AN189" i="14" s="1"/>
  <c r="AO189" i="14" s="1"/>
  <c r="AL189" i="14"/>
  <c r="AM55" i="14"/>
  <c r="AN55" i="14" s="1"/>
  <c r="AO55" i="14" s="1"/>
  <c r="AL55" i="14"/>
  <c r="AM183" i="14"/>
  <c r="AN183" i="14" s="1"/>
  <c r="AO183" i="14" s="1"/>
  <c r="AL183" i="14"/>
  <c r="AM80" i="14"/>
  <c r="AN80" i="14" s="1"/>
  <c r="AO80" i="14" s="1"/>
  <c r="AL80" i="14"/>
  <c r="AL50" i="14"/>
  <c r="AM50" i="14"/>
  <c r="AN50" i="14" s="1"/>
  <c r="AO50" i="14" s="1"/>
  <c r="AL178" i="14"/>
  <c r="AM178" i="14"/>
  <c r="AN178" i="14" s="1"/>
  <c r="AO178" i="14" s="1"/>
  <c r="AL70" i="14"/>
  <c r="AM70" i="14"/>
  <c r="AN70" i="14" s="1"/>
  <c r="AO70" i="14" s="1"/>
  <c r="AM152" i="14"/>
  <c r="AN152" i="14" s="1"/>
  <c r="AO152" i="14" s="1"/>
  <c r="AL152" i="14"/>
  <c r="AL58" i="14"/>
  <c r="AM58" i="14"/>
  <c r="AN58" i="14" s="1"/>
  <c r="AO58" i="14" s="1"/>
  <c r="AL186" i="14"/>
  <c r="AM186" i="14"/>
  <c r="AN186" i="14" s="1"/>
  <c r="AO186" i="14" s="1"/>
  <c r="AL190" i="14"/>
  <c r="AM190" i="14"/>
  <c r="AN190" i="14" s="1"/>
  <c r="AO190" i="14" s="1"/>
  <c r="AM76" i="14"/>
  <c r="AN76" i="14" s="1"/>
  <c r="AO76" i="14" s="1"/>
  <c r="AL76" i="14"/>
  <c r="AM79" i="14"/>
  <c r="AN79" i="14" s="1"/>
  <c r="AO79" i="14" s="1"/>
  <c r="AL79" i="14"/>
  <c r="AM143" i="14"/>
  <c r="AN143" i="14" s="1"/>
  <c r="AO143" i="14" s="1"/>
  <c r="AL143" i="14"/>
  <c r="AM175" i="14"/>
  <c r="AN175" i="14" s="1"/>
  <c r="AO175" i="14" s="1"/>
  <c r="AL175" i="14"/>
  <c r="AL74" i="14"/>
  <c r="AM74" i="14"/>
  <c r="AN74" i="14" s="1"/>
  <c r="AO74" i="14" s="1"/>
  <c r="AM116" i="14"/>
  <c r="AN116" i="14" s="1"/>
  <c r="AO116" i="14" s="1"/>
  <c r="AL116" i="14"/>
  <c r="AM60" i="14"/>
  <c r="AN60" i="14" s="1"/>
  <c r="AO60" i="14" s="1"/>
  <c r="AL60" i="14"/>
  <c r="AM99" i="14"/>
  <c r="AN99" i="14" s="1"/>
  <c r="AO99" i="14" s="1"/>
  <c r="AL99" i="14"/>
  <c r="AL146" i="14"/>
  <c r="AM146" i="14"/>
  <c r="AN146" i="14" s="1"/>
  <c r="AO146" i="14" s="1"/>
  <c r="AM188" i="14"/>
  <c r="AN188" i="14" s="1"/>
  <c r="AO188" i="14" s="1"/>
  <c r="AL188" i="14"/>
  <c r="AL38" i="14"/>
  <c r="AM38" i="14"/>
  <c r="AN38" i="14" s="1"/>
  <c r="AO38" i="14" s="1"/>
  <c r="AL166" i="14"/>
  <c r="AM166" i="14"/>
  <c r="AN166" i="14" s="1"/>
  <c r="AO166" i="14" s="1"/>
  <c r="AM63" i="14"/>
  <c r="AN63" i="14" s="1"/>
  <c r="AO63" i="14" s="1"/>
  <c r="AL63" i="14"/>
  <c r="AM95" i="14"/>
  <c r="AN95" i="14" s="1"/>
  <c r="AO95" i="14" s="1"/>
  <c r="AL95" i="14"/>
  <c r="AM127" i="14"/>
  <c r="AN127" i="14" s="1"/>
  <c r="AO127" i="14" s="1"/>
  <c r="AL127" i="14"/>
  <c r="AM191" i="14"/>
  <c r="AN191" i="14" s="1"/>
  <c r="AO191" i="14" s="1"/>
  <c r="AL191" i="14"/>
  <c r="AM68" i="14"/>
  <c r="AN68" i="14" s="1"/>
  <c r="AO68" i="14" s="1"/>
  <c r="AL68" i="14"/>
  <c r="AM107" i="14"/>
  <c r="AN107" i="14" s="1"/>
  <c r="AO107" i="14" s="1"/>
  <c r="AL107" i="14"/>
  <c r="AL154" i="14"/>
  <c r="AM154" i="14"/>
  <c r="AN154" i="14" s="1"/>
  <c r="AO154" i="14" s="1"/>
  <c r="AL30" i="14"/>
  <c r="AM30" i="14"/>
  <c r="AN30" i="14" s="1"/>
  <c r="AO30" i="14" s="1"/>
  <c r="AL158" i="14"/>
  <c r="AM158" i="14"/>
  <c r="AN158" i="14" s="1"/>
  <c r="AO158" i="14" s="1"/>
  <c r="AM44" i="14"/>
  <c r="AN44" i="14" s="1"/>
  <c r="AO44" i="14" s="1"/>
  <c r="AL44" i="14"/>
  <c r="AL130" i="14"/>
  <c r="AM130" i="14"/>
  <c r="AN130" i="14" s="1"/>
  <c r="AO130" i="14" s="1"/>
  <c r="AM172" i="14"/>
  <c r="AN172" i="14" s="1"/>
  <c r="AO172" i="14" s="1"/>
  <c r="AL172" i="14"/>
  <c r="AM33" i="14"/>
  <c r="AN33" i="14" s="1"/>
  <c r="AO33" i="14" s="1"/>
  <c r="AL33" i="14"/>
  <c r="AM49" i="14"/>
  <c r="AN49" i="14" s="1"/>
  <c r="AO49" i="14" s="1"/>
  <c r="AL49" i="14"/>
  <c r="AM65" i="14"/>
  <c r="AN65" i="14" s="1"/>
  <c r="AO65" i="14" s="1"/>
  <c r="AL65" i="14"/>
  <c r="AM81" i="14"/>
  <c r="AN81" i="14" s="1"/>
  <c r="AO81" i="14" s="1"/>
  <c r="AL81" i="14"/>
  <c r="AM97" i="14"/>
  <c r="AN97" i="14" s="1"/>
  <c r="AO97" i="14" s="1"/>
  <c r="AL97" i="14"/>
  <c r="AM113" i="14"/>
  <c r="AN113" i="14" s="1"/>
  <c r="AO113" i="14" s="1"/>
  <c r="AL113" i="14"/>
  <c r="AM129" i="14"/>
  <c r="AN129" i="14" s="1"/>
  <c r="AO129" i="14" s="1"/>
  <c r="AL129" i="14"/>
  <c r="AM145" i="14"/>
  <c r="AN145" i="14" s="1"/>
  <c r="AO145" i="14" s="1"/>
  <c r="AL145" i="14"/>
  <c r="AM161" i="14"/>
  <c r="AN161" i="14" s="1"/>
  <c r="AO161" i="14" s="1"/>
  <c r="AL161" i="14"/>
  <c r="AM177" i="14"/>
  <c r="AN177" i="14" s="1"/>
  <c r="AO177" i="14" s="1"/>
  <c r="AL177" i="14"/>
  <c r="AM193" i="14"/>
  <c r="AN193" i="14" s="1"/>
  <c r="AO193" i="14" s="1"/>
  <c r="AL193" i="14"/>
  <c r="AM84" i="14"/>
  <c r="AN84" i="14" s="1"/>
  <c r="AO84" i="14" s="1"/>
  <c r="AL84" i="14"/>
  <c r="AL170" i="14"/>
  <c r="AM170" i="14"/>
  <c r="AN170" i="14" s="1"/>
  <c r="AO170" i="14" s="1"/>
  <c r="AM131" i="14"/>
  <c r="AN131" i="14" s="1"/>
  <c r="AO131" i="14" s="1"/>
  <c r="AL131" i="14"/>
  <c r="AC27" i="14"/>
  <c r="AB17" i="14"/>
  <c r="AM100" i="14"/>
  <c r="AN100" i="14" s="1"/>
  <c r="AO100" i="14" s="1"/>
  <c r="AL100" i="14"/>
  <c r="AM144" i="14"/>
  <c r="AN144" i="14" s="1"/>
  <c r="AO144" i="14" s="1"/>
  <c r="AL144" i="14"/>
  <c r="AL162" i="14"/>
  <c r="AM162" i="14"/>
  <c r="AN162" i="14" s="1"/>
  <c r="AO162" i="14" s="1"/>
  <c r="AM72" i="14"/>
  <c r="AN72" i="14" s="1"/>
  <c r="AO72" i="14" s="1"/>
  <c r="AL72" i="14"/>
  <c r="AL118" i="14"/>
  <c r="AM118" i="14"/>
  <c r="AN118" i="14" s="1"/>
  <c r="AO118" i="14" s="1"/>
  <c r="AM28" i="14"/>
  <c r="AN28" i="14" s="1"/>
  <c r="AO28" i="14" s="1"/>
  <c r="AL28" i="14"/>
  <c r="AM67" i="14"/>
  <c r="AN67" i="14" s="1"/>
  <c r="AO67" i="14" s="1"/>
  <c r="AL67" i="14"/>
  <c r="AL114" i="14"/>
  <c r="AM114" i="14"/>
  <c r="AN114" i="14" s="1"/>
  <c r="AO114" i="14" s="1"/>
  <c r="AM156" i="14"/>
  <c r="AN156" i="14" s="1"/>
  <c r="AO156" i="14" s="1"/>
  <c r="AL156" i="14"/>
  <c r="AM195" i="14"/>
  <c r="AN195" i="14" s="1"/>
  <c r="AO195" i="14" s="1"/>
  <c r="AL195" i="14"/>
  <c r="AL134" i="14"/>
  <c r="AM134" i="14"/>
  <c r="AN134" i="14" s="1"/>
  <c r="AO134" i="14" s="1"/>
  <c r="AM36" i="14"/>
  <c r="AN36" i="14" s="1"/>
  <c r="AO36" i="14" s="1"/>
  <c r="AL36" i="14"/>
  <c r="AM75" i="14"/>
  <c r="AN75" i="14" s="1"/>
  <c r="AO75" i="14" s="1"/>
  <c r="AL75" i="14"/>
  <c r="AL122" i="14"/>
  <c r="AM122" i="14"/>
  <c r="AN122" i="14" s="1"/>
  <c r="AO122" i="14" s="1"/>
  <c r="AM164" i="14"/>
  <c r="AN164" i="14" s="1"/>
  <c r="AO164" i="14" s="1"/>
  <c r="AL164" i="14"/>
  <c r="AL126" i="14"/>
  <c r="AM126" i="14"/>
  <c r="AN126" i="14" s="1"/>
  <c r="AO126" i="14" s="1"/>
  <c r="AL98" i="14"/>
  <c r="AM98" i="14"/>
  <c r="AN98" i="14" s="1"/>
  <c r="AO98" i="14" s="1"/>
  <c r="AM140" i="14"/>
  <c r="AN140" i="14" s="1"/>
  <c r="AO140" i="14" s="1"/>
  <c r="AL140" i="14"/>
  <c r="AM136" i="14"/>
  <c r="AN136" i="14" s="1"/>
  <c r="AO136" i="14" s="1"/>
  <c r="AL136" i="14"/>
  <c r="AM37" i="14"/>
  <c r="AN37" i="14" s="1"/>
  <c r="AO37" i="14" s="1"/>
  <c r="AL37" i="14"/>
  <c r="AM69" i="14"/>
  <c r="AN69" i="14" s="1"/>
  <c r="AO69" i="14" s="1"/>
  <c r="AL69" i="14"/>
  <c r="AM101" i="14"/>
  <c r="AN101" i="14" s="1"/>
  <c r="AO101" i="14" s="1"/>
  <c r="AL101" i="14"/>
  <c r="AM133" i="14"/>
  <c r="AN133" i="14" s="1"/>
  <c r="AO133" i="14" s="1"/>
  <c r="AL133" i="14"/>
  <c r="AM165" i="14"/>
  <c r="AN165" i="14" s="1"/>
  <c r="AO165" i="14" s="1"/>
  <c r="AL165" i="14"/>
  <c r="AM52" i="14"/>
  <c r="AN52" i="14" s="1"/>
  <c r="AO52" i="14" s="1"/>
  <c r="AL52" i="14"/>
  <c r="AL138" i="14"/>
  <c r="AM138" i="14"/>
  <c r="AN138" i="14" s="1"/>
  <c r="AO138" i="14" s="1"/>
  <c r="AM180" i="14"/>
  <c r="AN180" i="14" s="1"/>
  <c r="AO180" i="14" s="1"/>
  <c r="AL180" i="14"/>
  <c r="AM92" i="14"/>
  <c r="AN92" i="14" s="1"/>
  <c r="AO92" i="14" s="1"/>
  <c r="AL92" i="14"/>
  <c r="AM139" i="14"/>
  <c r="AN139" i="14" s="1"/>
  <c r="AO139" i="14" s="1"/>
  <c r="AL139" i="14"/>
  <c r="AL62" i="14"/>
  <c r="AM62" i="14"/>
  <c r="AN62" i="14" s="1"/>
  <c r="AO62" i="14" s="1"/>
  <c r="AL34" i="14"/>
  <c r="AM34" i="14"/>
  <c r="AN34" i="14" s="1"/>
  <c r="AO34" i="14" s="1"/>
  <c r="AM115" i="14"/>
  <c r="AN115" i="14" s="1"/>
  <c r="AO115" i="14" s="1"/>
  <c r="AL115" i="14"/>
  <c r="AM47" i="14"/>
  <c r="AN47" i="14" s="1"/>
  <c r="AO47" i="14" s="1"/>
  <c r="AL47" i="14"/>
  <c r="AM35" i="14"/>
  <c r="AN35" i="14" s="1"/>
  <c r="AO35" i="14" s="1"/>
  <c r="AL35" i="14"/>
  <c r="AL82" i="14"/>
  <c r="AM82" i="14"/>
  <c r="AN82" i="14" s="1"/>
  <c r="AO82" i="14" s="1"/>
  <c r="AM124" i="14"/>
  <c r="AN124" i="14" s="1"/>
  <c r="AO124" i="14" s="1"/>
  <c r="AL124" i="14"/>
  <c r="AM163" i="14"/>
  <c r="AN163" i="14" s="1"/>
  <c r="AO163" i="14" s="1"/>
  <c r="AL163" i="14"/>
  <c r="AL102" i="14"/>
  <c r="AM102" i="14"/>
  <c r="AN102" i="14" s="1"/>
  <c r="AO102" i="14" s="1"/>
  <c r="AM53" i="14"/>
  <c r="AN53" i="14" s="1"/>
  <c r="AO53" i="14" s="1"/>
  <c r="AL53" i="14"/>
  <c r="AM85" i="14"/>
  <c r="AN85" i="14" s="1"/>
  <c r="AO85" i="14" s="1"/>
  <c r="AL85" i="14"/>
  <c r="AM117" i="14"/>
  <c r="AN117" i="14" s="1"/>
  <c r="AO117" i="14" s="1"/>
  <c r="AL117" i="14"/>
  <c r="AM149" i="14"/>
  <c r="AN149" i="14" s="1"/>
  <c r="AO149" i="14" s="1"/>
  <c r="AL149" i="14"/>
  <c r="AM181" i="14"/>
  <c r="AN181" i="14" s="1"/>
  <c r="AO181" i="14" s="1"/>
  <c r="AL181" i="14"/>
  <c r="AL90" i="14"/>
  <c r="AM90" i="14"/>
  <c r="AN90" i="14" s="1"/>
  <c r="AO90" i="14" s="1"/>
  <c r="AM132" i="14"/>
  <c r="AN132" i="14" s="1"/>
  <c r="AO132" i="14" s="1"/>
  <c r="AL132" i="14"/>
  <c r="AL94" i="14"/>
  <c r="AM94" i="14"/>
  <c r="AN94" i="14" s="1"/>
  <c r="AO94" i="14" s="1"/>
  <c r="AL66" i="14"/>
  <c r="AM66" i="14"/>
  <c r="AN66" i="14" s="1"/>
  <c r="AO66" i="14" s="1"/>
  <c r="AM108" i="14"/>
  <c r="AN108" i="14" s="1"/>
  <c r="AO108" i="14" s="1"/>
  <c r="AL108" i="14"/>
  <c r="AL194" i="14"/>
  <c r="AM194" i="14"/>
  <c r="AN194" i="14" s="1"/>
  <c r="AO194" i="14" s="1"/>
  <c r="AM104" i="14"/>
  <c r="AN104" i="14" s="1"/>
  <c r="AO104" i="14" s="1"/>
  <c r="AL104" i="14"/>
  <c r="AM41" i="14"/>
  <c r="AN41" i="14" s="1"/>
  <c r="AO41" i="14" s="1"/>
  <c r="AL41" i="14"/>
  <c r="AM57" i="14"/>
  <c r="AN57" i="14" s="1"/>
  <c r="AO57" i="14" s="1"/>
  <c r="AL57" i="14"/>
  <c r="AM73" i="14"/>
  <c r="AN73" i="14" s="1"/>
  <c r="AO73" i="14" s="1"/>
  <c r="AL73" i="14"/>
  <c r="AM89" i="14"/>
  <c r="AN89" i="14" s="1"/>
  <c r="AO89" i="14" s="1"/>
  <c r="AL89" i="14"/>
  <c r="AM105" i="14"/>
  <c r="AN105" i="14" s="1"/>
  <c r="AO105" i="14" s="1"/>
  <c r="AL105" i="14"/>
  <c r="AM121" i="14"/>
  <c r="AN121" i="14" s="1"/>
  <c r="AO121" i="14" s="1"/>
  <c r="AL121" i="14"/>
  <c r="AM137" i="14"/>
  <c r="AN137" i="14" s="1"/>
  <c r="AO137" i="14" s="1"/>
  <c r="AL137" i="14"/>
  <c r="AM153" i="14"/>
  <c r="AN153" i="14" s="1"/>
  <c r="AO153" i="14" s="1"/>
  <c r="AL153" i="14"/>
  <c r="AM169" i="14"/>
  <c r="AN169" i="14" s="1"/>
  <c r="AO169" i="14" s="1"/>
  <c r="AL169" i="14"/>
  <c r="AM185" i="14"/>
  <c r="AN185" i="14" s="1"/>
  <c r="AO185" i="14" s="1"/>
  <c r="AL185" i="14"/>
  <c r="AL106" i="14"/>
  <c r="AM106" i="14"/>
  <c r="AN106" i="14" s="1"/>
  <c r="AO106" i="14" s="1"/>
  <c r="AM148" i="14"/>
  <c r="AN148" i="14" s="1"/>
  <c r="AO148" i="14" s="1"/>
  <c r="AL148" i="14"/>
  <c r="AD27" i="14" l="1"/>
  <c r="AI27" i="14" s="1"/>
  <c r="AC17" i="14"/>
  <c r="AJ27" i="14" l="1"/>
  <c r="AI17" i="14"/>
  <c r="AM27" i="14" l="1"/>
  <c r="AJ17" i="14"/>
  <c r="AL27" i="14"/>
  <c r="AL17" i="14" s="1"/>
  <c r="AN27" i="14" l="1"/>
  <c r="AO27" i="14" s="1"/>
  <c r="AO17" i="14" s="1"/>
  <c r="AM17" i="14"/>
  <c r="AO11" i="14" l="1"/>
</calcChain>
</file>

<file path=xl/sharedStrings.xml><?xml version="1.0" encoding="utf-8"?>
<sst xmlns="http://schemas.openxmlformats.org/spreadsheetml/2006/main" count="514" uniqueCount="327">
  <si>
    <t xml:space="preserve">A.  </t>
  </si>
  <si>
    <t>Need Weighting Factor for Col 3:</t>
  </si>
  <si>
    <t xml:space="preserve">B.  </t>
  </si>
  <si>
    <t>ENGL per Capita and MHI Threshold Factor for Col 8 &amp; Col 10:</t>
  </si>
  <si>
    <t xml:space="preserve">C.  </t>
  </si>
  <si>
    <t>ENGL per Capita Weight for Col 11:</t>
  </si>
  <si>
    <t xml:space="preserve">D.  </t>
  </si>
  <si>
    <t>MHI Weight for Col 11:</t>
  </si>
  <si>
    <t xml:space="preserve">E.  </t>
  </si>
  <si>
    <t>Non-Alliance District Minimum Aid Ratio for use in Column 12:</t>
  </si>
  <si>
    <t xml:space="preserve">F.  </t>
  </si>
  <si>
    <t>Alliance District Minimum Aid Ratio for use in Column 12:</t>
  </si>
  <si>
    <t xml:space="preserve">G.  </t>
  </si>
  <si>
    <t>Foundation for Column 17:</t>
  </si>
  <si>
    <t xml:space="preserve">K.  </t>
  </si>
  <si>
    <t>2014-15 Non-Alliance District Phase-In Rate for Col 24:</t>
  </si>
  <si>
    <t xml:space="preserve">L.  </t>
  </si>
  <si>
    <t>2014-15 Alliance District Phase-In Rate for Col 24:</t>
  </si>
  <si>
    <t xml:space="preserve">M.  </t>
  </si>
  <si>
    <t>2014-15 Reform District Phase-In Rate for Col 24:</t>
  </si>
  <si>
    <t xml:space="preserve">Totals 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</si>
  <si>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</si>
  <si>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</si>
  <si>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</si>
  <si>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</si>
  <si>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</si>
  <si>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</si>
  <si>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</si>
  <si>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</si>
  <si>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</si>
  <si>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</si>
  <si>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</si>
  <si>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</si>
  <si>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</si>
  <si>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</si>
  <si>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</si>
  <si>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</si>
  <si>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</si>
  <si>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</si>
  <si>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</si>
  <si>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</si>
  <si>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</si>
  <si>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</si>
  <si>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</si>
  <si>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</si>
  <si>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</si>
  <si>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</si>
  <si>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</si>
  <si>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(Non-Alliance Districts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</si>
  <si>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</si>
  <si>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</si>
  <si>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</si>
  <si>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</si>
  <si>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</si>
  <si>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</si>
  <si>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</si>
  <si>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</si>
  <si>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</si>
  <si>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</si>
  <si>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HH Alliance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</si>
  <si>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</si>
  <si>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</si>
  <si>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</si>
  <si>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</si>
  <si>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</si>
  <si>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</si>
  <si>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</si>
  <si>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</si>
  <si>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Item E or Col 11),</t>
  </si>
  <si>
    <t>Sent To</t>
  </si>
  <si>
    <t>per Pupil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</si>
  <si>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</si>
  <si>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</si>
  <si>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</si>
  <si>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</si>
  <si>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</si>
  <si>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</si>
  <si>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</si>
  <si>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</si>
  <si>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</si>
  <si>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</si>
  <si>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</si>
  <si>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</si>
  <si>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</si>
  <si>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(1 - ((Col 8 x</t>
  </si>
  <si>
    <t>(Alliance Districts: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</si>
  <si>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</si>
  <si>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</si>
  <si>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</si>
  <si>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</si>
  <si>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</si>
  <si>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</si>
  <si>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</si>
  <si>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</si>
  <si>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</si>
  <si>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</si>
  <si>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</si>
  <si>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(Col 1 +</t>
  </si>
  <si>
    <t>(ECS ENGL)</t>
  </si>
  <si>
    <t>Population</t>
  </si>
  <si>
    <t>(EEPC)</t>
  </si>
  <si>
    <t>(Col 7 /</t>
  </si>
  <si>
    <t>(MHI)</t>
  </si>
  <si>
    <t>(Col 9 /</t>
  </si>
  <si>
    <t>Item C) +</t>
  </si>
  <si>
    <t>Grades</t>
  </si>
  <si>
    <t>((Col 14 /</t>
  </si>
  <si>
    <t>(Col 13 x</t>
  </si>
  <si>
    <t>(Col 4 x Col 12</t>
  </si>
  <si>
    <t>(Col 16 +</t>
  </si>
  <si>
    <t>ECS</t>
  </si>
  <si>
    <t>DRG</t>
  </si>
  <si>
    <t>Districts</t>
  </si>
  <si>
    <t>Decile</t>
  </si>
  <si>
    <t>Code</t>
  </si>
  <si>
    <t>Name</t>
  </si>
  <si>
    <t>Item A)</t>
  </si>
  <si>
    <t>(Col 5 / Col 6)</t>
  </si>
  <si>
    <t>Threshold)</t>
  </si>
  <si>
    <t>Col 10 x Item D))</t>
  </si>
  <si>
    <t>Item F or Col 11)</t>
  </si>
  <si>
    <t>13) x 100)</t>
  </si>
  <si>
    <t>Col 15)</t>
  </si>
  <si>
    <t>x Found)</t>
  </si>
  <si>
    <t>Col 17)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</si>
  <si>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</si>
  <si>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</si>
  <si>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</si>
  <si>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</si>
  <si>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</si>
  <si>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</si>
  <si>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</si>
  <si>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</si>
  <si>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</si>
  <si>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</si>
  <si>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</si>
  <si>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</si>
  <si>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</si>
  <si>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</si>
  <si>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</si>
  <si>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</si>
  <si>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</si>
  <si>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</si>
  <si>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</si>
  <si>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</si>
  <si>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</si>
  <si>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</si>
  <si>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</si>
  <si>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</si>
  <si>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</si>
  <si>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</si>
  <si>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</si>
  <si>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</si>
  <si>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</si>
  <si>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</si>
  <si>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</si>
  <si>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</si>
  <si>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</si>
  <si>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</si>
  <si>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</si>
  <si>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</si>
  <si>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</si>
  <si>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</si>
  <si>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</si>
  <si>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</si>
  <si>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</si>
  <si>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</si>
  <si>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</si>
  <si>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</si>
  <si>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</si>
  <si>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</si>
  <si>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</si>
  <si>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</si>
  <si>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</si>
  <si>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</si>
  <si>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</si>
  <si>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</si>
  <si>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</si>
  <si>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</si>
  <si>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</si>
  <si>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</si>
  <si>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</si>
  <si>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</si>
  <si>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</si>
  <si>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</si>
  <si>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</si>
  <si>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</si>
  <si>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</si>
  <si>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</si>
  <si>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</si>
  <si>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</si>
  <si>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</si>
  <si>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</si>
  <si>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</si>
  <si>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</si>
  <si>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</si>
  <si>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</si>
  <si>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</si>
  <si>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</si>
  <si>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</si>
  <si>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</si>
  <si>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</si>
  <si>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</si>
  <si>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</si>
  <si>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</si>
  <si>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</si>
  <si>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</si>
  <si>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</si>
  <si>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</si>
  <si>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</si>
  <si>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</si>
  <si>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</si>
  <si>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</si>
  <si>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</si>
  <si>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</si>
  <si>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</si>
  <si>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</si>
  <si>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</si>
  <si>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</si>
  <si>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</si>
  <si>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</si>
  <si>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</si>
  <si>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</si>
  <si>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</si>
  <si>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</si>
  <si>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</si>
  <si>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</si>
  <si>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</si>
  <si>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</si>
  <si>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</si>
  <si>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</si>
  <si>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</si>
  <si>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</si>
  <si>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</si>
  <si>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</si>
  <si>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</si>
  <si>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</si>
  <si>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</si>
  <si>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</si>
  <si>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</si>
  <si>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</si>
  <si>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</si>
  <si>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</si>
  <si>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</si>
  <si>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</si>
  <si>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</si>
  <si>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</si>
  <si>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</si>
  <si>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</si>
  <si>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</si>
  <si>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</si>
  <si>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</si>
  <si>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</si>
  <si>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</si>
  <si>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</si>
  <si>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</si>
  <si>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</si>
  <si>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</si>
  <si>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</si>
  <si>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</si>
  <si>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</si>
  <si>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</si>
  <si>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</si>
  <si>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</si>
  <si>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</si>
  <si>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</si>
  <si>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</si>
  <si>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</si>
  <si>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</si>
  <si>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</si>
  <si>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</si>
  <si>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</si>
  <si>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</si>
  <si>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</si>
  <si>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</si>
  <si>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</si>
  <si>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</si>
  <si>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</si>
  <si>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</si>
  <si>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</si>
  <si>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</si>
  <si>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</si>
  <si>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</si>
  <si>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</si>
  <si>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</si>
  <si>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</si>
  <si>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</si>
  <si>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</si>
  <si>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</si>
  <si>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</si>
  <si>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</si>
  <si>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</si>
  <si>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</si>
  <si>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</si>
  <si>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</si>
  <si>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</si>
  <si>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</si>
  <si>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</si>
  <si>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</si>
  <si>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</si>
  <si>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</si>
  <si>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</si>
  <si>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</si>
  <si>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FY 19</t>
  </si>
  <si>
    <t>7U Adjusted - FY 19D</t>
  </si>
  <si>
    <t>Difference from FY17</t>
  </si>
  <si>
    <t>Fully Funded Less</t>
  </si>
  <si>
    <t>Adjustment with HH</t>
  </si>
  <si>
    <t>Concentrated</t>
  </si>
  <si>
    <t>PIC</t>
  </si>
  <si>
    <t>Poverty</t>
  </si>
  <si>
    <t>(Full Adjustment)</t>
  </si>
  <si>
    <t>FY 17</t>
  </si>
  <si>
    <t>at 75%</t>
  </si>
  <si>
    <t>Col 3)</t>
  </si>
  <si>
    <t>ACTUAL</t>
  </si>
  <si>
    <t>SGL 1.35</t>
  </si>
  <si>
    <t>Fdtn. $11,525</t>
  </si>
  <si>
    <t>Oct. 18 Negotiations</t>
  </si>
  <si>
    <t>4.1% increase for winners (using FY 17 base)</t>
  </si>
  <si>
    <t>25% decrease for losers (FY 17 base)</t>
  </si>
  <si>
    <t>If FRPL % above 75%,</t>
  </si>
  <si>
    <t>% above 75%</t>
  </si>
  <si>
    <t>(# students above 75%)</t>
  </si>
  <si>
    <t>PIC add</t>
  </si>
  <si>
    <t>(10/2017)</t>
  </si>
  <si>
    <t>(2013/14/15)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</si>
</sst>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8" fillId="0" borderId="0" applyFill="0" applyBorder="0">
      <alignment horizontal="center" wrapText="1"/>
    </xf>
    <xf numFmtId="169" fontId="9" fillId="0" borderId="1" applyFill="0"/>
    <xf numFmtId="0" fontId="9" fillId="0" borderId="1" applyFill="0"/>
    <xf numFmtId="0" fontId="8" fillId="0" borderId="0" applyNumberFormat="0" applyFill="0" applyBorder="0">
      <alignment horizontal="left" wrapText="1"/>
    </xf>
    <xf numFmtId="0" fontId="12" fillId="0" borderId="0" applyNumberFormat="0" applyFill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6" applyNumberFormat="0" applyAlignment="0" applyProtection="0"/>
    <xf numFmtId="0" fontId="20" fillId="10" borderId="7" applyNumberFormat="0" applyAlignment="0" applyProtection="0"/>
    <xf numFmtId="0" fontId="21" fillId="10" borderId="6" applyNumberFormat="0" applyAlignment="0" applyProtection="0"/>
    <xf numFmtId="0" fontId="22" fillId="0" borderId="8" applyNumberFormat="0" applyFill="0" applyAlignment="0" applyProtection="0"/>
    <xf numFmtId="0" fontId="23" fillId="11" borderId="9" applyNumberFormat="0" applyAlignment="0" applyProtection="0"/>
    <xf numFmtId="0" fontId="24" fillId="0" borderId="0" applyNumberFormat="0" applyFill="0" applyBorder="0" applyAlignment="0" applyProtection="0"/>
    <xf numFmtId="0" fontId="1" fillId="12" borderId="10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2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7" fillId="36" borderId="0" applyNumberFormat="0" applyBorder="0" applyAlignment="0" applyProtection="0"/>
  </cellStyleXfs>
  <cellXfs count="65">
    <xf numFmtId="0" fontId="0" fillId="0" borderId="0" xfId="0"/>
    <xf numFmtId="0" fontId="2" fillId="0" borderId="0" xfId="0" applyFont="1"/>
    <xf numFmtId="15" fontId="3" fillId="0" borderId="0" xfId="0" quotePrefix="1" applyNumberFormat="1" applyFont="1" applyFill="1"/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right"/>
    </xf>
    <xf numFmtId="0" fontId="3" fillId="0" borderId="0" xfId="0" applyNumberFormat="1" applyFont="1" applyFill="1"/>
    <xf numFmtId="10" fontId="2" fillId="0" borderId="0" xfId="0" applyNumberFormat="1" applyFont="1" applyFill="1"/>
    <xf numFmtId="164" fontId="2" fillId="0" borderId="0" xfId="0" applyNumberFormat="1" applyFont="1"/>
    <xf numFmtId="0" fontId="2" fillId="0" borderId="0" xfId="0" applyNumberFormat="1" applyFont="1" applyFill="1" applyAlignment="1">
      <alignment horizontal="center"/>
    </xf>
    <xf numFmtId="39" fontId="2" fillId="0" borderId="0" xfId="0" applyNumberFormat="1" applyFont="1" applyFill="1"/>
    <xf numFmtId="165" fontId="2" fillId="0" borderId="0" xfId="0" applyNumberFormat="1" applyFont="1" applyFill="1"/>
    <xf numFmtId="37" fontId="2" fillId="0" borderId="0" xfId="0" applyNumberFormat="1" applyFont="1" applyFill="1"/>
    <xf numFmtId="5" fontId="2" fillId="0" borderId="0" xfId="0" applyNumberFormat="1" applyFont="1" applyFill="1"/>
    <xf numFmtId="3" fontId="2" fillId="0" borderId="0" xfId="0" applyNumberFormat="1" applyFont="1" applyFill="1"/>
    <xf numFmtId="166" fontId="2" fillId="0" borderId="0" xfId="0" applyNumberFormat="1" applyFont="1" applyFill="1"/>
    <xf numFmtId="0" fontId="2" fillId="0" borderId="0" xfId="0" applyFont="1" applyAlignment="1">
      <alignment horizontal="right"/>
    </xf>
    <xf numFmtId="0" fontId="2" fillId="0" borderId="0" xfId="0" quotePrefix="1" applyNumberFormat="1" applyFont="1" applyFill="1"/>
    <xf numFmtId="37" fontId="3" fillId="0" borderId="0" xfId="0" applyNumberFormat="1" applyFont="1" applyFill="1"/>
    <xf numFmtId="40" fontId="2" fillId="0" borderId="0" xfId="0" applyNumberFormat="1" applyFont="1" applyFill="1"/>
    <xf numFmtId="164" fontId="2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right"/>
    </xf>
    <xf numFmtId="167" fontId="2" fillId="0" borderId="0" xfId="0" applyNumberFormat="1" applyFont="1" applyFill="1"/>
    <xf numFmtId="3" fontId="2" fillId="0" borderId="0" xfId="0" applyNumberFormat="1" applyFont="1"/>
    <xf numFmtId="0" fontId="2" fillId="0" borderId="0" xfId="0" quotePrefix="1" applyFont="1" applyAlignment="1">
      <alignment horizontal="center"/>
    </xf>
    <xf numFmtId="0" fontId="3" fillId="0" borderId="0" xfId="0" quotePrefix="1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40" fontId="5" fillId="0" borderId="0" xfId="0" applyNumberFormat="1" applyFont="1" applyFill="1"/>
    <xf numFmtId="6" fontId="5" fillId="0" borderId="0" xfId="0" applyNumberFormat="1" applyFont="1" applyFill="1" applyAlignment="1">
      <alignment horizontal="center"/>
    </xf>
    <xf numFmtId="0" fontId="4" fillId="0" borderId="0" xfId="0" quotePrefix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8" fontId="5" fillId="0" borderId="0" xfId="0" applyNumberFormat="1" applyFont="1" applyFill="1" applyAlignment="1">
      <alignment horizontal="center"/>
    </xf>
    <xf numFmtId="5" fontId="5" fillId="0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quotePrefix="1" applyNumberFormat="1" applyFont="1" applyFill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40" fontId="2" fillId="0" borderId="0" xfId="0" applyNumberFormat="1" applyFont="1"/>
    <xf numFmtId="164" fontId="2" fillId="0" borderId="0" xfId="0" applyNumberFormat="1" applyFont="1" applyFill="1"/>
    <xf numFmtId="168" fontId="2" fillId="0" borderId="0" xfId="0" applyNumberFormat="1" applyFont="1" applyFill="1"/>
    <xf numFmtId="0" fontId="6" fillId="0" borderId="0" xfId="0" applyFont="1"/>
    <xf numFmtId="0" fontId="7" fillId="0" borderId="0" xfId="0" applyNumberFormat="1" applyFont="1" applyFill="1" applyAlignment="1">
      <alignment horizontal="center"/>
    </xf>
    <xf numFmtId="0" fontId="2" fillId="2" borderId="0" xfId="0" applyNumberFormat="1" applyFont="1" applyFill="1"/>
    <xf numFmtId="0" fontId="2" fillId="3" borderId="0" xfId="0" applyNumberFormat="1" applyFont="1" applyFill="1"/>
    <xf numFmtId="37" fontId="2" fillId="3" borderId="0" xfId="0" applyNumberFormat="1" applyFont="1" applyFill="1"/>
    <xf numFmtId="37" fontId="2" fillId="2" borderId="0" xfId="0" applyNumberFormat="1" applyFont="1" applyFill="1"/>
    <xf numFmtId="0" fontId="3" fillId="2" borderId="0" xfId="0" quotePrefix="1" applyNumberFormat="1" applyFont="1" applyFill="1" applyAlignment="1">
      <alignment horizontal="center"/>
    </xf>
    <xf numFmtId="37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2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4" fontId="10" fillId="4" borderId="2" xfId="0" applyNumberFormat="1" applyFont="1" applyFill="1" applyBorder="1" applyAlignment="1">
      <alignment horizontal="right"/>
    </xf>
    <xf numFmtId="168" fontId="6" fillId="0" borderId="0" xfId="0" applyNumberFormat="1" applyFont="1"/>
    <xf numFmtId="3" fontId="6" fillId="2" borderId="0" xfId="0" applyNumberFormat="1" applyFont="1" applyFill="1"/>
    <xf numFmtId="3" fontId="6" fillId="3" borderId="0" xfId="0" applyNumberFormat="1" applyFont="1" applyFill="1"/>
    <xf numFmtId="4" fontId="10" fillId="2" borderId="2" xfId="0" applyNumberFormat="1" applyFont="1" applyFill="1" applyBorder="1" applyAlignment="1">
      <alignment horizontal="right"/>
    </xf>
    <xf numFmtId="4" fontId="11" fillId="0" borderId="0" xfId="0" applyNumberFormat="1" applyFont="1"/>
    <xf numFmtId="3" fontId="11" fillId="0" borderId="0" xfId="0" applyNumberFormat="1" applyFont="1"/>
    <xf numFmtId="37" fontId="3" fillId="5" borderId="0" xfId="0" quotePrefix="1" applyNumberFormat="1" applyFont="1" applyFill="1" applyAlignment="1">
      <alignment horizontal="center"/>
    </xf>
  </cellXfs>
  <cellStyles count="46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te" xfId="19" builtinId="10" customBuiltin="1"/>
    <cellStyle name="Number Headers" xfId="1"/>
    <cellStyle name="Numbers" xfId="2"/>
    <cellStyle name="Output" xfId="14" builtinId="21" customBuiltin="1"/>
    <cellStyle name="Text" xfId="3"/>
    <cellStyle name="Text Headers" xfId="4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633"/>
    <pageSetUpPr fitToPage="1"/>
  </sheetPr>
  <dimension ref="A1:BB363"/>
  <sheetViews>
    <sheetView tabSelected="1" topLeftCell="AD11" zoomScale="90" zoomScaleNormal="90" workbookViewId="0">
      <selection activeCell="AF28" sqref="AF28"/>
    </sheetView>
  </sheetViews>
  <sheetFormatPr defaultColWidth="8.88671875" defaultRowHeight="13.8" x14ac:dyDescent="0.25"/>
  <cols>
    <col min="1" max="7" width="9.109375" style="3" customWidth="1"/>
    <col min="8" max="8" width="8.88671875" style="3"/>
    <col min="9" max="10" width="19.44140625" style="3" customWidth="1"/>
    <col min="11" max="13" width="16.88671875" style="3" customWidth="1"/>
    <col min="14" max="20" width="15.88671875" style="3" customWidth="1"/>
    <col min="21" max="21" width="16.88671875" style="3" customWidth="1"/>
    <col min="22" max="22" width="25.88671875" style="3" customWidth="1"/>
    <col min="23" max="23" width="17.109375" style="3" customWidth="1"/>
    <col min="24" max="24" width="26.6640625" style="3" customWidth="1"/>
    <col min="25" max="25" width="22.44140625" style="3" customWidth="1"/>
    <col min="26" max="26" width="18.44140625" style="3" customWidth="1"/>
    <col min="27" max="27" width="21.6640625" style="3" customWidth="1"/>
    <col min="28" max="28" width="18" style="3" customWidth="1"/>
    <col min="29" max="30" width="20.33203125" style="3" customWidth="1"/>
    <col min="31" max="31" width="15.44140625" style="3" customWidth="1"/>
    <col min="32" max="32" width="16.44140625" style="3" customWidth="1"/>
    <col min="33" max="33" width="15" style="3" customWidth="1"/>
    <col min="34" max="34" width="19.6640625" style="3" customWidth="1"/>
    <col min="35" max="35" width="23.109375" style="3" customWidth="1"/>
    <col min="36" max="38" width="17.88671875" style="3" customWidth="1"/>
    <col min="39" max="39" width="17.88671875" style="42" customWidth="1"/>
    <col min="40" max="40" width="20.44140625" style="42" customWidth="1"/>
    <col min="41" max="41" width="36.44140625" style="43" customWidth="1"/>
    <col min="42" max="42" width="17.88671875" style="3" customWidth="1"/>
    <col min="43" max="43" width="17.109375" style="1" customWidth="1"/>
    <col min="44" max="44" width="8.88671875" style="1"/>
    <col min="45" max="45" width="15.33203125" style="1" customWidth="1"/>
    <col min="46" max="46" width="13.6640625" style="1" customWidth="1"/>
    <col min="47" max="49" width="8.88671875" style="1"/>
    <col min="50" max="54" width="15" style="1" bestFit="1" customWidth="1"/>
    <col min="55" max="16384" width="8.88671875" style="1"/>
  </cols>
  <sheetData>
    <row r="1" spans="1:42" x14ac:dyDescent="0.25">
      <c r="A1" s="1"/>
      <c r="B1" s="2"/>
    </row>
    <row r="2" spans="1:42" x14ac:dyDescent="0.25">
      <c r="A2" s="1"/>
      <c r="B2" s="1"/>
      <c r="C2" s="2"/>
      <c r="D2" s="2"/>
      <c r="E2" s="2"/>
      <c r="F2" s="4" t="s">
        <v>0</v>
      </c>
      <c r="G2" s="4"/>
      <c r="H2" s="5" t="s">
        <v>1</v>
      </c>
      <c r="K2" s="1"/>
      <c r="L2" s="6">
        <v>0.3</v>
      </c>
      <c r="M2" s="1"/>
      <c r="N2" s="6"/>
      <c r="O2" s="6"/>
      <c r="P2" s="6"/>
      <c r="Q2" s="6"/>
      <c r="R2" s="6"/>
      <c r="S2" s="6"/>
      <c r="T2" s="6">
        <v>0.3</v>
      </c>
      <c r="U2" s="7"/>
      <c r="V2" s="8"/>
    </row>
    <row r="3" spans="1:42" x14ac:dyDescent="0.25">
      <c r="A3" s="1"/>
      <c r="B3" s="1"/>
      <c r="C3" s="2"/>
      <c r="D3" s="2"/>
      <c r="E3" s="2"/>
      <c r="F3" s="4" t="s">
        <v>2</v>
      </c>
      <c r="G3" s="4"/>
      <c r="H3" s="5" t="s">
        <v>3</v>
      </c>
      <c r="L3" s="9">
        <v>1.35</v>
      </c>
      <c r="N3" s="9"/>
      <c r="O3" s="9"/>
      <c r="P3" s="9"/>
      <c r="Q3" s="9"/>
      <c r="R3" s="9"/>
      <c r="S3" s="9"/>
      <c r="T3" s="9">
        <v>1.35</v>
      </c>
      <c r="U3" s="7"/>
      <c r="V3" s="8"/>
    </row>
    <row r="4" spans="1:42" x14ac:dyDescent="0.25">
      <c r="A4" s="1"/>
      <c r="B4" s="1"/>
      <c r="C4" s="2"/>
      <c r="D4" s="2"/>
      <c r="E4" s="2"/>
      <c r="F4" s="4" t="s">
        <v>4</v>
      </c>
      <c r="G4" s="4"/>
      <c r="H4" s="5" t="s">
        <v>5</v>
      </c>
      <c r="K4" s="1"/>
      <c r="L4" s="6">
        <v>0.7</v>
      </c>
      <c r="M4" s="1"/>
      <c r="N4" s="6"/>
      <c r="O4" s="6"/>
      <c r="P4" s="6"/>
      <c r="Q4" s="6"/>
      <c r="R4" s="6"/>
      <c r="S4" s="6"/>
      <c r="T4" s="6">
        <v>0.7</v>
      </c>
      <c r="U4" s="7"/>
      <c r="V4" s="8"/>
    </row>
    <row r="5" spans="1:42" x14ac:dyDescent="0.25">
      <c r="F5" s="4" t="s">
        <v>6</v>
      </c>
      <c r="G5" s="4"/>
      <c r="H5" s="1" t="s">
        <v>7</v>
      </c>
      <c r="I5" s="1"/>
      <c r="J5" s="1"/>
      <c r="K5" s="1"/>
      <c r="L5" s="6">
        <v>0.3</v>
      </c>
      <c r="M5" s="1"/>
      <c r="N5" s="1"/>
      <c r="O5" s="1"/>
      <c r="P5" s="1"/>
      <c r="Q5" s="1"/>
      <c r="R5" s="1"/>
      <c r="S5" s="1"/>
      <c r="T5" s="6">
        <v>0.3</v>
      </c>
      <c r="U5" s="10"/>
      <c r="W5" s="8"/>
      <c r="Z5" s="8"/>
      <c r="AA5" s="8"/>
      <c r="AB5" s="8"/>
      <c r="AC5" s="8"/>
      <c r="AD5" s="8"/>
    </row>
    <row r="6" spans="1:42" x14ac:dyDescent="0.25">
      <c r="F6" s="4" t="s">
        <v>8</v>
      </c>
      <c r="G6" s="4"/>
      <c r="H6" s="5" t="s">
        <v>9</v>
      </c>
      <c r="L6" s="6">
        <v>0.01</v>
      </c>
      <c r="N6" s="6"/>
      <c r="O6" s="6"/>
      <c r="P6" s="6"/>
      <c r="Q6" s="6"/>
      <c r="R6" s="6"/>
      <c r="S6" s="6"/>
      <c r="T6" s="6">
        <v>0.01</v>
      </c>
      <c r="U6" s="6"/>
      <c r="W6" s="8"/>
      <c r="Z6" s="8"/>
      <c r="AA6" s="8"/>
      <c r="AB6" s="8"/>
      <c r="AC6" s="8"/>
      <c r="AD6" s="8"/>
    </row>
    <row r="7" spans="1:42" x14ac:dyDescent="0.25">
      <c r="F7" s="4" t="s">
        <v>10</v>
      </c>
      <c r="G7" s="4"/>
      <c r="H7" s="5" t="s">
        <v>11</v>
      </c>
      <c r="L7" s="6">
        <v>0.1</v>
      </c>
      <c r="N7" s="6"/>
      <c r="O7" s="6"/>
      <c r="P7" s="6"/>
      <c r="Q7" s="6"/>
      <c r="R7" s="6"/>
      <c r="S7" s="6"/>
      <c r="T7" s="6">
        <v>0.1</v>
      </c>
      <c r="U7" s="6"/>
      <c r="W7" s="8"/>
      <c r="Z7" s="8"/>
      <c r="AA7" s="8"/>
      <c r="AB7" s="8"/>
      <c r="AC7" s="8"/>
      <c r="AD7" s="8"/>
      <c r="AO7" s="43" t="s">
        <v>303</v>
      </c>
    </row>
    <row r="8" spans="1:42" x14ac:dyDescent="0.25">
      <c r="F8" s="4" t="s">
        <v>12</v>
      </c>
      <c r="G8" s="4"/>
      <c r="H8" s="5" t="s">
        <v>13</v>
      </c>
      <c r="K8" s="1"/>
      <c r="L8" s="12">
        <v>11525</v>
      </c>
      <c r="M8" s="1"/>
      <c r="N8" s="12"/>
      <c r="O8" s="12"/>
      <c r="P8" s="12"/>
      <c r="Q8" s="12"/>
      <c r="R8" s="12"/>
      <c r="S8" s="12"/>
      <c r="T8" s="12">
        <v>11525</v>
      </c>
      <c r="W8" s="8"/>
      <c r="Z8" s="8"/>
      <c r="AA8" s="8"/>
      <c r="AB8" s="8"/>
      <c r="AC8" s="8"/>
      <c r="AD8" s="8"/>
      <c r="AO8" s="43" t="s">
        <v>318</v>
      </c>
    </row>
    <row r="9" spans="1:42" x14ac:dyDescent="0.25">
      <c r="F9" s="4"/>
      <c r="G9" s="4"/>
      <c r="T9" s="6"/>
      <c r="U9" s="6"/>
      <c r="V9" s="14"/>
      <c r="W9" s="8"/>
      <c r="Z9" s="8"/>
      <c r="AA9" s="8"/>
      <c r="AB9" s="8"/>
      <c r="AC9" s="8"/>
      <c r="AD9" s="8"/>
      <c r="AO9" s="43" t="s">
        <v>304</v>
      </c>
    </row>
    <row r="10" spans="1:42" x14ac:dyDescent="0.25">
      <c r="F10" s="15"/>
      <c r="G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6"/>
      <c r="U10" s="6"/>
      <c r="V10" s="14"/>
      <c r="W10" s="8"/>
      <c r="Z10" s="8"/>
      <c r="AA10" s="8"/>
      <c r="AB10" s="8"/>
      <c r="AC10" s="8"/>
      <c r="AD10" s="8"/>
      <c r="AO10" s="43" t="s">
        <v>305</v>
      </c>
    </row>
    <row r="11" spans="1:42" x14ac:dyDescent="0.25">
      <c r="F11" s="15"/>
      <c r="G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  <c r="U11" s="6"/>
      <c r="V11" s="14"/>
      <c r="W11" s="8"/>
      <c r="Z11" s="8"/>
      <c r="AA11" s="8"/>
      <c r="AB11" s="8"/>
      <c r="AC11" s="8"/>
      <c r="AD11" s="8"/>
      <c r="AO11" s="44">
        <f>AO17-2017132864</f>
        <v>-3304182.0089995861</v>
      </c>
    </row>
    <row r="12" spans="1:42" hidden="1" x14ac:dyDescent="0.25">
      <c r="F12" s="4" t="s">
        <v>14</v>
      </c>
      <c r="G12" s="4"/>
      <c r="H12" s="3" t="s">
        <v>15</v>
      </c>
      <c r="T12" s="6">
        <v>1.7999999999999999E-2</v>
      </c>
      <c r="W12" s="8"/>
      <c r="Z12" s="8"/>
      <c r="AA12" s="8"/>
      <c r="AB12" s="8"/>
      <c r="AC12" s="8"/>
      <c r="AD12" s="8"/>
    </row>
    <row r="13" spans="1:42" hidden="1" x14ac:dyDescent="0.25">
      <c r="F13" s="15" t="s">
        <v>16</v>
      </c>
      <c r="G13" s="15"/>
      <c r="H13" s="3" t="s">
        <v>17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>
        <v>0.14399999999999999</v>
      </c>
      <c r="W13" s="8"/>
      <c r="Z13" s="8"/>
      <c r="AA13" s="8"/>
      <c r="AB13" s="8"/>
      <c r="AC13" s="8"/>
      <c r="AD13" s="8"/>
    </row>
    <row r="14" spans="1:42" hidden="1" x14ac:dyDescent="0.25">
      <c r="F14" s="15" t="s">
        <v>18</v>
      </c>
      <c r="G14" s="15"/>
      <c r="H14" s="3" t="s">
        <v>19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>
        <v>0.216</v>
      </c>
      <c r="W14" s="8"/>
      <c r="Z14" s="8"/>
      <c r="AA14" s="8"/>
      <c r="AB14" s="8"/>
      <c r="AC14" s="8"/>
      <c r="AD14" s="8"/>
    </row>
    <row r="15" spans="1:42" x14ac:dyDescent="0.25">
      <c r="F15" s="15"/>
      <c r="G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6"/>
      <c r="W15" s="8"/>
      <c r="Z15" s="8"/>
      <c r="AA15" s="8"/>
      <c r="AB15" s="8"/>
      <c r="AC15" s="8"/>
      <c r="AD15" s="8"/>
    </row>
    <row r="16" spans="1:42" x14ac:dyDescent="0.25">
      <c r="H16" s="16"/>
      <c r="K16" s="17"/>
      <c r="L16" s="17"/>
      <c r="M16" s="17"/>
      <c r="N16" s="9"/>
      <c r="O16" s="9"/>
      <c r="P16" s="9"/>
      <c r="Q16" s="9"/>
      <c r="R16" s="9"/>
      <c r="S16" s="9"/>
      <c r="T16" s="9"/>
      <c r="U16" s="9"/>
      <c r="V16" s="8"/>
      <c r="W16" s="11"/>
      <c r="X16" s="8"/>
      <c r="Y16" s="18"/>
      <c r="Z16" s="8"/>
      <c r="AA16" s="8"/>
      <c r="AB16" s="8"/>
      <c r="AC16" s="19"/>
      <c r="AD16" s="19">
        <v>0.06</v>
      </c>
      <c r="AE16" s="11"/>
      <c r="AH16" s="11"/>
      <c r="AI16" s="11"/>
      <c r="AJ16" s="11"/>
      <c r="AK16" s="11"/>
      <c r="AL16" s="11"/>
      <c r="AM16" s="45"/>
      <c r="AN16" s="45"/>
      <c r="AO16" s="44"/>
      <c r="AP16" s="11"/>
    </row>
    <row r="17" spans="1:54" x14ac:dyDescent="0.25">
      <c r="C17" s="11">
        <f>SUM(C27:C195)</f>
        <v>33</v>
      </c>
      <c r="D17" s="11">
        <f>SUM(D27:D195)</f>
        <v>20</v>
      </c>
      <c r="E17" s="11">
        <f>SUM(E27:E195)</f>
        <v>10</v>
      </c>
      <c r="I17" s="20" t="s">
        <v>20</v>
      </c>
      <c r="J17" s="11">
        <f t="shared" ref="J17:W17" si="0">SUM(J27:J195)</f>
        <v>0</v>
      </c>
      <c r="K17" s="9">
        <f t="shared" si="0"/>
        <v>509698.31</v>
      </c>
      <c r="L17" s="9"/>
      <c r="M17" s="9"/>
      <c r="N17" s="11">
        <f t="shared" si="0"/>
        <v>182177</v>
      </c>
      <c r="O17" s="11"/>
      <c r="P17" s="11"/>
      <c r="Q17" s="11"/>
      <c r="R17" s="11">
        <f t="shared" si="0"/>
        <v>138.93924999999996</v>
      </c>
      <c r="S17" s="11">
        <f t="shared" si="0"/>
        <v>37406</v>
      </c>
      <c r="T17" s="9">
        <f t="shared" si="0"/>
        <v>54653.100000000013</v>
      </c>
      <c r="U17" s="9">
        <f t="shared" si="0"/>
        <v>570101.24925000023</v>
      </c>
      <c r="V17" s="9">
        <f t="shared" si="0"/>
        <v>538360300942.97009</v>
      </c>
      <c r="W17" s="11">
        <f t="shared" si="0"/>
        <v>3578797</v>
      </c>
      <c r="X17" s="18">
        <f>ROUND(V17/W17,2)</f>
        <v>150430.51999999999</v>
      </c>
      <c r="Y17" s="1"/>
      <c r="Z17" s="11">
        <f>SUM(Z27:Z195)</f>
        <v>14381130</v>
      </c>
      <c r="AA17" s="11"/>
      <c r="AB17" s="21">
        <f>SUM(AB27:AB195)</f>
        <v>21.862240000000007</v>
      </c>
      <c r="AC17" s="21">
        <f>SUM(AC27:AC195)</f>
        <v>42.229968999999997</v>
      </c>
      <c r="AD17" s="21">
        <v>0.05</v>
      </c>
      <c r="AE17" s="11">
        <f>SUM(AE27:AE195)</f>
        <v>24496</v>
      </c>
      <c r="AH17" s="11">
        <f t="shared" ref="AH17:AM17" si="1">SUM(AH27:AH195)</f>
        <v>1969339</v>
      </c>
      <c r="AI17" s="11">
        <f t="shared" si="1"/>
        <v>2349654290</v>
      </c>
      <c r="AJ17" s="11">
        <f t="shared" si="1"/>
        <v>2351623629</v>
      </c>
      <c r="AK17" s="11">
        <f t="shared" si="1"/>
        <v>2017587098</v>
      </c>
      <c r="AL17" s="11">
        <f t="shared" si="1"/>
        <v>334036531</v>
      </c>
      <c r="AM17" s="11">
        <f t="shared" si="1"/>
        <v>2362177812</v>
      </c>
      <c r="AN17" s="45"/>
      <c r="AO17" s="44">
        <f>SUM(AO27:AO195)</f>
        <v>2013828681.9910004</v>
      </c>
      <c r="AP17" s="11"/>
      <c r="AQ17" s="11"/>
      <c r="AS17" s="11"/>
      <c r="AT17" s="11"/>
      <c r="AX17" s="11"/>
      <c r="AY17" s="11"/>
      <c r="AZ17" s="11"/>
      <c r="BA17" s="11"/>
      <c r="BB17" s="11"/>
    </row>
    <row r="18" spans="1:54" x14ac:dyDescent="0.25">
      <c r="I18" s="11"/>
      <c r="J18" s="11"/>
      <c r="K18" s="8" t="s">
        <v>21</v>
      </c>
      <c r="L18" s="8"/>
      <c r="M18" s="8"/>
      <c r="N18" s="23" t="s">
        <v>22</v>
      </c>
      <c r="O18" s="23"/>
      <c r="P18" s="23"/>
      <c r="Q18" s="23"/>
      <c r="R18" s="23"/>
      <c r="S18" s="23"/>
      <c r="T18" s="24" t="s">
        <v>23</v>
      </c>
      <c r="U18" s="24" t="s">
        <v>24</v>
      </c>
      <c r="V18" s="24" t="s">
        <v>25</v>
      </c>
      <c r="W18" s="24" t="s">
        <v>26</v>
      </c>
      <c r="X18" s="24" t="s">
        <v>27</v>
      </c>
      <c r="Y18" s="24" t="s">
        <v>28</v>
      </c>
      <c r="Z18" s="23" t="s">
        <v>29</v>
      </c>
      <c r="AA18" s="23" t="s">
        <v>30</v>
      </c>
      <c r="AB18" s="23" t="s">
        <v>31</v>
      </c>
      <c r="AC18" s="23" t="s">
        <v>32</v>
      </c>
      <c r="AD18" s="23">
        <v>0.04</v>
      </c>
      <c r="AE18" s="24" t="s">
        <v>33</v>
      </c>
      <c r="AF18" s="24" t="s">
        <v>34</v>
      </c>
      <c r="AG18" s="24" t="s">
        <v>35</v>
      </c>
      <c r="AH18" s="24" t="s">
        <v>36</v>
      </c>
      <c r="AI18" s="24" t="s">
        <v>37</v>
      </c>
      <c r="AJ18" s="24" t="s">
        <v>38</v>
      </c>
      <c r="AK18" s="24" t="s">
        <v>39</v>
      </c>
      <c r="AL18" s="24"/>
      <c r="AM18" s="46"/>
      <c r="AN18" s="46"/>
      <c r="AO18" s="64"/>
      <c r="AP18" s="24"/>
      <c r="AY18" s="47"/>
      <c r="AZ18" s="47"/>
      <c r="BA18" s="47"/>
      <c r="BB18" s="47"/>
    </row>
    <row r="19" spans="1:54" x14ac:dyDescent="0.25">
      <c r="I19" s="11"/>
      <c r="J19" s="11"/>
      <c r="U19" s="1"/>
      <c r="X19" s="25" t="s">
        <v>40</v>
      </c>
      <c r="Y19" s="25" t="s">
        <v>41</v>
      </c>
      <c r="Z19" s="25" t="s">
        <v>40</v>
      </c>
      <c r="AA19" s="25" t="s">
        <v>42</v>
      </c>
      <c r="AB19" s="25"/>
      <c r="AC19" s="26" t="s">
        <v>43</v>
      </c>
      <c r="AD19" s="26">
        <v>0.03</v>
      </c>
      <c r="AI19" s="25" t="s">
        <v>44</v>
      </c>
      <c r="AJ19" s="1"/>
      <c r="AK19" s="1"/>
      <c r="AL19" s="1"/>
      <c r="AM19" s="48"/>
      <c r="AN19" s="48"/>
      <c r="AO19" s="49"/>
      <c r="AP19" s="1"/>
    </row>
    <row r="20" spans="1:54" x14ac:dyDescent="0.25">
      <c r="I20" s="11"/>
      <c r="J20" s="11"/>
      <c r="N20" s="26" t="s">
        <v>45</v>
      </c>
      <c r="O20" s="26"/>
      <c r="P20" s="26"/>
      <c r="Q20" s="26"/>
      <c r="R20" s="26"/>
      <c r="S20" s="26"/>
      <c r="X20" s="27">
        <f>MEDIAN(X27:X195)</f>
        <v>134030.57999999999</v>
      </c>
      <c r="Y20" s="25" t="s">
        <v>46</v>
      </c>
      <c r="Z20" s="28">
        <f>MEDIAN(Z27:Z195)</f>
        <v>81650</v>
      </c>
      <c r="AA20" s="25" t="s">
        <v>46</v>
      </c>
      <c r="AB20" s="8" t="s">
        <v>47</v>
      </c>
      <c r="AC20" s="8" t="s">
        <v>48</v>
      </c>
      <c r="AD20" s="8"/>
      <c r="AG20" s="8" t="s">
        <v>49</v>
      </c>
      <c r="AI20" s="29" t="s">
        <v>50</v>
      </c>
      <c r="AJ20" s="8"/>
      <c r="AK20" s="8"/>
      <c r="AL20" s="8"/>
      <c r="AM20" s="50"/>
      <c r="AN20" s="50"/>
      <c r="AO20" s="51"/>
      <c r="AP20" s="8"/>
    </row>
    <row r="21" spans="1:54" x14ac:dyDescent="0.25">
      <c r="K21" s="8"/>
      <c r="L21" s="8"/>
      <c r="M21" s="8"/>
      <c r="N21" s="30" t="s">
        <v>51</v>
      </c>
      <c r="O21" s="30"/>
      <c r="P21" s="30"/>
      <c r="Q21" s="30"/>
      <c r="R21" s="30"/>
      <c r="S21" s="30"/>
      <c r="T21" s="1"/>
      <c r="V21" s="8" t="s">
        <v>52</v>
      </c>
      <c r="X21" s="8"/>
      <c r="Y21" s="31">
        <f>ROUND(X20*$T$3,2)</f>
        <v>180941.28</v>
      </c>
      <c r="Z21" s="8" t="s">
        <v>53</v>
      </c>
      <c r="AA21" s="31">
        <f>ROUND(Z20*$T$3,2)</f>
        <v>110227.5</v>
      </c>
      <c r="AB21" s="8" t="s">
        <v>54</v>
      </c>
      <c r="AC21" s="8" t="s">
        <v>55</v>
      </c>
      <c r="AD21" s="8"/>
      <c r="AE21" s="8" t="s">
        <v>56</v>
      </c>
      <c r="AF21" s="8" t="s">
        <v>57</v>
      </c>
      <c r="AG21" s="8" t="s">
        <v>58</v>
      </c>
      <c r="AH21" s="8" t="s">
        <v>49</v>
      </c>
      <c r="AI21" s="32">
        <f>T8</f>
        <v>11525</v>
      </c>
      <c r="AM21" s="42" t="s">
        <v>72</v>
      </c>
      <c r="AO21" s="43">
        <v>4.1000000000000002E-2</v>
      </c>
    </row>
    <row r="22" spans="1:54" ht="27.6" x14ac:dyDescent="0.25">
      <c r="K22" s="26" t="s">
        <v>45</v>
      </c>
      <c r="L22" s="26"/>
      <c r="M22" s="26"/>
      <c r="N22" s="30" t="s">
        <v>60</v>
      </c>
      <c r="O22" s="30"/>
      <c r="P22" s="30" t="s">
        <v>321</v>
      </c>
      <c r="Q22" s="30"/>
      <c r="R22" s="30"/>
      <c r="S22" s="30"/>
      <c r="T22" s="33" t="s">
        <v>61</v>
      </c>
      <c r="U22" s="8" t="s">
        <v>62</v>
      </c>
      <c r="V22" s="8" t="s">
        <v>63</v>
      </c>
      <c r="X22" s="8" t="s">
        <v>64</v>
      </c>
      <c r="Y22" s="25" t="s">
        <v>65</v>
      </c>
      <c r="Z22" s="8" t="s">
        <v>66</v>
      </c>
      <c r="AA22" s="25" t="s">
        <v>65</v>
      </c>
      <c r="AB22" s="8" t="s">
        <v>67</v>
      </c>
      <c r="AC22" s="8" t="s">
        <v>68</v>
      </c>
      <c r="AD22" s="8" t="s">
        <v>324</v>
      </c>
      <c r="AE22" s="8" t="s">
        <v>69</v>
      </c>
      <c r="AF22" s="8" t="s">
        <v>49</v>
      </c>
      <c r="AG22" s="8" t="s">
        <v>70</v>
      </c>
      <c r="AH22" s="8" t="s">
        <v>58</v>
      </c>
      <c r="AI22" s="8" t="s">
        <v>71</v>
      </c>
      <c r="AJ22" s="8" t="s">
        <v>72</v>
      </c>
      <c r="AK22" s="1"/>
      <c r="AL22" s="1" t="s">
        <v>306</v>
      </c>
      <c r="AM22" s="48" t="s">
        <v>59</v>
      </c>
      <c r="AN22" s="48" t="s">
        <v>307</v>
      </c>
      <c r="AO22" s="52" t="s">
        <v>319</v>
      </c>
      <c r="AP22" s="1"/>
    </row>
    <row r="23" spans="1:54" x14ac:dyDescent="0.25">
      <c r="A23" s="1"/>
      <c r="B23" s="33"/>
      <c r="C23" s="8"/>
      <c r="D23" s="8" t="s">
        <v>73</v>
      </c>
      <c r="E23" s="8"/>
      <c r="F23" s="8" t="s">
        <v>74</v>
      </c>
      <c r="G23" s="8"/>
      <c r="K23" s="8" t="s">
        <v>75</v>
      </c>
      <c r="L23" s="8"/>
      <c r="M23" s="8"/>
      <c r="N23" s="30" t="s">
        <v>76</v>
      </c>
      <c r="O23" s="30"/>
      <c r="P23" s="30" t="s">
        <v>322</v>
      </c>
      <c r="Q23" s="30" t="s">
        <v>308</v>
      </c>
      <c r="R23" s="30"/>
      <c r="S23" s="30"/>
      <c r="T23" s="8" t="s">
        <v>77</v>
      </c>
      <c r="U23" s="8" t="s">
        <v>56</v>
      </c>
      <c r="V23" s="8" t="s">
        <v>78</v>
      </c>
      <c r="W23" s="8" t="s">
        <v>79</v>
      </c>
      <c r="X23" s="8" t="s">
        <v>80</v>
      </c>
      <c r="Y23" s="8" t="s">
        <v>81</v>
      </c>
      <c r="Z23" s="8" t="s">
        <v>82</v>
      </c>
      <c r="AA23" s="8" t="s">
        <v>83</v>
      </c>
      <c r="AB23" s="23" t="s">
        <v>84</v>
      </c>
      <c r="AC23" s="26" t="s">
        <v>85</v>
      </c>
      <c r="AD23" s="26"/>
      <c r="AE23" s="8" t="s">
        <v>49</v>
      </c>
      <c r="AF23" s="8" t="s">
        <v>58</v>
      </c>
      <c r="AG23" s="8" t="s">
        <v>86</v>
      </c>
      <c r="AH23" s="8" t="s">
        <v>86</v>
      </c>
      <c r="AI23" s="8" t="s">
        <v>87</v>
      </c>
      <c r="AJ23" s="26" t="s">
        <v>88</v>
      </c>
      <c r="AK23" s="26" t="s">
        <v>89</v>
      </c>
      <c r="AL23" s="26" t="s">
        <v>312</v>
      </c>
      <c r="AM23" s="53"/>
      <c r="AN23" s="53" t="s">
        <v>73</v>
      </c>
      <c r="AO23" s="54" t="s">
        <v>320</v>
      </c>
      <c r="AP23" s="26"/>
    </row>
    <row r="24" spans="1:54" x14ac:dyDescent="0.25">
      <c r="B24" s="8" t="s">
        <v>90</v>
      </c>
      <c r="C24" s="26" t="s">
        <v>73</v>
      </c>
      <c r="D24" s="26" t="s">
        <v>91</v>
      </c>
      <c r="E24" s="26" t="s">
        <v>92</v>
      </c>
      <c r="F24" s="26" t="s">
        <v>47</v>
      </c>
      <c r="G24" s="26" t="s">
        <v>309</v>
      </c>
      <c r="H24" s="8" t="s">
        <v>93</v>
      </c>
      <c r="I24" s="3" t="s">
        <v>93</v>
      </c>
      <c r="K24" s="8" t="s">
        <v>56</v>
      </c>
      <c r="L24" s="8"/>
      <c r="M24" s="8"/>
      <c r="N24" s="30" t="s">
        <v>94</v>
      </c>
      <c r="O24" s="30"/>
      <c r="P24" s="30"/>
      <c r="Q24" s="30" t="s">
        <v>310</v>
      </c>
      <c r="R24" s="30"/>
      <c r="S24" s="30" t="s">
        <v>95</v>
      </c>
      <c r="T24" s="26" t="s">
        <v>96</v>
      </c>
      <c r="U24" s="8" t="s">
        <v>97</v>
      </c>
      <c r="V24" s="8" t="s">
        <v>98</v>
      </c>
      <c r="W24" s="8" t="s">
        <v>99</v>
      </c>
      <c r="X24" s="23" t="s">
        <v>100</v>
      </c>
      <c r="Y24" s="8" t="s">
        <v>101</v>
      </c>
      <c r="Z24" s="8" t="s">
        <v>102</v>
      </c>
      <c r="AA24" s="8" t="s">
        <v>103</v>
      </c>
      <c r="AB24" s="34" t="s">
        <v>104</v>
      </c>
      <c r="AC24" s="8" t="s">
        <v>55</v>
      </c>
      <c r="AD24" s="8"/>
      <c r="AE24" s="8" t="s">
        <v>58</v>
      </c>
      <c r="AF24" s="8" t="s">
        <v>105</v>
      </c>
      <c r="AG24" s="26" t="s">
        <v>106</v>
      </c>
      <c r="AH24" s="26" t="s">
        <v>107</v>
      </c>
      <c r="AI24" s="26" t="s">
        <v>108</v>
      </c>
      <c r="AJ24" s="23" t="s">
        <v>109</v>
      </c>
      <c r="AK24" s="23" t="s">
        <v>110</v>
      </c>
      <c r="AL24" s="23" t="s">
        <v>311</v>
      </c>
      <c r="AM24" s="55"/>
      <c r="AN24" s="55" t="s">
        <v>311</v>
      </c>
      <c r="AO24" s="56">
        <v>0.25</v>
      </c>
      <c r="AP24" s="23"/>
    </row>
    <row r="25" spans="1:54" x14ac:dyDescent="0.25">
      <c r="A25" s="8" t="s">
        <v>111</v>
      </c>
      <c r="B25" s="8" t="s">
        <v>112</v>
      </c>
      <c r="C25" s="26" t="s">
        <v>112</v>
      </c>
      <c r="D25" s="26" t="s">
        <v>92</v>
      </c>
      <c r="E25" s="26" t="s">
        <v>112</v>
      </c>
      <c r="F25" s="8" t="s">
        <v>113</v>
      </c>
      <c r="G25" s="8" t="s">
        <v>312</v>
      </c>
      <c r="H25" s="8" t="s">
        <v>114</v>
      </c>
      <c r="I25" s="3" t="s">
        <v>115</v>
      </c>
      <c r="K25" s="26" t="s">
        <v>325</v>
      </c>
      <c r="L25" s="26"/>
      <c r="M25" s="26"/>
      <c r="N25" s="30">
        <v>2017</v>
      </c>
      <c r="O25" s="30"/>
      <c r="P25" s="30"/>
      <c r="Q25" s="30" t="s">
        <v>313</v>
      </c>
      <c r="R25" s="30"/>
      <c r="S25" s="30">
        <v>2017</v>
      </c>
      <c r="T25" s="8" t="s">
        <v>116</v>
      </c>
      <c r="U25" s="8" t="s">
        <v>314</v>
      </c>
      <c r="V25" s="26" t="s">
        <v>326</v>
      </c>
      <c r="W25" s="8">
        <v>2015</v>
      </c>
      <c r="X25" s="26" t="s">
        <v>117</v>
      </c>
      <c r="Y25" s="26" t="s">
        <v>118</v>
      </c>
      <c r="Z25" s="8">
        <v>2015</v>
      </c>
      <c r="AA25" s="26" t="s">
        <v>118</v>
      </c>
      <c r="AB25" s="26" t="s">
        <v>119</v>
      </c>
      <c r="AC25" s="8" t="s">
        <v>120</v>
      </c>
      <c r="AD25" s="8"/>
      <c r="AE25" s="26" t="s">
        <v>325</v>
      </c>
      <c r="AF25" s="26" t="s">
        <v>325</v>
      </c>
      <c r="AG25" s="8" t="s">
        <v>121</v>
      </c>
      <c r="AH25" s="26" t="s">
        <v>122</v>
      </c>
      <c r="AI25" s="8" t="s">
        <v>123</v>
      </c>
      <c r="AJ25" s="26" t="s">
        <v>124</v>
      </c>
      <c r="AK25" s="26" t="s">
        <v>315</v>
      </c>
      <c r="AL25" s="26"/>
      <c r="AM25" s="53"/>
      <c r="AN25" s="53"/>
      <c r="AO25" s="54" t="s">
        <v>316</v>
      </c>
      <c r="AP25" s="26"/>
    </row>
    <row r="26" spans="1:54" x14ac:dyDescent="0.25">
      <c r="C26" s="5"/>
      <c r="D26" s="5"/>
      <c r="E26" s="5"/>
      <c r="F26" s="5"/>
      <c r="G26" s="5"/>
      <c r="Q26" s="3" t="s">
        <v>323</v>
      </c>
      <c r="AO26" s="43" t="s">
        <v>317</v>
      </c>
    </row>
    <row r="27" spans="1:54" x14ac:dyDescent="0.25">
      <c r="A27" s="8" t="s">
        <v>125</v>
      </c>
      <c r="B27" s="8"/>
      <c r="C27" s="26"/>
      <c r="D27" s="26"/>
      <c r="E27" s="26"/>
      <c r="F27" s="1">
        <v>7</v>
      </c>
      <c r="G27" s="57">
        <v>232.93016543140752</v>
      </c>
      <c r="H27" s="8">
        <v>1</v>
      </c>
      <c r="I27" s="3" t="s">
        <v>126</v>
      </c>
      <c r="J27" s="13">
        <f t="shared" ref="J27:J90" si="2">AT27</f>
        <v>0</v>
      </c>
      <c r="K27" s="62">
        <v>440.52</v>
      </c>
      <c r="L27" s="36"/>
      <c r="M27" s="35"/>
      <c r="N27" s="63">
        <v>62</v>
      </c>
      <c r="O27" s="58">
        <f t="shared" ref="O27:O90" si="3">N27/K27</f>
        <v>0.14074275855806775</v>
      </c>
      <c r="P27" s="58">
        <f t="shared" ref="P27:P90" si="4">IF(O27&gt;0.75,+O27-0.75,0)</f>
        <v>0</v>
      </c>
      <c r="Q27" s="36">
        <f t="shared" ref="Q27:Q90" si="5">P27*K27</f>
        <v>0</v>
      </c>
      <c r="R27" s="36">
        <f>Q27*0.05</f>
        <v>0</v>
      </c>
      <c r="S27" s="63">
        <v>4</v>
      </c>
      <c r="T27" s="37">
        <f t="shared" ref="T27:T58" si="6">ROUND(N27*$T$2,2)</f>
        <v>18.600000000000001</v>
      </c>
      <c r="U27" s="9">
        <f t="shared" ref="U27:U58" si="7">K27+T27+0.15*S27+0.05*Q27</f>
        <v>459.72</v>
      </c>
      <c r="V27" s="62">
        <v>370360757</v>
      </c>
      <c r="W27" s="63">
        <v>3262</v>
      </c>
      <c r="X27" s="18">
        <f t="shared" ref="X27:X90" si="8">ROUND(V27/W27,2)</f>
        <v>113537.94</v>
      </c>
      <c r="Y27" s="38">
        <f t="shared" ref="Y27:Y90" si="9">(ROUND(X27/$Y$21,6))</f>
        <v>0.62748499999999996</v>
      </c>
      <c r="Z27" s="63">
        <v>100321</v>
      </c>
      <c r="AA27" s="38">
        <f t="shared" ref="AA27:AA90" si="10">(ROUND(Z27/$AA$21,6))</f>
        <v>0.91012700000000002</v>
      </c>
      <c r="AB27" s="38">
        <f t="shared" ref="AB27:AB90" si="11">ROUND(1-((Y27*$T$4)+(AA27*$T$5)),6)</f>
        <v>0.28772199999999998</v>
      </c>
      <c r="AC27" s="39">
        <f t="shared" ref="AC27:AC58" si="12">IF(C27=1,MAX($T$7,AB27),MAX($T$6,AB27))</f>
        <v>0.28772199999999998</v>
      </c>
      <c r="AD27" s="39">
        <f t="shared" ref="AD27:AD40" si="13">IF(G27&gt;300,+AC27+$AD$17,AC27)</f>
        <v>0.28772199999999998</v>
      </c>
      <c r="AE27" s="63">
        <v>246</v>
      </c>
      <c r="AF27" s="40">
        <v>6</v>
      </c>
      <c r="AG27" s="9">
        <f t="shared" ref="AG27:AG90" si="14">ROUND((AF27/13)*100,2)</f>
        <v>46.15</v>
      </c>
      <c r="AH27" s="11">
        <f t="shared" ref="AH27:AH90" si="15">ROUND(AE27*AG27,0)</f>
        <v>11353</v>
      </c>
      <c r="AI27" s="11">
        <f t="shared" ref="AI27:AI90" si="16">ROUND(U27*AD27*$AI$21,0)</f>
        <v>1524430</v>
      </c>
      <c r="AJ27" s="11">
        <f t="shared" ref="AJ27:AJ90" si="17">IF(AI27=0, 0,AH27+AI27)</f>
        <v>1535783</v>
      </c>
      <c r="AK27" s="36">
        <v>2331185</v>
      </c>
      <c r="AL27" s="36">
        <f>AJ27-AK27</f>
        <v>-795402</v>
      </c>
      <c r="AM27" s="59">
        <f t="shared" ref="AM27:AM58" si="18">IF(AND(C27=1,AK27&gt;AJ27),AK27,AJ27)</f>
        <v>1535783</v>
      </c>
      <c r="AN27" s="59">
        <f t="shared" ref="AN27:AN90" si="19">AM27-AK27</f>
        <v>-795402</v>
      </c>
      <c r="AO27" s="60">
        <f t="shared" ref="AO27:AO90" si="20">IF(AN27&gt;0,($AO$21*AN27)+AK27,($AO$24*AN27)+AK27)</f>
        <v>2132334.5</v>
      </c>
      <c r="AP27" s="36"/>
      <c r="AQ27" s="22"/>
      <c r="AS27" s="22"/>
      <c r="AT27" s="22"/>
      <c r="AX27" s="22"/>
      <c r="AY27" s="22"/>
      <c r="AZ27" s="22"/>
      <c r="BA27" s="22"/>
      <c r="BB27" s="22"/>
    </row>
    <row r="28" spans="1:54" x14ac:dyDescent="0.25">
      <c r="A28" s="8" t="s">
        <v>127</v>
      </c>
      <c r="B28" s="41"/>
      <c r="C28" s="26">
        <v>1</v>
      </c>
      <c r="D28" s="26">
        <v>1</v>
      </c>
      <c r="E28" s="26"/>
      <c r="F28" s="1">
        <v>10</v>
      </c>
      <c r="G28" s="61">
        <v>345.87379546229533</v>
      </c>
      <c r="H28" s="8">
        <v>2</v>
      </c>
      <c r="I28" s="3" t="s">
        <v>128</v>
      </c>
      <c r="J28" s="13">
        <f t="shared" si="2"/>
        <v>0</v>
      </c>
      <c r="K28" s="62">
        <v>2471.1999999999998</v>
      </c>
      <c r="L28" s="36"/>
      <c r="M28" s="35"/>
      <c r="N28" s="63">
        <v>1658</v>
      </c>
      <c r="O28" s="58">
        <f t="shared" si="3"/>
        <v>0.67092910326966659</v>
      </c>
      <c r="P28" s="58">
        <f t="shared" si="4"/>
        <v>0</v>
      </c>
      <c r="Q28" s="36">
        <f t="shared" si="5"/>
        <v>0</v>
      </c>
      <c r="R28" s="36">
        <f t="shared" ref="R28:R91" si="21">Q28*0.05</f>
        <v>0</v>
      </c>
      <c r="S28" s="63">
        <v>91</v>
      </c>
      <c r="T28" s="37">
        <f t="shared" si="6"/>
        <v>497.4</v>
      </c>
      <c r="U28" s="9">
        <f t="shared" si="7"/>
        <v>2982.25</v>
      </c>
      <c r="V28" s="62">
        <v>1345020256</v>
      </c>
      <c r="W28" s="63">
        <v>18854</v>
      </c>
      <c r="X28" s="18">
        <f t="shared" si="8"/>
        <v>71338.720000000001</v>
      </c>
      <c r="Y28" s="38">
        <f t="shared" si="9"/>
        <v>0.394264</v>
      </c>
      <c r="Z28" s="63">
        <v>43305</v>
      </c>
      <c r="AA28" s="38">
        <f t="shared" si="10"/>
        <v>0.39286900000000002</v>
      </c>
      <c r="AB28" s="38">
        <f t="shared" si="11"/>
        <v>0.606155</v>
      </c>
      <c r="AC28" s="39">
        <f t="shared" si="12"/>
        <v>0.606155</v>
      </c>
      <c r="AD28" s="39">
        <f t="shared" si="13"/>
        <v>0.65615500000000004</v>
      </c>
      <c r="AE28" s="63">
        <v>0</v>
      </c>
      <c r="AF28" s="40">
        <v>0</v>
      </c>
      <c r="AG28" s="9">
        <f t="shared" si="14"/>
        <v>0</v>
      </c>
      <c r="AH28" s="11">
        <f t="shared" si="15"/>
        <v>0</v>
      </c>
      <c r="AI28" s="11">
        <f t="shared" si="16"/>
        <v>22552330</v>
      </c>
      <c r="AJ28" s="11">
        <f t="shared" si="17"/>
        <v>22552330</v>
      </c>
      <c r="AK28" s="36">
        <v>16473543</v>
      </c>
      <c r="AL28" s="36">
        <f>AJ28-AK28</f>
        <v>6078787</v>
      </c>
      <c r="AM28" s="59">
        <f t="shared" si="18"/>
        <v>22552330</v>
      </c>
      <c r="AN28" s="59">
        <f t="shared" si="19"/>
        <v>6078787</v>
      </c>
      <c r="AO28" s="60">
        <f t="shared" si="20"/>
        <v>16722773.267000001</v>
      </c>
      <c r="AP28" s="36"/>
      <c r="AQ28" s="22"/>
      <c r="AS28" s="22"/>
      <c r="AT28" s="22"/>
      <c r="AX28" s="22"/>
      <c r="AY28" s="22"/>
      <c r="AZ28" s="22"/>
      <c r="BA28" s="22"/>
      <c r="BB28" s="22"/>
    </row>
    <row r="29" spans="1:54" x14ac:dyDescent="0.25">
      <c r="A29" s="8" t="s">
        <v>129</v>
      </c>
      <c r="B29" s="8"/>
      <c r="C29" s="26"/>
      <c r="D29" s="26"/>
      <c r="E29" s="26"/>
      <c r="F29" s="1">
        <v>8</v>
      </c>
      <c r="G29" s="61">
        <v>248.11378942053898</v>
      </c>
      <c r="H29" s="8">
        <v>3</v>
      </c>
      <c r="I29" s="3" t="s">
        <v>130</v>
      </c>
      <c r="J29" s="13">
        <f t="shared" si="2"/>
        <v>0</v>
      </c>
      <c r="K29" s="62">
        <v>559.82000000000005</v>
      </c>
      <c r="L29" s="36"/>
      <c r="M29" s="35"/>
      <c r="N29" s="63">
        <v>165</v>
      </c>
      <c r="O29" s="58">
        <f t="shared" si="3"/>
        <v>0.29473759422671569</v>
      </c>
      <c r="P29" s="58">
        <f t="shared" si="4"/>
        <v>0</v>
      </c>
      <c r="Q29" s="36">
        <f t="shared" si="5"/>
        <v>0</v>
      </c>
      <c r="R29" s="36">
        <f t="shared" si="21"/>
        <v>0</v>
      </c>
      <c r="S29" s="63">
        <v>7</v>
      </c>
      <c r="T29" s="37">
        <f t="shared" si="6"/>
        <v>49.5</v>
      </c>
      <c r="U29" s="9">
        <f t="shared" si="7"/>
        <v>610.37</v>
      </c>
      <c r="V29" s="62">
        <v>423396077.32999998</v>
      </c>
      <c r="W29" s="63">
        <v>4251</v>
      </c>
      <c r="X29" s="18">
        <f t="shared" si="8"/>
        <v>99599.17</v>
      </c>
      <c r="Y29" s="38">
        <f t="shared" si="9"/>
        <v>0.55044999999999999</v>
      </c>
      <c r="Z29" s="63">
        <v>77870</v>
      </c>
      <c r="AA29" s="38">
        <f t="shared" si="10"/>
        <v>0.70644799999999996</v>
      </c>
      <c r="AB29" s="38">
        <f t="shared" si="11"/>
        <v>0.40275100000000003</v>
      </c>
      <c r="AC29" s="39">
        <f t="shared" si="12"/>
        <v>0.40275100000000003</v>
      </c>
      <c r="AD29" s="39">
        <f t="shared" si="13"/>
        <v>0.40275100000000003</v>
      </c>
      <c r="AE29" s="63">
        <v>183</v>
      </c>
      <c r="AF29" s="40">
        <v>4</v>
      </c>
      <c r="AG29" s="9">
        <f t="shared" si="14"/>
        <v>30.77</v>
      </c>
      <c r="AH29" s="11">
        <f t="shared" si="15"/>
        <v>5631</v>
      </c>
      <c r="AI29" s="11">
        <f t="shared" si="16"/>
        <v>2833158</v>
      </c>
      <c r="AJ29" s="11">
        <f t="shared" si="17"/>
        <v>2838789</v>
      </c>
      <c r="AK29" s="36">
        <v>3859564</v>
      </c>
      <c r="AL29" s="36">
        <f t="shared" ref="AL29:AL92" si="22">AJ29-AK29</f>
        <v>-1020775</v>
      </c>
      <c r="AM29" s="59">
        <f t="shared" si="18"/>
        <v>2838789</v>
      </c>
      <c r="AN29" s="59">
        <f t="shared" si="19"/>
        <v>-1020775</v>
      </c>
      <c r="AO29" s="60">
        <f t="shared" si="20"/>
        <v>3604370.25</v>
      </c>
      <c r="AP29" s="36"/>
      <c r="AQ29" s="22"/>
      <c r="AS29" s="22"/>
      <c r="AT29" s="22"/>
      <c r="AX29" s="22"/>
      <c r="AY29" s="22"/>
      <c r="AZ29" s="22"/>
      <c r="BA29" s="22"/>
      <c r="BB29" s="22"/>
    </row>
    <row r="30" spans="1:54" x14ac:dyDescent="0.25">
      <c r="A30" s="8" t="s">
        <v>131</v>
      </c>
      <c r="B30" s="8"/>
      <c r="C30" s="26"/>
      <c r="D30" s="26"/>
      <c r="E30" s="26"/>
      <c r="F30" s="1">
        <v>2</v>
      </c>
      <c r="G30" s="57">
        <v>168.23820689420663</v>
      </c>
      <c r="H30" s="8">
        <v>4</v>
      </c>
      <c r="I30" s="3" t="s">
        <v>132</v>
      </c>
      <c r="J30" s="13">
        <f t="shared" si="2"/>
        <v>0</v>
      </c>
      <c r="K30" s="62">
        <v>3237.15</v>
      </c>
      <c r="L30" s="36"/>
      <c r="M30" s="35"/>
      <c r="N30" s="63">
        <v>115</v>
      </c>
      <c r="O30" s="58">
        <f t="shared" si="3"/>
        <v>3.5525076069999842E-2</v>
      </c>
      <c r="P30" s="58">
        <f t="shared" si="4"/>
        <v>0</v>
      </c>
      <c r="Q30" s="36">
        <f t="shared" si="5"/>
        <v>0</v>
      </c>
      <c r="R30" s="36">
        <f t="shared" si="21"/>
        <v>0</v>
      </c>
      <c r="S30" s="63">
        <v>79</v>
      </c>
      <c r="T30" s="37">
        <f t="shared" si="6"/>
        <v>34.5</v>
      </c>
      <c r="U30" s="9">
        <f t="shared" si="7"/>
        <v>3283.5</v>
      </c>
      <c r="V30" s="62">
        <v>3694278722.3299999</v>
      </c>
      <c r="W30" s="63">
        <v>18414</v>
      </c>
      <c r="X30" s="18">
        <f t="shared" si="8"/>
        <v>200623.37</v>
      </c>
      <c r="Y30" s="38">
        <f t="shared" si="9"/>
        <v>1.108776</v>
      </c>
      <c r="Z30" s="63">
        <v>123894</v>
      </c>
      <c r="AA30" s="38">
        <f t="shared" si="10"/>
        <v>1.1239840000000001</v>
      </c>
      <c r="AB30" s="38">
        <f t="shared" si="11"/>
        <v>-0.11333799999999999</v>
      </c>
      <c r="AC30" s="39">
        <f t="shared" si="12"/>
        <v>0.01</v>
      </c>
      <c r="AD30" s="39">
        <f t="shared" si="13"/>
        <v>0.01</v>
      </c>
      <c r="AE30" s="63">
        <v>0</v>
      </c>
      <c r="AF30" s="40">
        <v>0</v>
      </c>
      <c r="AG30" s="9">
        <f t="shared" si="14"/>
        <v>0</v>
      </c>
      <c r="AH30" s="11">
        <f t="shared" si="15"/>
        <v>0</v>
      </c>
      <c r="AI30" s="11">
        <f t="shared" si="16"/>
        <v>378423</v>
      </c>
      <c r="AJ30" s="11">
        <f t="shared" si="17"/>
        <v>378423</v>
      </c>
      <c r="AK30" s="36">
        <v>731456</v>
      </c>
      <c r="AL30" s="36">
        <f t="shared" si="22"/>
        <v>-353033</v>
      </c>
      <c r="AM30" s="59">
        <f t="shared" si="18"/>
        <v>378423</v>
      </c>
      <c r="AN30" s="59">
        <f t="shared" si="19"/>
        <v>-353033</v>
      </c>
      <c r="AO30" s="60">
        <f t="shared" si="20"/>
        <v>643197.75</v>
      </c>
      <c r="AP30" s="36"/>
      <c r="AQ30" s="22"/>
      <c r="AS30" s="22"/>
      <c r="AT30" s="22"/>
      <c r="AX30" s="22"/>
      <c r="AY30" s="22"/>
      <c r="AZ30" s="22"/>
      <c r="BA30" s="22"/>
      <c r="BB30" s="22"/>
    </row>
    <row r="31" spans="1:54" x14ac:dyDescent="0.25">
      <c r="A31" s="8" t="s">
        <v>125</v>
      </c>
      <c r="B31" s="8"/>
      <c r="C31" s="26"/>
      <c r="D31" s="26"/>
      <c r="E31" s="26"/>
      <c r="F31" s="1">
        <v>5</v>
      </c>
      <c r="G31" s="57">
        <v>227.61582267336615</v>
      </c>
      <c r="H31" s="8">
        <v>5</v>
      </c>
      <c r="I31" s="3" t="s">
        <v>133</v>
      </c>
      <c r="J31" s="13">
        <f t="shared" si="2"/>
        <v>0</v>
      </c>
      <c r="K31" s="62">
        <v>530.97</v>
      </c>
      <c r="L31" s="36"/>
      <c r="M31" s="35"/>
      <c r="N31" s="63">
        <v>49</v>
      </c>
      <c r="O31" s="58">
        <f t="shared" si="3"/>
        <v>9.2283933178898991E-2</v>
      </c>
      <c r="P31" s="58">
        <f t="shared" si="4"/>
        <v>0</v>
      </c>
      <c r="Q31" s="36">
        <f t="shared" si="5"/>
        <v>0</v>
      </c>
      <c r="R31" s="36">
        <f t="shared" si="21"/>
        <v>0</v>
      </c>
      <c r="S31" s="63">
        <v>0</v>
      </c>
      <c r="T31" s="37">
        <f t="shared" si="6"/>
        <v>14.7</v>
      </c>
      <c r="U31" s="9">
        <f t="shared" si="7"/>
        <v>545.67000000000007</v>
      </c>
      <c r="V31" s="62">
        <v>493826348</v>
      </c>
      <c r="W31" s="63">
        <v>3685</v>
      </c>
      <c r="X31" s="18">
        <f t="shared" si="8"/>
        <v>134009.85999999999</v>
      </c>
      <c r="Y31" s="38">
        <f t="shared" si="9"/>
        <v>0.74062600000000001</v>
      </c>
      <c r="Z31" s="63">
        <v>95735</v>
      </c>
      <c r="AA31" s="38">
        <f t="shared" si="10"/>
        <v>0.86852200000000002</v>
      </c>
      <c r="AB31" s="38">
        <f t="shared" si="11"/>
        <v>0.22100500000000001</v>
      </c>
      <c r="AC31" s="39">
        <f t="shared" si="12"/>
        <v>0.22100500000000001</v>
      </c>
      <c r="AD31" s="39">
        <f t="shared" si="13"/>
        <v>0.22100500000000001</v>
      </c>
      <c r="AE31" s="63">
        <v>291</v>
      </c>
      <c r="AF31" s="40">
        <v>6</v>
      </c>
      <c r="AG31" s="9">
        <f t="shared" si="14"/>
        <v>46.15</v>
      </c>
      <c r="AH31" s="11">
        <f t="shared" si="15"/>
        <v>13430</v>
      </c>
      <c r="AI31" s="11">
        <f t="shared" si="16"/>
        <v>1389867</v>
      </c>
      <c r="AJ31" s="11">
        <f t="shared" si="17"/>
        <v>1403297</v>
      </c>
      <c r="AK31" s="36">
        <v>1633686</v>
      </c>
      <c r="AL31" s="36">
        <f t="shared" si="22"/>
        <v>-230389</v>
      </c>
      <c r="AM31" s="59">
        <f t="shared" si="18"/>
        <v>1403297</v>
      </c>
      <c r="AN31" s="59">
        <f t="shared" si="19"/>
        <v>-230389</v>
      </c>
      <c r="AO31" s="60">
        <f t="shared" si="20"/>
        <v>1576088.75</v>
      </c>
      <c r="AP31" s="36"/>
      <c r="AQ31" s="22"/>
      <c r="AS31" s="22"/>
      <c r="AT31" s="22"/>
      <c r="AX31" s="22"/>
      <c r="AY31" s="22"/>
      <c r="AZ31" s="22"/>
      <c r="BA31" s="22"/>
      <c r="BB31" s="22"/>
    </row>
    <row r="32" spans="1:54" x14ac:dyDescent="0.25">
      <c r="A32" s="8" t="s">
        <v>129</v>
      </c>
      <c r="B32" s="8"/>
      <c r="C32" s="26"/>
      <c r="D32" s="26"/>
      <c r="E32" s="26"/>
      <c r="F32" s="1">
        <v>7</v>
      </c>
      <c r="G32" s="61">
        <v>254.85118593356643</v>
      </c>
      <c r="H32" s="8">
        <v>6</v>
      </c>
      <c r="I32" s="3" t="s">
        <v>134</v>
      </c>
      <c r="J32" s="13">
        <f t="shared" si="2"/>
        <v>0</v>
      </c>
      <c r="K32" s="62">
        <v>868.15</v>
      </c>
      <c r="L32" s="36"/>
      <c r="M32" s="35"/>
      <c r="N32" s="63">
        <v>163</v>
      </c>
      <c r="O32" s="58">
        <f t="shared" si="3"/>
        <v>0.18775557219374533</v>
      </c>
      <c r="P32" s="58">
        <f t="shared" si="4"/>
        <v>0</v>
      </c>
      <c r="Q32" s="36">
        <f t="shared" si="5"/>
        <v>0</v>
      </c>
      <c r="R32" s="36">
        <f t="shared" si="21"/>
        <v>0</v>
      </c>
      <c r="S32" s="63">
        <v>11</v>
      </c>
      <c r="T32" s="37">
        <f t="shared" si="6"/>
        <v>48.9</v>
      </c>
      <c r="U32" s="9">
        <f t="shared" si="7"/>
        <v>918.69999999999993</v>
      </c>
      <c r="V32" s="62">
        <v>652451699</v>
      </c>
      <c r="W32" s="63">
        <v>6081</v>
      </c>
      <c r="X32" s="18">
        <f t="shared" si="8"/>
        <v>107293.49</v>
      </c>
      <c r="Y32" s="38">
        <f t="shared" si="9"/>
        <v>0.592974</v>
      </c>
      <c r="Z32" s="63">
        <v>83155</v>
      </c>
      <c r="AA32" s="38">
        <f t="shared" si="10"/>
        <v>0.75439400000000001</v>
      </c>
      <c r="AB32" s="38">
        <f t="shared" si="11"/>
        <v>0.35859999999999997</v>
      </c>
      <c r="AC32" s="39">
        <f t="shared" si="12"/>
        <v>0.35859999999999997</v>
      </c>
      <c r="AD32" s="39">
        <f t="shared" si="13"/>
        <v>0.35859999999999997</v>
      </c>
      <c r="AE32" s="63">
        <v>868</v>
      </c>
      <c r="AF32" s="40">
        <v>13</v>
      </c>
      <c r="AG32" s="9">
        <f t="shared" si="14"/>
        <v>100</v>
      </c>
      <c r="AH32" s="11">
        <f t="shared" si="15"/>
        <v>86800</v>
      </c>
      <c r="AI32" s="11">
        <f t="shared" si="16"/>
        <v>3796863</v>
      </c>
      <c r="AJ32" s="11">
        <f t="shared" si="17"/>
        <v>3883663</v>
      </c>
      <c r="AK32" s="36">
        <v>4067920</v>
      </c>
      <c r="AL32" s="36">
        <f t="shared" si="22"/>
        <v>-184257</v>
      </c>
      <c r="AM32" s="59">
        <f t="shared" si="18"/>
        <v>3883663</v>
      </c>
      <c r="AN32" s="59">
        <f t="shared" si="19"/>
        <v>-184257</v>
      </c>
      <c r="AO32" s="60">
        <f t="shared" si="20"/>
        <v>4021855.75</v>
      </c>
      <c r="AP32" s="36"/>
      <c r="AQ32" s="22"/>
      <c r="AS32" s="22"/>
      <c r="AT32" s="22"/>
      <c r="AX32" s="22"/>
      <c r="AY32" s="22"/>
      <c r="AZ32" s="22"/>
      <c r="BA32" s="22"/>
      <c r="BB32" s="22"/>
    </row>
    <row r="33" spans="1:54" x14ac:dyDescent="0.25">
      <c r="A33" s="8" t="s">
        <v>135</v>
      </c>
      <c r="B33" s="8"/>
      <c r="C33" s="26"/>
      <c r="D33" s="26"/>
      <c r="E33" s="26"/>
      <c r="F33" s="1">
        <v>4</v>
      </c>
      <c r="G33" s="57">
        <v>226.93368644871452</v>
      </c>
      <c r="H33" s="8">
        <v>7</v>
      </c>
      <c r="I33" s="3" t="s">
        <v>136</v>
      </c>
      <c r="J33" s="13">
        <f t="shared" si="2"/>
        <v>0</v>
      </c>
      <c r="K33" s="62">
        <v>2867.11</v>
      </c>
      <c r="L33" s="36"/>
      <c r="M33" s="35"/>
      <c r="N33" s="63">
        <v>380</v>
      </c>
      <c r="O33" s="58">
        <f t="shared" si="3"/>
        <v>0.13253764243436769</v>
      </c>
      <c r="P33" s="58">
        <f t="shared" si="4"/>
        <v>0</v>
      </c>
      <c r="Q33" s="36">
        <f t="shared" si="5"/>
        <v>0</v>
      </c>
      <c r="R33" s="36">
        <f t="shared" si="21"/>
        <v>0</v>
      </c>
      <c r="S33" s="63">
        <v>77</v>
      </c>
      <c r="T33" s="37">
        <f t="shared" si="6"/>
        <v>114</v>
      </c>
      <c r="U33" s="9">
        <f t="shared" si="7"/>
        <v>2992.6600000000003</v>
      </c>
      <c r="V33" s="62">
        <v>3196255532.6700001</v>
      </c>
      <c r="W33" s="63">
        <v>20560</v>
      </c>
      <c r="X33" s="18">
        <f t="shared" si="8"/>
        <v>155459.9</v>
      </c>
      <c r="Y33" s="38">
        <f t="shared" si="9"/>
        <v>0.85917299999999996</v>
      </c>
      <c r="Z33" s="63">
        <v>87810</v>
      </c>
      <c r="AA33" s="38">
        <f t="shared" si="10"/>
        <v>0.79662500000000003</v>
      </c>
      <c r="AB33" s="38">
        <f t="shared" si="11"/>
        <v>0.15959100000000001</v>
      </c>
      <c r="AC33" s="39">
        <f t="shared" si="12"/>
        <v>0.15959100000000001</v>
      </c>
      <c r="AD33" s="39">
        <f t="shared" si="13"/>
        <v>0.15959100000000001</v>
      </c>
      <c r="AE33" s="63">
        <v>0</v>
      </c>
      <c r="AF33" s="40">
        <v>0</v>
      </c>
      <c r="AG33" s="9">
        <f t="shared" si="14"/>
        <v>0</v>
      </c>
      <c r="AH33" s="11">
        <f t="shared" si="15"/>
        <v>0</v>
      </c>
      <c r="AI33" s="11">
        <f t="shared" si="16"/>
        <v>5504358</v>
      </c>
      <c r="AJ33" s="11">
        <f t="shared" si="17"/>
        <v>5504358</v>
      </c>
      <c r="AK33" s="36">
        <v>6215712</v>
      </c>
      <c r="AL33" s="36">
        <f t="shared" si="22"/>
        <v>-711354</v>
      </c>
      <c r="AM33" s="59">
        <f t="shared" si="18"/>
        <v>5504358</v>
      </c>
      <c r="AN33" s="59">
        <f t="shared" si="19"/>
        <v>-711354</v>
      </c>
      <c r="AO33" s="60">
        <f t="shared" si="20"/>
        <v>6037873.5</v>
      </c>
      <c r="AP33" s="36"/>
      <c r="AQ33" s="22"/>
      <c r="AS33" s="22"/>
      <c r="AT33" s="22"/>
      <c r="AX33" s="22"/>
      <c r="AY33" s="22"/>
      <c r="AZ33" s="22"/>
      <c r="BA33" s="22"/>
      <c r="BB33" s="22"/>
    </row>
    <row r="34" spans="1:54" x14ac:dyDescent="0.25">
      <c r="A34" s="8" t="s">
        <v>125</v>
      </c>
      <c r="B34" s="8"/>
      <c r="C34" s="26"/>
      <c r="D34" s="26"/>
      <c r="E34" s="26"/>
      <c r="F34" s="1">
        <v>3</v>
      </c>
      <c r="G34" s="57">
        <v>221.33626868766842</v>
      </c>
      <c r="H34" s="8">
        <v>8</v>
      </c>
      <c r="I34" s="3" t="s">
        <v>137</v>
      </c>
      <c r="J34" s="13">
        <f t="shared" si="2"/>
        <v>0</v>
      </c>
      <c r="K34" s="62">
        <v>784.82</v>
      </c>
      <c r="L34" s="36"/>
      <c r="M34" s="35"/>
      <c r="N34" s="63">
        <v>43</v>
      </c>
      <c r="O34" s="58">
        <f t="shared" si="3"/>
        <v>5.4789633291710195E-2</v>
      </c>
      <c r="P34" s="58">
        <f t="shared" si="4"/>
        <v>0</v>
      </c>
      <c r="Q34" s="36">
        <f t="shared" si="5"/>
        <v>0</v>
      </c>
      <c r="R34" s="36">
        <f t="shared" si="21"/>
        <v>0</v>
      </c>
      <c r="S34" s="63">
        <v>9</v>
      </c>
      <c r="T34" s="37">
        <f t="shared" si="6"/>
        <v>12.9</v>
      </c>
      <c r="U34" s="9">
        <f t="shared" si="7"/>
        <v>799.07</v>
      </c>
      <c r="V34" s="62">
        <v>816815021</v>
      </c>
      <c r="W34" s="63">
        <v>5510</v>
      </c>
      <c r="X34" s="18">
        <f t="shared" si="8"/>
        <v>148242.29</v>
      </c>
      <c r="Y34" s="38">
        <f t="shared" si="9"/>
        <v>0.81928400000000001</v>
      </c>
      <c r="Z34" s="63">
        <v>97254</v>
      </c>
      <c r="AA34" s="38">
        <f t="shared" si="10"/>
        <v>0.88230299999999995</v>
      </c>
      <c r="AB34" s="38">
        <f t="shared" si="11"/>
        <v>0.16181000000000001</v>
      </c>
      <c r="AC34" s="39">
        <f t="shared" si="12"/>
        <v>0.16181000000000001</v>
      </c>
      <c r="AD34" s="39">
        <f t="shared" si="13"/>
        <v>0.16181000000000001</v>
      </c>
      <c r="AE34" s="63">
        <v>428</v>
      </c>
      <c r="AF34" s="40">
        <v>6</v>
      </c>
      <c r="AG34" s="9">
        <f t="shared" si="14"/>
        <v>46.15</v>
      </c>
      <c r="AH34" s="11">
        <f t="shared" si="15"/>
        <v>19752</v>
      </c>
      <c r="AI34" s="11">
        <f t="shared" si="16"/>
        <v>1490154</v>
      </c>
      <c r="AJ34" s="11">
        <f t="shared" si="17"/>
        <v>1509906</v>
      </c>
      <c r="AK34" s="36">
        <v>2000209</v>
      </c>
      <c r="AL34" s="36">
        <f t="shared" si="22"/>
        <v>-490303</v>
      </c>
      <c r="AM34" s="59">
        <f t="shared" si="18"/>
        <v>1509906</v>
      </c>
      <c r="AN34" s="59">
        <f t="shared" si="19"/>
        <v>-490303</v>
      </c>
      <c r="AO34" s="60">
        <f t="shared" si="20"/>
        <v>1877633.25</v>
      </c>
      <c r="AP34" s="36"/>
      <c r="AQ34" s="22"/>
      <c r="AS34" s="22"/>
      <c r="AT34" s="22"/>
      <c r="AX34" s="22"/>
      <c r="AY34" s="22"/>
      <c r="AZ34" s="22"/>
      <c r="BA34" s="22"/>
      <c r="BB34" s="22"/>
    </row>
    <row r="35" spans="1:54" x14ac:dyDescent="0.25">
      <c r="A35" s="8" t="s">
        <v>135</v>
      </c>
      <c r="B35" s="8"/>
      <c r="C35" s="26"/>
      <c r="D35" s="26"/>
      <c r="E35" s="26"/>
      <c r="F35" s="1">
        <v>4</v>
      </c>
      <c r="G35" s="57">
        <v>233.53107681353217</v>
      </c>
      <c r="H35" s="8">
        <v>9</v>
      </c>
      <c r="I35" s="3" t="s">
        <v>138</v>
      </c>
      <c r="J35" s="13">
        <f t="shared" si="2"/>
        <v>0</v>
      </c>
      <c r="K35" s="62">
        <v>3032.46</v>
      </c>
      <c r="L35" s="36"/>
      <c r="M35" s="35"/>
      <c r="N35" s="63">
        <v>627</v>
      </c>
      <c r="O35" s="58">
        <f t="shared" si="3"/>
        <v>0.2067628262202964</v>
      </c>
      <c r="P35" s="58">
        <f t="shared" si="4"/>
        <v>0</v>
      </c>
      <c r="Q35" s="36">
        <f t="shared" si="5"/>
        <v>0</v>
      </c>
      <c r="R35" s="36">
        <f t="shared" si="21"/>
        <v>0</v>
      </c>
      <c r="S35" s="63">
        <v>157</v>
      </c>
      <c r="T35" s="37">
        <f t="shared" si="6"/>
        <v>188.1</v>
      </c>
      <c r="U35" s="9">
        <f t="shared" si="7"/>
        <v>3244.11</v>
      </c>
      <c r="V35" s="62">
        <v>2784007308.3299999</v>
      </c>
      <c r="W35" s="63">
        <v>19529</v>
      </c>
      <c r="X35" s="18">
        <f t="shared" si="8"/>
        <v>142557.6</v>
      </c>
      <c r="Y35" s="38">
        <f t="shared" si="9"/>
        <v>0.78786699999999998</v>
      </c>
      <c r="Z35" s="63">
        <v>92125</v>
      </c>
      <c r="AA35" s="38">
        <f t="shared" si="10"/>
        <v>0.83577100000000004</v>
      </c>
      <c r="AB35" s="38">
        <f t="shared" si="11"/>
        <v>0.19776199999999999</v>
      </c>
      <c r="AC35" s="39">
        <f t="shared" si="12"/>
        <v>0.19776199999999999</v>
      </c>
      <c r="AD35" s="39">
        <f t="shared" si="13"/>
        <v>0.19776199999999999</v>
      </c>
      <c r="AE35" s="63">
        <v>0</v>
      </c>
      <c r="AF35" s="40">
        <v>0</v>
      </c>
      <c r="AG35" s="9">
        <f t="shared" si="14"/>
        <v>0</v>
      </c>
      <c r="AH35" s="11">
        <f t="shared" si="15"/>
        <v>0</v>
      </c>
      <c r="AI35" s="11">
        <f t="shared" si="16"/>
        <v>7393998</v>
      </c>
      <c r="AJ35" s="11">
        <f t="shared" si="17"/>
        <v>7393998</v>
      </c>
      <c r="AK35" s="36">
        <v>8087732</v>
      </c>
      <c r="AL35" s="36">
        <f t="shared" si="22"/>
        <v>-693734</v>
      </c>
      <c r="AM35" s="59">
        <f t="shared" si="18"/>
        <v>7393998</v>
      </c>
      <c r="AN35" s="59">
        <f t="shared" si="19"/>
        <v>-693734</v>
      </c>
      <c r="AO35" s="60">
        <f t="shared" si="20"/>
        <v>7914298.5</v>
      </c>
      <c r="AP35" s="36"/>
      <c r="AQ35" s="22"/>
      <c r="AS35" s="22"/>
      <c r="AT35" s="22"/>
      <c r="AX35" s="22"/>
      <c r="AY35" s="22"/>
      <c r="AZ35" s="22"/>
      <c r="BA35" s="22"/>
      <c r="BB35" s="22"/>
    </row>
    <row r="36" spans="1:54" x14ac:dyDescent="0.25">
      <c r="A36" s="8" t="s">
        <v>125</v>
      </c>
      <c r="B36" s="8"/>
      <c r="C36" s="26"/>
      <c r="D36" s="26"/>
      <c r="E36" s="26"/>
      <c r="F36" s="1">
        <v>5</v>
      </c>
      <c r="G36" s="57">
        <v>205.32740614031175</v>
      </c>
      <c r="H36" s="8">
        <v>10</v>
      </c>
      <c r="I36" s="3" t="s">
        <v>139</v>
      </c>
      <c r="J36" s="13">
        <f t="shared" si="2"/>
        <v>0</v>
      </c>
      <c r="K36" s="62">
        <v>354.47</v>
      </c>
      <c r="L36" s="36"/>
      <c r="M36" s="35"/>
      <c r="N36" s="63">
        <v>53</v>
      </c>
      <c r="O36" s="58">
        <f t="shared" si="3"/>
        <v>0.14951900019747791</v>
      </c>
      <c r="P36" s="58">
        <f t="shared" si="4"/>
        <v>0</v>
      </c>
      <c r="Q36" s="36">
        <f t="shared" si="5"/>
        <v>0</v>
      </c>
      <c r="R36" s="36">
        <f t="shared" si="21"/>
        <v>0</v>
      </c>
      <c r="S36" s="63">
        <v>0</v>
      </c>
      <c r="T36" s="37">
        <f t="shared" si="6"/>
        <v>15.9</v>
      </c>
      <c r="U36" s="9">
        <f t="shared" si="7"/>
        <v>370.37</v>
      </c>
      <c r="V36" s="62">
        <v>509364481.32999998</v>
      </c>
      <c r="W36" s="63">
        <v>3473</v>
      </c>
      <c r="X36" s="18">
        <f t="shared" si="8"/>
        <v>146664.12</v>
      </c>
      <c r="Y36" s="38">
        <f t="shared" si="9"/>
        <v>0.810562</v>
      </c>
      <c r="Z36" s="63">
        <v>84306</v>
      </c>
      <c r="AA36" s="38">
        <f t="shared" si="10"/>
        <v>0.76483599999999996</v>
      </c>
      <c r="AB36" s="38">
        <f t="shared" si="11"/>
        <v>0.203156</v>
      </c>
      <c r="AC36" s="39">
        <f t="shared" si="12"/>
        <v>0.203156</v>
      </c>
      <c r="AD36" s="39">
        <f t="shared" si="13"/>
        <v>0.203156</v>
      </c>
      <c r="AE36" s="63">
        <v>351</v>
      </c>
      <c r="AF36" s="40">
        <v>13</v>
      </c>
      <c r="AG36" s="9">
        <f t="shared" si="14"/>
        <v>100</v>
      </c>
      <c r="AH36" s="11">
        <f t="shared" si="15"/>
        <v>35100</v>
      </c>
      <c r="AI36" s="11">
        <f t="shared" si="16"/>
        <v>867174</v>
      </c>
      <c r="AJ36" s="11">
        <f t="shared" si="17"/>
        <v>902274</v>
      </c>
      <c r="AK36" s="36">
        <v>1278838</v>
      </c>
      <c r="AL36" s="36">
        <f t="shared" si="22"/>
        <v>-376564</v>
      </c>
      <c r="AM36" s="59">
        <f t="shared" si="18"/>
        <v>902274</v>
      </c>
      <c r="AN36" s="59">
        <f t="shared" si="19"/>
        <v>-376564</v>
      </c>
      <c r="AO36" s="60">
        <f t="shared" si="20"/>
        <v>1184697</v>
      </c>
      <c r="AP36" s="36"/>
      <c r="AQ36" s="22"/>
      <c r="AS36" s="22"/>
      <c r="AT36" s="22"/>
      <c r="AX36" s="22"/>
      <c r="AY36" s="22"/>
      <c r="AZ36" s="22"/>
      <c r="BA36" s="22"/>
      <c r="BB36" s="22"/>
    </row>
    <row r="37" spans="1:54" x14ac:dyDescent="0.25">
      <c r="A37" s="8" t="s">
        <v>140</v>
      </c>
      <c r="B37" s="8"/>
      <c r="C37" s="26">
        <v>1</v>
      </c>
      <c r="D37" s="26">
        <v>1</v>
      </c>
      <c r="E37" s="26"/>
      <c r="F37" s="1">
        <v>6</v>
      </c>
      <c r="G37" s="61">
        <v>278.01560307242596</v>
      </c>
      <c r="H37" s="8">
        <v>11</v>
      </c>
      <c r="I37" s="3" t="s">
        <v>141</v>
      </c>
      <c r="J37" s="13">
        <f t="shared" si="2"/>
        <v>0</v>
      </c>
      <c r="K37" s="62">
        <v>2267.7399999999998</v>
      </c>
      <c r="L37" s="36"/>
      <c r="M37" s="35"/>
      <c r="N37" s="63">
        <v>1113</v>
      </c>
      <c r="O37" s="58">
        <f t="shared" si="3"/>
        <v>0.49079700494765721</v>
      </c>
      <c r="P37" s="58">
        <f t="shared" si="4"/>
        <v>0</v>
      </c>
      <c r="Q37" s="36">
        <f t="shared" si="5"/>
        <v>0</v>
      </c>
      <c r="R37" s="36">
        <f t="shared" si="21"/>
        <v>0</v>
      </c>
      <c r="S37" s="63">
        <v>47</v>
      </c>
      <c r="T37" s="37">
        <f t="shared" si="6"/>
        <v>333.9</v>
      </c>
      <c r="U37" s="9">
        <f t="shared" si="7"/>
        <v>2608.69</v>
      </c>
      <c r="V37" s="62">
        <v>2921278801.6700001</v>
      </c>
      <c r="W37" s="63">
        <v>20749</v>
      </c>
      <c r="X37" s="18">
        <f t="shared" si="8"/>
        <v>140791.31</v>
      </c>
      <c r="Y37" s="38">
        <f t="shared" si="9"/>
        <v>0.77810500000000005</v>
      </c>
      <c r="Z37" s="63">
        <v>72762</v>
      </c>
      <c r="AA37" s="38">
        <f t="shared" si="10"/>
        <v>0.66010800000000003</v>
      </c>
      <c r="AB37" s="38">
        <f t="shared" si="11"/>
        <v>0.25729400000000002</v>
      </c>
      <c r="AC37" s="39">
        <f t="shared" si="12"/>
        <v>0.25729400000000002</v>
      </c>
      <c r="AD37" s="39">
        <f t="shared" si="13"/>
        <v>0.25729400000000002</v>
      </c>
      <c r="AE37" s="63">
        <v>0</v>
      </c>
      <c r="AF37" s="40">
        <v>0</v>
      </c>
      <c r="AG37" s="9">
        <f t="shared" si="14"/>
        <v>0</v>
      </c>
      <c r="AH37" s="11">
        <f t="shared" si="15"/>
        <v>0</v>
      </c>
      <c r="AI37" s="11">
        <f t="shared" si="16"/>
        <v>7735583</v>
      </c>
      <c r="AJ37" s="11">
        <f t="shared" si="17"/>
        <v>7735583</v>
      </c>
      <c r="AK37" s="36">
        <v>6160837</v>
      </c>
      <c r="AL37" s="36">
        <f t="shared" si="22"/>
        <v>1574746</v>
      </c>
      <c r="AM37" s="59">
        <f t="shared" si="18"/>
        <v>7735583</v>
      </c>
      <c r="AN37" s="59">
        <f t="shared" si="19"/>
        <v>1574746</v>
      </c>
      <c r="AO37" s="60">
        <f t="shared" si="20"/>
        <v>6225401.5860000001</v>
      </c>
      <c r="AP37" s="36"/>
      <c r="AQ37" s="22"/>
      <c r="AS37" s="22"/>
      <c r="AT37" s="22"/>
      <c r="AX37" s="22"/>
      <c r="AY37" s="22"/>
      <c r="AZ37" s="22"/>
      <c r="BA37" s="22"/>
      <c r="BB37" s="22"/>
    </row>
    <row r="38" spans="1:54" x14ac:dyDescent="0.25">
      <c r="A38" s="8" t="s">
        <v>125</v>
      </c>
      <c r="B38" s="8"/>
      <c r="C38" s="26"/>
      <c r="D38" s="26"/>
      <c r="E38" s="26"/>
      <c r="F38" s="1">
        <v>5</v>
      </c>
      <c r="G38" s="57">
        <v>224.12241786718985</v>
      </c>
      <c r="H38" s="8">
        <v>12</v>
      </c>
      <c r="I38" s="3" t="s">
        <v>142</v>
      </c>
      <c r="J38" s="13">
        <f t="shared" si="2"/>
        <v>0</v>
      </c>
      <c r="K38" s="62">
        <v>740.92</v>
      </c>
      <c r="L38" s="36"/>
      <c r="M38" s="35"/>
      <c r="N38" s="63">
        <v>73</v>
      </c>
      <c r="O38" s="58">
        <f t="shared" si="3"/>
        <v>9.8526156670085852E-2</v>
      </c>
      <c r="P38" s="58">
        <f t="shared" si="4"/>
        <v>0</v>
      </c>
      <c r="Q38" s="36">
        <f t="shared" si="5"/>
        <v>0</v>
      </c>
      <c r="R38" s="36">
        <f t="shared" si="21"/>
        <v>0</v>
      </c>
      <c r="S38" s="63">
        <v>5</v>
      </c>
      <c r="T38" s="37">
        <f t="shared" si="6"/>
        <v>21.9</v>
      </c>
      <c r="U38" s="9">
        <f t="shared" si="7"/>
        <v>763.56999999999994</v>
      </c>
      <c r="V38" s="62">
        <v>616537250</v>
      </c>
      <c r="W38" s="63">
        <v>4947</v>
      </c>
      <c r="X38" s="18">
        <f t="shared" si="8"/>
        <v>124628.51</v>
      </c>
      <c r="Y38" s="38">
        <f t="shared" si="9"/>
        <v>0.68877900000000003</v>
      </c>
      <c r="Z38" s="63">
        <v>97019</v>
      </c>
      <c r="AA38" s="38">
        <f t="shared" si="10"/>
        <v>0.88017100000000004</v>
      </c>
      <c r="AB38" s="38">
        <f t="shared" si="11"/>
        <v>0.253803</v>
      </c>
      <c r="AC38" s="39">
        <f t="shared" si="12"/>
        <v>0.253803</v>
      </c>
      <c r="AD38" s="39">
        <f t="shared" si="13"/>
        <v>0.253803</v>
      </c>
      <c r="AE38" s="63">
        <v>0</v>
      </c>
      <c r="AF38" s="40">
        <v>0</v>
      </c>
      <c r="AG38" s="9">
        <f t="shared" si="14"/>
        <v>0</v>
      </c>
      <c r="AH38" s="11">
        <f t="shared" si="15"/>
        <v>0</v>
      </c>
      <c r="AI38" s="11">
        <f t="shared" si="16"/>
        <v>2233503</v>
      </c>
      <c r="AJ38" s="11">
        <f t="shared" si="17"/>
        <v>2233503</v>
      </c>
      <c r="AK38" s="36">
        <v>2983350</v>
      </c>
      <c r="AL38" s="36">
        <f t="shared" si="22"/>
        <v>-749847</v>
      </c>
      <c r="AM38" s="59">
        <f t="shared" si="18"/>
        <v>2233503</v>
      </c>
      <c r="AN38" s="59">
        <f t="shared" si="19"/>
        <v>-749847</v>
      </c>
      <c r="AO38" s="60">
        <f t="shared" si="20"/>
        <v>2795888.25</v>
      </c>
      <c r="AP38" s="36"/>
      <c r="AQ38" s="22"/>
      <c r="AS38" s="22"/>
      <c r="AT38" s="22"/>
      <c r="AX38" s="22"/>
      <c r="AY38" s="22"/>
      <c r="AZ38" s="22"/>
      <c r="BA38" s="22"/>
      <c r="BB38" s="22"/>
    </row>
    <row r="39" spans="1:54" x14ac:dyDescent="0.25">
      <c r="A39" s="8" t="s">
        <v>129</v>
      </c>
      <c r="B39" s="8"/>
      <c r="C39" s="26"/>
      <c r="D39" s="26"/>
      <c r="E39" s="26"/>
      <c r="F39" s="1">
        <v>7</v>
      </c>
      <c r="G39" s="57">
        <v>246.29863862934687</v>
      </c>
      <c r="H39" s="8">
        <v>13</v>
      </c>
      <c r="I39" s="3" t="s">
        <v>143</v>
      </c>
      <c r="J39" s="13">
        <f t="shared" si="2"/>
        <v>0</v>
      </c>
      <c r="K39" s="62">
        <v>296.52</v>
      </c>
      <c r="L39" s="36"/>
      <c r="M39" s="35"/>
      <c r="N39" s="63">
        <v>68</v>
      </c>
      <c r="O39" s="58">
        <f t="shared" si="3"/>
        <v>0.22932685822204238</v>
      </c>
      <c r="P39" s="58">
        <f t="shared" si="4"/>
        <v>0</v>
      </c>
      <c r="Q39" s="36">
        <f t="shared" si="5"/>
        <v>0</v>
      </c>
      <c r="R39" s="36">
        <f t="shared" si="21"/>
        <v>0</v>
      </c>
      <c r="S39" s="63">
        <v>5</v>
      </c>
      <c r="T39" s="37">
        <f t="shared" si="6"/>
        <v>20.399999999999999</v>
      </c>
      <c r="U39" s="9">
        <f t="shared" si="7"/>
        <v>317.66999999999996</v>
      </c>
      <c r="V39" s="62">
        <v>307691473.67000002</v>
      </c>
      <c r="W39" s="63">
        <v>2603</v>
      </c>
      <c r="X39" s="18">
        <f t="shared" si="8"/>
        <v>118206.48</v>
      </c>
      <c r="Y39" s="38">
        <f t="shared" si="9"/>
        <v>0.65328600000000003</v>
      </c>
      <c r="Z39" s="63">
        <v>77045</v>
      </c>
      <c r="AA39" s="38">
        <f t="shared" si="10"/>
        <v>0.69896400000000003</v>
      </c>
      <c r="AB39" s="38">
        <f t="shared" si="11"/>
        <v>0.333011</v>
      </c>
      <c r="AC39" s="39">
        <f t="shared" si="12"/>
        <v>0.333011</v>
      </c>
      <c r="AD39" s="39">
        <f t="shared" si="13"/>
        <v>0.333011</v>
      </c>
      <c r="AE39" s="63">
        <v>0</v>
      </c>
      <c r="AF39" s="40">
        <v>0</v>
      </c>
      <c r="AG39" s="9">
        <f t="shared" si="14"/>
        <v>0</v>
      </c>
      <c r="AH39" s="11">
        <f t="shared" si="15"/>
        <v>0</v>
      </c>
      <c r="AI39" s="11">
        <f t="shared" si="16"/>
        <v>1219202</v>
      </c>
      <c r="AJ39" s="11">
        <f t="shared" si="17"/>
        <v>1219202</v>
      </c>
      <c r="AK39" s="36">
        <v>1223830</v>
      </c>
      <c r="AL39" s="36">
        <f t="shared" si="22"/>
        <v>-4628</v>
      </c>
      <c r="AM39" s="59">
        <f t="shared" si="18"/>
        <v>1219202</v>
      </c>
      <c r="AN39" s="59">
        <f t="shared" si="19"/>
        <v>-4628</v>
      </c>
      <c r="AO39" s="60">
        <f t="shared" si="20"/>
        <v>1222673</v>
      </c>
      <c r="AP39" s="36"/>
      <c r="AQ39" s="22"/>
      <c r="AS39" s="22"/>
      <c r="AT39" s="22"/>
      <c r="AX39" s="22"/>
      <c r="AY39" s="22"/>
      <c r="AZ39" s="22"/>
      <c r="BA39" s="22"/>
      <c r="BB39" s="22"/>
    </row>
    <row r="40" spans="1:54" x14ac:dyDescent="0.25">
      <c r="A40" s="8" t="s">
        <v>135</v>
      </c>
      <c r="B40" s="8"/>
      <c r="C40" s="26"/>
      <c r="D40" s="26"/>
      <c r="E40" s="26"/>
      <c r="F40" s="1">
        <v>4</v>
      </c>
      <c r="G40" s="57">
        <v>222.85510570848723</v>
      </c>
      <c r="H40" s="8">
        <v>14</v>
      </c>
      <c r="I40" s="3" t="s">
        <v>144</v>
      </c>
      <c r="J40" s="13">
        <f t="shared" si="2"/>
        <v>0</v>
      </c>
      <c r="K40" s="62">
        <v>2949.64</v>
      </c>
      <c r="L40" s="36"/>
      <c r="M40" s="35"/>
      <c r="N40" s="63">
        <v>789</v>
      </c>
      <c r="O40" s="58">
        <f t="shared" si="3"/>
        <v>0.26749026999905073</v>
      </c>
      <c r="P40" s="58">
        <f t="shared" si="4"/>
        <v>0</v>
      </c>
      <c r="Q40" s="36">
        <f t="shared" si="5"/>
        <v>0</v>
      </c>
      <c r="R40" s="36">
        <f t="shared" si="21"/>
        <v>0</v>
      </c>
      <c r="S40" s="63">
        <v>119</v>
      </c>
      <c r="T40" s="37">
        <f t="shared" si="6"/>
        <v>236.7</v>
      </c>
      <c r="U40" s="9">
        <f t="shared" si="7"/>
        <v>3204.1899999999996</v>
      </c>
      <c r="V40" s="62">
        <v>5047048719</v>
      </c>
      <c r="W40" s="63">
        <v>28145</v>
      </c>
      <c r="X40" s="18">
        <f t="shared" si="8"/>
        <v>179323.1</v>
      </c>
      <c r="Y40" s="38">
        <f t="shared" si="9"/>
        <v>0.99105699999999997</v>
      </c>
      <c r="Z40" s="63">
        <v>71938</v>
      </c>
      <c r="AA40" s="38">
        <f t="shared" si="10"/>
        <v>0.65263199999999999</v>
      </c>
      <c r="AB40" s="38">
        <f t="shared" si="11"/>
        <v>0.110471</v>
      </c>
      <c r="AC40" s="39">
        <f t="shared" si="12"/>
        <v>0.110471</v>
      </c>
      <c r="AD40" s="39">
        <f t="shared" si="13"/>
        <v>0.110471</v>
      </c>
      <c r="AE40" s="63">
        <v>0</v>
      </c>
      <c r="AF40" s="40">
        <v>0</v>
      </c>
      <c r="AG40" s="9">
        <f t="shared" si="14"/>
        <v>0</v>
      </c>
      <c r="AH40" s="11">
        <f t="shared" si="15"/>
        <v>0</v>
      </c>
      <c r="AI40" s="11">
        <f t="shared" si="16"/>
        <v>4079505</v>
      </c>
      <c r="AJ40" s="11">
        <f t="shared" si="17"/>
        <v>4079505</v>
      </c>
      <c r="AK40" s="36">
        <v>2211848</v>
      </c>
      <c r="AL40" s="36">
        <f t="shared" si="22"/>
        <v>1867657</v>
      </c>
      <c r="AM40" s="59">
        <f t="shared" si="18"/>
        <v>4079505</v>
      </c>
      <c r="AN40" s="59">
        <f t="shared" si="19"/>
        <v>1867657</v>
      </c>
      <c r="AO40" s="60">
        <f t="shared" si="20"/>
        <v>2288421.9369999999</v>
      </c>
      <c r="AP40" s="36"/>
      <c r="AQ40" s="22"/>
      <c r="AS40" s="22"/>
      <c r="AT40" s="22"/>
      <c r="AX40" s="22"/>
      <c r="AY40" s="22"/>
      <c r="AZ40" s="22"/>
      <c r="BA40" s="22"/>
      <c r="BB40" s="22"/>
    </row>
    <row r="41" spans="1:54" x14ac:dyDescent="0.25">
      <c r="A41" s="8" t="s">
        <v>145</v>
      </c>
      <c r="B41" s="8">
        <v>1</v>
      </c>
      <c r="C41" s="26">
        <v>1</v>
      </c>
      <c r="D41" s="26">
        <v>0</v>
      </c>
      <c r="E41" s="26">
        <v>1</v>
      </c>
      <c r="F41" s="1">
        <v>10</v>
      </c>
      <c r="G41" s="61">
        <v>397.81711319548151</v>
      </c>
      <c r="H41" s="8">
        <v>15</v>
      </c>
      <c r="I41" s="3" t="s">
        <v>146</v>
      </c>
      <c r="J41" s="13">
        <f t="shared" si="2"/>
        <v>0</v>
      </c>
      <c r="K41" s="62">
        <v>20862.79</v>
      </c>
      <c r="L41" s="36"/>
      <c r="M41" s="35"/>
      <c r="N41" s="63">
        <v>11971</v>
      </c>
      <c r="O41" s="58">
        <f t="shared" si="3"/>
        <v>0.57379669737364947</v>
      </c>
      <c r="P41" s="58">
        <f t="shared" si="4"/>
        <v>0</v>
      </c>
      <c r="Q41" s="36">
        <f t="shared" si="5"/>
        <v>0</v>
      </c>
      <c r="R41" s="36">
        <f t="shared" si="21"/>
        <v>0</v>
      </c>
      <c r="S41" s="63">
        <v>3455</v>
      </c>
      <c r="T41" s="37">
        <f t="shared" si="6"/>
        <v>3591.3</v>
      </c>
      <c r="U41" s="9">
        <f t="shared" si="7"/>
        <v>24972.34</v>
      </c>
      <c r="V41" s="62">
        <v>8454435332.3299999</v>
      </c>
      <c r="W41" s="63">
        <v>147629</v>
      </c>
      <c r="X41" s="18">
        <f t="shared" si="8"/>
        <v>57268.12</v>
      </c>
      <c r="Y41" s="38">
        <f t="shared" si="9"/>
        <v>0.31650099999999998</v>
      </c>
      <c r="Z41" s="63">
        <v>41801</v>
      </c>
      <c r="AA41" s="38">
        <f t="shared" si="10"/>
        <v>0.37922499999999998</v>
      </c>
      <c r="AB41" s="38">
        <f t="shared" si="11"/>
        <v>0.664682</v>
      </c>
      <c r="AC41" s="39">
        <f t="shared" si="12"/>
        <v>0.664682</v>
      </c>
      <c r="AD41" s="39">
        <f>IF(G41&gt;300,+AC41+$AD$16,AC41)</f>
        <v>0.72468200000000005</v>
      </c>
      <c r="AE41" s="63">
        <v>0</v>
      </c>
      <c r="AF41" s="40">
        <v>0</v>
      </c>
      <c r="AG41" s="9">
        <f t="shared" si="14"/>
        <v>0</v>
      </c>
      <c r="AH41" s="11">
        <f t="shared" si="15"/>
        <v>0</v>
      </c>
      <c r="AI41" s="11">
        <f t="shared" si="16"/>
        <v>208567986</v>
      </c>
      <c r="AJ41" s="11">
        <f t="shared" si="17"/>
        <v>208567986</v>
      </c>
      <c r="AK41" s="36">
        <v>181105390</v>
      </c>
      <c r="AL41" s="36">
        <f t="shared" si="22"/>
        <v>27462596</v>
      </c>
      <c r="AM41" s="59">
        <f t="shared" si="18"/>
        <v>208567986</v>
      </c>
      <c r="AN41" s="59">
        <f t="shared" si="19"/>
        <v>27462596</v>
      </c>
      <c r="AO41" s="60">
        <f t="shared" si="20"/>
        <v>182231356.43599999</v>
      </c>
      <c r="AP41" s="36"/>
      <c r="AQ41" s="22"/>
      <c r="AS41" s="22"/>
      <c r="AT41" s="22"/>
      <c r="AX41" s="22"/>
      <c r="AY41" s="22"/>
      <c r="AZ41" s="22"/>
      <c r="BA41" s="22"/>
      <c r="BB41" s="22"/>
    </row>
    <row r="42" spans="1:54" x14ac:dyDescent="0.25">
      <c r="A42" s="8" t="s">
        <v>125</v>
      </c>
      <c r="B42" s="8"/>
      <c r="C42" s="26"/>
      <c r="D42" s="26"/>
      <c r="E42" s="26"/>
      <c r="F42" s="1">
        <v>2</v>
      </c>
      <c r="G42" s="57">
        <v>150.0220998260566</v>
      </c>
      <c r="H42" s="8">
        <v>16</v>
      </c>
      <c r="I42" s="3" t="s">
        <v>147</v>
      </c>
      <c r="J42" s="13">
        <f t="shared" si="2"/>
        <v>0</v>
      </c>
      <c r="K42" s="62">
        <v>114.55</v>
      </c>
      <c r="L42" s="36"/>
      <c r="M42" s="35"/>
      <c r="N42" s="63">
        <v>2</v>
      </c>
      <c r="O42" s="58">
        <f t="shared" si="3"/>
        <v>1.7459624618070713E-2</v>
      </c>
      <c r="P42" s="58">
        <f t="shared" si="4"/>
        <v>0</v>
      </c>
      <c r="Q42" s="36">
        <f t="shared" si="5"/>
        <v>0</v>
      </c>
      <c r="R42" s="36">
        <f t="shared" si="21"/>
        <v>0</v>
      </c>
      <c r="S42" s="63">
        <v>1</v>
      </c>
      <c r="T42" s="37">
        <f t="shared" si="6"/>
        <v>0.6</v>
      </c>
      <c r="U42" s="9">
        <f t="shared" si="7"/>
        <v>115.3</v>
      </c>
      <c r="V42" s="62">
        <v>518957718.67000002</v>
      </c>
      <c r="W42" s="63">
        <v>1659</v>
      </c>
      <c r="X42" s="18">
        <f t="shared" si="8"/>
        <v>312813.57</v>
      </c>
      <c r="Y42" s="38">
        <f t="shared" si="9"/>
        <v>1.7288129999999999</v>
      </c>
      <c r="Z42" s="63">
        <v>98424</v>
      </c>
      <c r="AA42" s="38">
        <f t="shared" si="10"/>
        <v>0.89291699999999996</v>
      </c>
      <c r="AB42" s="38">
        <f t="shared" si="11"/>
        <v>-0.47804400000000002</v>
      </c>
      <c r="AC42" s="39">
        <f t="shared" si="12"/>
        <v>0.01</v>
      </c>
      <c r="AD42" s="39">
        <f>IF(G42&gt;300,+AC42+$AD$17,AC42)</f>
        <v>0.01</v>
      </c>
      <c r="AE42" s="63">
        <v>113</v>
      </c>
      <c r="AF42" s="40">
        <v>13</v>
      </c>
      <c r="AG42" s="9">
        <f t="shared" si="14"/>
        <v>100</v>
      </c>
      <c r="AH42" s="11">
        <f t="shared" si="15"/>
        <v>11300</v>
      </c>
      <c r="AI42" s="11">
        <f t="shared" si="16"/>
        <v>13288</v>
      </c>
      <c r="AJ42" s="11">
        <f t="shared" si="17"/>
        <v>24588</v>
      </c>
      <c r="AK42" s="36">
        <v>23014</v>
      </c>
      <c r="AL42" s="36">
        <f t="shared" si="22"/>
        <v>1574</v>
      </c>
      <c r="AM42" s="59">
        <f t="shared" si="18"/>
        <v>24588</v>
      </c>
      <c r="AN42" s="59">
        <f t="shared" si="19"/>
        <v>1574</v>
      </c>
      <c r="AO42" s="60">
        <f t="shared" si="20"/>
        <v>23078.534</v>
      </c>
      <c r="AP42" s="36"/>
      <c r="AQ42" s="22"/>
      <c r="AS42" s="22"/>
      <c r="AT42" s="22"/>
      <c r="AX42" s="22"/>
      <c r="AY42" s="22"/>
      <c r="AZ42" s="22"/>
      <c r="BA42" s="22"/>
      <c r="BB42" s="22"/>
    </row>
    <row r="43" spans="1:54" x14ac:dyDescent="0.25">
      <c r="A43" s="8" t="s">
        <v>140</v>
      </c>
      <c r="B43" s="8"/>
      <c r="C43" s="26">
        <v>1</v>
      </c>
      <c r="D43" s="26">
        <v>1</v>
      </c>
      <c r="E43" s="26"/>
      <c r="F43" s="1">
        <v>9</v>
      </c>
      <c r="G43" s="61">
        <v>306.66985383575292</v>
      </c>
      <c r="H43" s="8">
        <v>17</v>
      </c>
      <c r="I43" s="3" t="s">
        <v>148</v>
      </c>
      <c r="J43" s="13">
        <f t="shared" si="2"/>
        <v>0</v>
      </c>
      <c r="K43" s="62">
        <v>8254.7900000000009</v>
      </c>
      <c r="L43" s="36"/>
      <c r="M43" s="35"/>
      <c r="N43" s="63">
        <v>3669</v>
      </c>
      <c r="O43" s="58">
        <f t="shared" si="3"/>
        <v>0.44446921120949168</v>
      </c>
      <c r="P43" s="58">
        <f t="shared" si="4"/>
        <v>0</v>
      </c>
      <c r="Q43" s="36">
        <f t="shared" si="5"/>
        <v>0</v>
      </c>
      <c r="R43" s="36">
        <f t="shared" si="21"/>
        <v>0</v>
      </c>
      <c r="S43" s="63">
        <v>384</v>
      </c>
      <c r="T43" s="37">
        <f t="shared" si="6"/>
        <v>1100.7</v>
      </c>
      <c r="U43" s="9">
        <f t="shared" si="7"/>
        <v>9413.090000000002</v>
      </c>
      <c r="V43" s="62">
        <v>5576362986</v>
      </c>
      <c r="W43" s="63">
        <v>60452</v>
      </c>
      <c r="X43" s="18">
        <f t="shared" si="8"/>
        <v>92244.47</v>
      </c>
      <c r="Y43" s="38">
        <f t="shared" si="9"/>
        <v>0.50980300000000001</v>
      </c>
      <c r="Z43" s="63">
        <v>61478</v>
      </c>
      <c r="AA43" s="38">
        <f t="shared" si="10"/>
        <v>0.55773700000000004</v>
      </c>
      <c r="AB43" s="38">
        <f t="shared" si="11"/>
        <v>0.47581699999999999</v>
      </c>
      <c r="AC43" s="39">
        <f t="shared" si="12"/>
        <v>0.47581699999999999</v>
      </c>
      <c r="AD43" s="39">
        <f>IF(G43&gt;300,+AC43+$AD$19,AC43)</f>
        <v>0.50581699999999996</v>
      </c>
      <c r="AE43" s="63">
        <v>0</v>
      </c>
      <c r="AF43" s="40">
        <v>0</v>
      </c>
      <c r="AG43" s="9">
        <f t="shared" si="14"/>
        <v>0</v>
      </c>
      <c r="AH43" s="11">
        <f t="shared" si="15"/>
        <v>0</v>
      </c>
      <c r="AI43" s="11">
        <f t="shared" si="16"/>
        <v>54873993</v>
      </c>
      <c r="AJ43" s="11">
        <f t="shared" si="17"/>
        <v>54873993</v>
      </c>
      <c r="AK43" s="36">
        <v>44853676</v>
      </c>
      <c r="AL43" s="36">
        <f t="shared" si="22"/>
        <v>10020317</v>
      </c>
      <c r="AM43" s="59">
        <f t="shared" si="18"/>
        <v>54873993</v>
      </c>
      <c r="AN43" s="59">
        <f t="shared" si="19"/>
        <v>10020317</v>
      </c>
      <c r="AO43" s="60">
        <f t="shared" si="20"/>
        <v>45264508.997000001</v>
      </c>
      <c r="AP43" s="36"/>
      <c r="AQ43" s="22"/>
      <c r="AS43" s="22"/>
      <c r="AT43" s="22"/>
      <c r="AX43" s="22"/>
      <c r="AY43" s="22"/>
      <c r="AZ43" s="22"/>
      <c r="BA43" s="22"/>
      <c r="BB43" s="22"/>
    </row>
    <row r="44" spans="1:54" x14ac:dyDescent="0.25">
      <c r="A44" s="8" t="s">
        <v>131</v>
      </c>
      <c r="B44" s="8"/>
      <c r="C44" s="26"/>
      <c r="D44" s="26"/>
      <c r="E44" s="26"/>
      <c r="F44" s="1">
        <v>2</v>
      </c>
      <c r="G44" s="57">
        <v>196.94139952463658</v>
      </c>
      <c r="H44" s="8">
        <v>18</v>
      </c>
      <c r="I44" s="3" t="s">
        <v>149</v>
      </c>
      <c r="J44" s="13">
        <f t="shared" si="2"/>
        <v>0</v>
      </c>
      <c r="K44" s="62">
        <v>2697.39</v>
      </c>
      <c r="L44" s="36"/>
      <c r="M44" s="35"/>
      <c r="N44" s="63">
        <v>289</v>
      </c>
      <c r="O44" s="58">
        <f t="shared" si="3"/>
        <v>0.10714060628978384</v>
      </c>
      <c r="P44" s="58">
        <f t="shared" si="4"/>
        <v>0</v>
      </c>
      <c r="Q44" s="36">
        <f t="shared" si="5"/>
        <v>0</v>
      </c>
      <c r="R44" s="36">
        <f t="shared" si="21"/>
        <v>0</v>
      </c>
      <c r="S44" s="63">
        <v>97</v>
      </c>
      <c r="T44" s="37">
        <f t="shared" si="6"/>
        <v>86.7</v>
      </c>
      <c r="U44" s="9">
        <f t="shared" si="7"/>
        <v>2798.64</v>
      </c>
      <c r="V44" s="62">
        <v>3229009156.6700001</v>
      </c>
      <c r="W44" s="63">
        <v>17143</v>
      </c>
      <c r="X44" s="18">
        <f t="shared" si="8"/>
        <v>188357.3</v>
      </c>
      <c r="Y44" s="38">
        <f t="shared" si="9"/>
        <v>1.040986</v>
      </c>
      <c r="Z44" s="63">
        <v>112684</v>
      </c>
      <c r="AA44" s="38">
        <f t="shared" si="10"/>
        <v>1.022286</v>
      </c>
      <c r="AB44" s="38">
        <f t="shared" si="11"/>
        <v>-3.5375999999999998E-2</v>
      </c>
      <c r="AC44" s="39">
        <f t="shared" si="12"/>
        <v>0.01</v>
      </c>
      <c r="AD44" s="39">
        <f t="shared" ref="AD44:AD62" si="23">IF(G44&gt;300,+AC44+$AD$17,AC44)</f>
        <v>0.01</v>
      </c>
      <c r="AE44" s="63">
        <v>0</v>
      </c>
      <c r="AF44" s="40">
        <v>0</v>
      </c>
      <c r="AG44" s="9">
        <f t="shared" si="14"/>
        <v>0</v>
      </c>
      <c r="AH44" s="11">
        <f t="shared" si="15"/>
        <v>0</v>
      </c>
      <c r="AI44" s="11">
        <f t="shared" si="16"/>
        <v>322543</v>
      </c>
      <c r="AJ44" s="11">
        <f t="shared" si="17"/>
        <v>322543</v>
      </c>
      <c r="AK44" s="36">
        <v>1417583</v>
      </c>
      <c r="AL44" s="36">
        <f t="shared" si="22"/>
        <v>-1095040</v>
      </c>
      <c r="AM44" s="59">
        <f t="shared" si="18"/>
        <v>322543</v>
      </c>
      <c r="AN44" s="59">
        <f t="shared" si="19"/>
        <v>-1095040</v>
      </c>
      <c r="AO44" s="60">
        <f t="shared" si="20"/>
        <v>1143823</v>
      </c>
      <c r="AP44" s="36"/>
      <c r="AQ44" s="22"/>
      <c r="AS44" s="22"/>
      <c r="AT44" s="22"/>
      <c r="AX44" s="22"/>
      <c r="AY44" s="22"/>
      <c r="AZ44" s="22"/>
      <c r="BA44" s="22"/>
      <c r="BB44" s="22"/>
    </row>
    <row r="45" spans="1:54" x14ac:dyDescent="0.25">
      <c r="A45" s="8" t="s">
        <v>129</v>
      </c>
      <c r="B45" s="8"/>
      <c r="C45" s="26"/>
      <c r="D45" s="26"/>
      <c r="E45" s="26"/>
      <c r="F45" s="1">
        <v>9</v>
      </c>
      <c r="G45" s="61">
        <v>261.80863813688472</v>
      </c>
      <c r="H45" s="8">
        <v>19</v>
      </c>
      <c r="I45" s="3" t="s">
        <v>150</v>
      </c>
      <c r="J45" s="13">
        <f t="shared" si="2"/>
        <v>0</v>
      </c>
      <c r="K45" s="62">
        <v>1207.54</v>
      </c>
      <c r="L45" s="36"/>
      <c r="M45" s="35"/>
      <c r="N45" s="63">
        <v>312</v>
      </c>
      <c r="O45" s="58">
        <f t="shared" si="3"/>
        <v>0.2583765341106713</v>
      </c>
      <c r="P45" s="58">
        <f t="shared" si="4"/>
        <v>0</v>
      </c>
      <c r="Q45" s="36">
        <f t="shared" si="5"/>
        <v>0</v>
      </c>
      <c r="R45" s="36">
        <f t="shared" si="21"/>
        <v>0</v>
      </c>
      <c r="S45" s="63">
        <v>9</v>
      </c>
      <c r="T45" s="37">
        <f t="shared" si="6"/>
        <v>93.6</v>
      </c>
      <c r="U45" s="9">
        <f t="shared" si="7"/>
        <v>1302.4899999999998</v>
      </c>
      <c r="V45" s="62">
        <v>763912352.66999996</v>
      </c>
      <c r="W45" s="63">
        <v>8259</v>
      </c>
      <c r="X45" s="18">
        <f t="shared" si="8"/>
        <v>92494.53</v>
      </c>
      <c r="Y45" s="38">
        <f t="shared" si="9"/>
        <v>0.511185</v>
      </c>
      <c r="Z45" s="63">
        <v>60694</v>
      </c>
      <c r="AA45" s="38">
        <f t="shared" si="10"/>
        <v>0.55062500000000003</v>
      </c>
      <c r="AB45" s="38">
        <f t="shared" si="11"/>
        <v>0.47698299999999999</v>
      </c>
      <c r="AC45" s="39">
        <f t="shared" si="12"/>
        <v>0.47698299999999999</v>
      </c>
      <c r="AD45" s="39">
        <f t="shared" si="23"/>
        <v>0.47698299999999999</v>
      </c>
      <c r="AE45" s="63">
        <v>0</v>
      </c>
      <c r="AF45" s="40">
        <v>0</v>
      </c>
      <c r="AG45" s="9">
        <f t="shared" si="14"/>
        <v>0</v>
      </c>
      <c r="AH45" s="11">
        <f t="shared" si="15"/>
        <v>0</v>
      </c>
      <c r="AI45" s="11">
        <f t="shared" si="16"/>
        <v>7160086</v>
      </c>
      <c r="AJ45" s="11">
        <f t="shared" si="17"/>
        <v>7160086</v>
      </c>
      <c r="AK45" s="36">
        <v>6975373</v>
      </c>
      <c r="AL45" s="36">
        <f t="shared" si="22"/>
        <v>184713</v>
      </c>
      <c r="AM45" s="59">
        <f t="shared" si="18"/>
        <v>7160086</v>
      </c>
      <c r="AN45" s="59">
        <f t="shared" si="19"/>
        <v>184713</v>
      </c>
      <c r="AO45" s="60">
        <f t="shared" si="20"/>
        <v>6982946.233</v>
      </c>
      <c r="AP45" s="36"/>
      <c r="AQ45" s="22"/>
      <c r="AS45" s="22"/>
      <c r="AT45" s="22"/>
      <c r="AX45" s="22"/>
      <c r="AY45" s="22"/>
      <c r="AZ45" s="22"/>
      <c r="BA45" s="22"/>
      <c r="BB45" s="22"/>
    </row>
    <row r="46" spans="1:54" x14ac:dyDescent="0.25">
      <c r="A46" s="8" t="s">
        <v>125</v>
      </c>
      <c r="B46" s="8"/>
      <c r="C46" s="26"/>
      <c r="D46" s="26"/>
      <c r="E46" s="26"/>
      <c r="F46" s="1">
        <v>3</v>
      </c>
      <c r="G46" s="57">
        <v>218.23193314650044</v>
      </c>
      <c r="H46" s="8">
        <v>20</v>
      </c>
      <c r="I46" s="3" t="s">
        <v>151</v>
      </c>
      <c r="J46" s="13">
        <f t="shared" si="2"/>
        <v>0</v>
      </c>
      <c r="K46" s="62">
        <v>1596.33</v>
      </c>
      <c r="L46" s="36"/>
      <c r="M46" s="35"/>
      <c r="N46" s="63">
        <v>85</v>
      </c>
      <c r="O46" s="58">
        <f t="shared" si="3"/>
        <v>5.3247135617322236E-2</v>
      </c>
      <c r="P46" s="58">
        <f t="shared" si="4"/>
        <v>0</v>
      </c>
      <c r="Q46" s="36">
        <f t="shared" si="5"/>
        <v>0</v>
      </c>
      <c r="R46" s="36">
        <f t="shared" si="21"/>
        <v>0</v>
      </c>
      <c r="S46" s="63">
        <v>26</v>
      </c>
      <c r="T46" s="37">
        <f t="shared" si="6"/>
        <v>25.5</v>
      </c>
      <c r="U46" s="9">
        <f t="shared" si="7"/>
        <v>1625.73</v>
      </c>
      <c r="V46" s="62">
        <v>1289776267</v>
      </c>
      <c r="W46" s="63">
        <v>9623</v>
      </c>
      <c r="X46" s="18">
        <f t="shared" si="8"/>
        <v>134030.57999999999</v>
      </c>
      <c r="Y46" s="38">
        <f t="shared" si="9"/>
        <v>0.74074099999999998</v>
      </c>
      <c r="Z46" s="63">
        <v>113472</v>
      </c>
      <c r="AA46" s="38">
        <f t="shared" si="10"/>
        <v>1.0294350000000001</v>
      </c>
      <c r="AB46" s="38">
        <f t="shared" si="11"/>
        <v>0.172651</v>
      </c>
      <c r="AC46" s="39">
        <f t="shared" si="12"/>
        <v>0.172651</v>
      </c>
      <c r="AD46" s="39">
        <f t="shared" si="23"/>
        <v>0.172651</v>
      </c>
      <c r="AE46" s="63">
        <v>1597</v>
      </c>
      <c r="AF46" s="40">
        <v>13</v>
      </c>
      <c r="AG46" s="9">
        <f t="shared" si="14"/>
        <v>100</v>
      </c>
      <c r="AH46" s="11">
        <f t="shared" si="15"/>
        <v>159700</v>
      </c>
      <c r="AI46" s="11">
        <f t="shared" si="16"/>
        <v>3234882</v>
      </c>
      <c r="AJ46" s="11">
        <f t="shared" si="17"/>
        <v>3394582</v>
      </c>
      <c r="AK46" s="36">
        <v>4359350</v>
      </c>
      <c r="AL46" s="36">
        <f t="shared" si="22"/>
        <v>-964768</v>
      </c>
      <c r="AM46" s="59">
        <f t="shared" si="18"/>
        <v>3394582</v>
      </c>
      <c r="AN46" s="59">
        <f t="shared" si="19"/>
        <v>-964768</v>
      </c>
      <c r="AO46" s="60">
        <f t="shared" si="20"/>
        <v>4118158</v>
      </c>
      <c r="AP46" s="36"/>
      <c r="AQ46" s="22"/>
      <c r="AS46" s="22"/>
      <c r="AT46" s="22"/>
      <c r="AX46" s="22"/>
      <c r="AY46" s="22"/>
      <c r="AZ46" s="22"/>
      <c r="BA46" s="22"/>
      <c r="BB46" s="22"/>
    </row>
    <row r="47" spans="1:54" x14ac:dyDescent="0.25">
      <c r="A47" s="8" t="s">
        <v>129</v>
      </c>
      <c r="B47" s="8"/>
      <c r="C47" s="26"/>
      <c r="D47" s="26"/>
      <c r="E47" s="26"/>
      <c r="F47" s="1">
        <v>4</v>
      </c>
      <c r="G47" s="57">
        <v>197.24909036796655</v>
      </c>
      <c r="H47" s="8">
        <v>21</v>
      </c>
      <c r="I47" s="3" t="s">
        <v>152</v>
      </c>
      <c r="J47" s="13">
        <f t="shared" si="2"/>
        <v>0</v>
      </c>
      <c r="K47" s="62">
        <v>104.45</v>
      </c>
      <c r="L47" s="36"/>
      <c r="M47" s="35"/>
      <c r="N47" s="63">
        <v>17</v>
      </c>
      <c r="O47" s="58">
        <f t="shared" si="3"/>
        <v>0.16275730014360937</v>
      </c>
      <c r="P47" s="58">
        <f t="shared" si="4"/>
        <v>0</v>
      </c>
      <c r="Q47" s="36">
        <f t="shared" si="5"/>
        <v>0</v>
      </c>
      <c r="R47" s="36">
        <f t="shared" si="21"/>
        <v>0</v>
      </c>
      <c r="S47" s="63">
        <v>4</v>
      </c>
      <c r="T47" s="37">
        <f t="shared" si="6"/>
        <v>5.0999999999999996</v>
      </c>
      <c r="U47" s="9">
        <f t="shared" si="7"/>
        <v>110.14999999999999</v>
      </c>
      <c r="V47" s="62">
        <v>230031643.66999999</v>
      </c>
      <c r="W47" s="63">
        <v>1185</v>
      </c>
      <c r="X47" s="18">
        <f t="shared" si="8"/>
        <v>194119.53</v>
      </c>
      <c r="Y47" s="38">
        <f t="shared" si="9"/>
        <v>1.072832</v>
      </c>
      <c r="Z47" s="63">
        <v>72321</v>
      </c>
      <c r="AA47" s="38">
        <f t="shared" si="10"/>
        <v>0.656107</v>
      </c>
      <c r="AB47" s="38">
        <f t="shared" si="11"/>
        <v>5.2186000000000003E-2</v>
      </c>
      <c r="AC47" s="39">
        <f t="shared" si="12"/>
        <v>5.2186000000000003E-2</v>
      </c>
      <c r="AD47" s="39">
        <f t="shared" si="23"/>
        <v>5.2186000000000003E-2</v>
      </c>
      <c r="AE47" s="63">
        <v>32</v>
      </c>
      <c r="AF47" s="40">
        <v>4</v>
      </c>
      <c r="AG47" s="9">
        <f t="shared" si="14"/>
        <v>30.77</v>
      </c>
      <c r="AH47" s="11">
        <f t="shared" si="15"/>
        <v>985</v>
      </c>
      <c r="AI47" s="11">
        <f t="shared" si="16"/>
        <v>66249</v>
      </c>
      <c r="AJ47" s="11">
        <f t="shared" si="17"/>
        <v>67234</v>
      </c>
      <c r="AK47" s="36">
        <v>177216</v>
      </c>
      <c r="AL47" s="36">
        <f t="shared" si="22"/>
        <v>-109982</v>
      </c>
      <c r="AM47" s="59">
        <f t="shared" si="18"/>
        <v>67234</v>
      </c>
      <c r="AN47" s="59">
        <f t="shared" si="19"/>
        <v>-109982</v>
      </c>
      <c r="AO47" s="60">
        <f t="shared" si="20"/>
        <v>149720.5</v>
      </c>
      <c r="AP47" s="36"/>
      <c r="AQ47" s="22"/>
      <c r="AS47" s="22"/>
      <c r="AT47" s="22"/>
      <c r="AX47" s="22"/>
      <c r="AY47" s="22"/>
      <c r="AZ47" s="22"/>
      <c r="BA47" s="22"/>
      <c r="BB47" s="22"/>
    </row>
    <row r="48" spans="1:54" x14ac:dyDescent="0.25">
      <c r="A48" s="8" t="s">
        <v>153</v>
      </c>
      <c r="B48" s="8"/>
      <c r="C48" s="26"/>
      <c r="D48" s="26"/>
      <c r="E48" s="26"/>
      <c r="F48" s="1">
        <v>8</v>
      </c>
      <c r="G48" s="57">
        <v>249.96167194097006</v>
      </c>
      <c r="H48" s="8">
        <v>22</v>
      </c>
      <c r="I48" s="3" t="s">
        <v>154</v>
      </c>
      <c r="J48" s="13">
        <f t="shared" si="2"/>
        <v>0</v>
      </c>
      <c r="K48" s="62">
        <v>641.54999999999995</v>
      </c>
      <c r="L48" s="36"/>
      <c r="M48" s="35"/>
      <c r="N48" s="63">
        <v>140</v>
      </c>
      <c r="O48" s="58">
        <f t="shared" si="3"/>
        <v>0.21822149481723951</v>
      </c>
      <c r="P48" s="58">
        <f t="shared" si="4"/>
        <v>0</v>
      </c>
      <c r="Q48" s="36">
        <f t="shared" si="5"/>
        <v>0</v>
      </c>
      <c r="R48" s="36">
        <f t="shared" si="21"/>
        <v>0</v>
      </c>
      <c r="S48" s="63">
        <v>0</v>
      </c>
      <c r="T48" s="37">
        <f t="shared" si="6"/>
        <v>42</v>
      </c>
      <c r="U48" s="9">
        <f t="shared" si="7"/>
        <v>683.55</v>
      </c>
      <c r="V48" s="62">
        <v>509548036.67000002</v>
      </c>
      <c r="W48" s="63">
        <v>5089</v>
      </c>
      <c r="X48" s="18">
        <f t="shared" si="8"/>
        <v>100127.34</v>
      </c>
      <c r="Y48" s="38">
        <f t="shared" si="9"/>
        <v>0.553369</v>
      </c>
      <c r="Z48" s="63">
        <v>83862</v>
      </c>
      <c r="AA48" s="38">
        <f t="shared" si="10"/>
        <v>0.76080800000000004</v>
      </c>
      <c r="AB48" s="38">
        <f t="shared" si="11"/>
        <v>0.38439899999999999</v>
      </c>
      <c r="AC48" s="39">
        <f t="shared" si="12"/>
        <v>0.38439899999999999</v>
      </c>
      <c r="AD48" s="39">
        <f t="shared" si="23"/>
        <v>0.38439899999999999</v>
      </c>
      <c r="AE48" s="63">
        <v>0</v>
      </c>
      <c r="AF48" s="40">
        <v>0</v>
      </c>
      <c r="AG48" s="9">
        <f t="shared" si="14"/>
        <v>0</v>
      </c>
      <c r="AH48" s="11">
        <f t="shared" si="15"/>
        <v>0</v>
      </c>
      <c r="AI48" s="11">
        <f t="shared" si="16"/>
        <v>3028262</v>
      </c>
      <c r="AJ48" s="11">
        <f t="shared" si="17"/>
        <v>3028262</v>
      </c>
      <c r="AK48" s="36">
        <v>4665608</v>
      </c>
      <c r="AL48" s="36">
        <f t="shared" si="22"/>
        <v>-1637346</v>
      </c>
      <c r="AM48" s="59">
        <f t="shared" si="18"/>
        <v>3028262</v>
      </c>
      <c r="AN48" s="59">
        <f t="shared" si="19"/>
        <v>-1637346</v>
      </c>
      <c r="AO48" s="60">
        <f t="shared" si="20"/>
        <v>4256271.5</v>
      </c>
      <c r="AP48" s="36"/>
      <c r="AQ48" s="22"/>
      <c r="AS48" s="22"/>
      <c r="AT48" s="22"/>
      <c r="AX48" s="22"/>
      <c r="AY48" s="22"/>
      <c r="AZ48" s="22"/>
      <c r="BA48" s="22"/>
      <c r="BB48" s="22"/>
    </row>
    <row r="49" spans="1:54" x14ac:dyDescent="0.25">
      <c r="A49" s="8" t="s">
        <v>125</v>
      </c>
      <c r="B49" s="8"/>
      <c r="C49" s="26"/>
      <c r="D49" s="26"/>
      <c r="E49" s="26"/>
      <c r="F49" s="1">
        <v>4</v>
      </c>
      <c r="G49" s="57">
        <v>208.10505498084439</v>
      </c>
      <c r="H49" s="8">
        <v>23</v>
      </c>
      <c r="I49" s="3" t="s">
        <v>155</v>
      </c>
      <c r="J49" s="13">
        <f t="shared" si="2"/>
        <v>0</v>
      </c>
      <c r="K49" s="62">
        <v>1623.43</v>
      </c>
      <c r="L49" s="36"/>
      <c r="M49" s="35"/>
      <c r="N49" s="63">
        <v>139</v>
      </c>
      <c r="O49" s="58">
        <f t="shared" si="3"/>
        <v>8.5621184775444587E-2</v>
      </c>
      <c r="P49" s="58">
        <f t="shared" si="4"/>
        <v>0</v>
      </c>
      <c r="Q49" s="36">
        <f t="shared" si="5"/>
        <v>0</v>
      </c>
      <c r="R49" s="36">
        <f t="shared" si="21"/>
        <v>0</v>
      </c>
      <c r="S49" s="63">
        <v>9</v>
      </c>
      <c r="T49" s="37">
        <f t="shared" si="6"/>
        <v>41.7</v>
      </c>
      <c r="U49" s="9">
        <f t="shared" si="7"/>
        <v>1666.48</v>
      </c>
      <c r="V49" s="62">
        <v>1569310375</v>
      </c>
      <c r="W49" s="63">
        <v>10330</v>
      </c>
      <c r="X49" s="18">
        <f t="shared" si="8"/>
        <v>151917.75</v>
      </c>
      <c r="Y49" s="38">
        <f t="shared" si="9"/>
        <v>0.83959700000000004</v>
      </c>
      <c r="Z49" s="63">
        <v>87326</v>
      </c>
      <c r="AA49" s="38">
        <f t="shared" si="10"/>
        <v>0.79223399999999999</v>
      </c>
      <c r="AB49" s="38">
        <f t="shared" si="11"/>
        <v>0.17461199999999999</v>
      </c>
      <c r="AC49" s="39">
        <f t="shared" si="12"/>
        <v>0.17461199999999999</v>
      </c>
      <c r="AD49" s="39">
        <f t="shared" si="23"/>
        <v>0.17461199999999999</v>
      </c>
      <c r="AE49" s="63">
        <v>0</v>
      </c>
      <c r="AF49" s="40">
        <v>0</v>
      </c>
      <c r="AG49" s="9">
        <f t="shared" si="14"/>
        <v>0</v>
      </c>
      <c r="AH49" s="11">
        <f t="shared" si="15"/>
        <v>0</v>
      </c>
      <c r="AI49" s="11">
        <f t="shared" si="16"/>
        <v>3353630</v>
      </c>
      <c r="AJ49" s="11">
        <f t="shared" si="17"/>
        <v>3353630</v>
      </c>
      <c r="AK49" s="36">
        <v>3403900</v>
      </c>
      <c r="AL49" s="36">
        <f t="shared" si="22"/>
        <v>-50270</v>
      </c>
      <c r="AM49" s="59">
        <f t="shared" si="18"/>
        <v>3353630</v>
      </c>
      <c r="AN49" s="59">
        <f t="shared" si="19"/>
        <v>-50270</v>
      </c>
      <c r="AO49" s="60">
        <f t="shared" si="20"/>
        <v>3391332.5</v>
      </c>
      <c r="AP49" s="36"/>
      <c r="AQ49" s="22"/>
      <c r="AS49" s="22"/>
      <c r="AT49" s="22"/>
      <c r="AX49" s="22"/>
      <c r="AY49" s="22"/>
      <c r="AZ49" s="22"/>
      <c r="BA49" s="22"/>
      <c r="BB49" s="22"/>
    </row>
    <row r="50" spans="1:54" x14ac:dyDescent="0.25">
      <c r="A50" s="8" t="s">
        <v>129</v>
      </c>
      <c r="B50" s="8"/>
      <c r="C50" s="26"/>
      <c r="D50" s="26"/>
      <c r="E50" s="26"/>
      <c r="F50" s="1">
        <v>9</v>
      </c>
      <c r="G50" s="61">
        <v>276.20394862098044</v>
      </c>
      <c r="H50" s="8">
        <v>24</v>
      </c>
      <c r="I50" s="3" t="s">
        <v>156</v>
      </c>
      <c r="J50" s="13">
        <f t="shared" si="2"/>
        <v>0</v>
      </c>
      <c r="K50" s="62">
        <v>263.18</v>
      </c>
      <c r="L50" s="36"/>
      <c r="M50" s="35"/>
      <c r="N50" s="63">
        <v>104</v>
      </c>
      <c r="O50" s="58">
        <f t="shared" si="3"/>
        <v>0.39516680598829695</v>
      </c>
      <c r="P50" s="58">
        <f t="shared" si="4"/>
        <v>0</v>
      </c>
      <c r="Q50" s="36">
        <f t="shared" si="5"/>
        <v>0</v>
      </c>
      <c r="R50" s="36">
        <f t="shared" si="21"/>
        <v>0</v>
      </c>
      <c r="S50" s="63">
        <v>1</v>
      </c>
      <c r="T50" s="37">
        <f t="shared" si="6"/>
        <v>31.2</v>
      </c>
      <c r="U50" s="9">
        <f t="shared" si="7"/>
        <v>294.52999999999997</v>
      </c>
      <c r="V50" s="62">
        <v>223844599.33000001</v>
      </c>
      <c r="W50" s="63">
        <v>2255</v>
      </c>
      <c r="X50" s="18">
        <f t="shared" si="8"/>
        <v>99265.9</v>
      </c>
      <c r="Y50" s="38">
        <f t="shared" si="9"/>
        <v>0.54860799999999998</v>
      </c>
      <c r="Z50" s="63">
        <v>67054</v>
      </c>
      <c r="AA50" s="38">
        <f t="shared" si="10"/>
        <v>0.60832399999999998</v>
      </c>
      <c r="AB50" s="38">
        <f t="shared" si="11"/>
        <v>0.433477</v>
      </c>
      <c r="AC50" s="39">
        <f t="shared" si="12"/>
        <v>0.433477</v>
      </c>
      <c r="AD50" s="39">
        <f t="shared" si="23"/>
        <v>0.433477</v>
      </c>
      <c r="AE50" s="63">
        <v>105</v>
      </c>
      <c r="AF50" s="40">
        <v>6</v>
      </c>
      <c r="AG50" s="9">
        <f t="shared" si="14"/>
        <v>46.15</v>
      </c>
      <c r="AH50" s="11">
        <f t="shared" si="15"/>
        <v>4846</v>
      </c>
      <c r="AI50" s="11">
        <f t="shared" si="16"/>
        <v>1471420</v>
      </c>
      <c r="AJ50" s="11">
        <f t="shared" si="17"/>
        <v>1476266</v>
      </c>
      <c r="AK50" s="36">
        <v>1856992</v>
      </c>
      <c r="AL50" s="36">
        <f t="shared" si="22"/>
        <v>-380726</v>
      </c>
      <c r="AM50" s="59">
        <f t="shared" si="18"/>
        <v>1476266</v>
      </c>
      <c r="AN50" s="59">
        <f t="shared" si="19"/>
        <v>-380726</v>
      </c>
      <c r="AO50" s="60">
        <f t="shared" si="20"/>
        <v>1761810.5</v>
      </c>
      <c r="AP50" s="36"/>
      <c r="AQ50" s="22"/>
      <c r="AS50" s="22"/>
      <c r="AT50" s="22"/>
      <c r="AX50" s="22"/>
      <c r="AY50" s="22"/>
      <c r="AZ50" s="22"/>
      <c r="BA50" s="22"/>
      <c r="BB50" s="22"/>
    </row>
    <row r="51" spans="1:54" x14ac:dyDescent="0.25">
      <c r="A51" s="8" t="s">
        <v>131</v>
      </c>
      <c r="B51" s="8"/>
      <c r="C51" s="26"/>
      <c r="D51" s="26"/>
      <c r="E51" s="26"/>
      <c r="F51" s="1">
        <v>4</v>
      </c>
      <c r="G51" s="57">
        <v>208.99028452022208</v>
      </c>
      <c r="H51" s="8">
        <v>25</v>
      </c>
      <c r="I51" s="3" t="s">
        <v>157</v>
      </c>
      <c r="J51" s="13">
        <f t="shared" si="2"/>
        <v>0</v>
      </c>
      <c r="K51" s="62">
        <v>4248.97</v>
      </c>
      <c r="L51" s="36"/>
      <c r="M51" s="35"/>
      <c r="N51" s="63">
        <v>348</v>
      </c>
      <c r="O51" s="58">
        <f t="shared" si="3"/>
        <v>8.19022021807638E-2</v>
      </c>
      <c r="P51" s="58">
        <f t="shared" si="4"/>
        <v>0</v>
      </c>
      <c r="Q51" s="36">
        <f t="shared" si="5"/>
        <v>0</v>
      </c>
      <c r="R51" s="36">
        <f t="shared" si="21"/>
        <v>0</v>
      </c>
      <c r="S51" s="63">
        <v>50</v>
      </c>
      <c r="T51" s="37">
        <f t="shared" si="6"/>
        <v>104.4</v>
      </c>
      <c r="U51" s="9">
        <f t="shared" si="7"/>
        <v>4360.87</v>
      </c>
      <c r="V51" s="62">
        <v>4007317126</v>
      </c>
      <c r="W51" s="63">
        <v>29262</v>
      </c>
      <c r="X51" s="18">
        <f t="shared" si="8"/>
        <v>136946.10999999999</v>
      </c>
      <c r="Y51" s="38">
        <f t="shared" si="9"/>
        <v>0.75685400000000003</v>
      </c>
      <c r="Z51" s="63">
        <v>106489</v>
      </c>
      <c r="AA51" s="38">
        <f t="shared" si="10"/>
        <v>0.96608400000000005</v>
      </c>
      <c r="AB51" s="38">
        <f t="shared" si="11"/>
        <v>0.18037700000000001</v>
      </c>
      <c r="AC51" s="39">
        <f t="shared" si="12"/>
        <v>0.18037700000000001</v>
      </c>
      <c r="AD51" s="39">
        <f t="shared" si="23"/>
        <v>0.18037700000000001</v>
      </c>
      <c r="AE51" s="63">
        <v>0</v>
      </c>
      <c r="AF51" s="40">
        <v>0</v>
      </c>
      <c r="AG51" s="9">
        <f t="shared" si="14"/>
        <v>0</v>
      </c>
      <c r="AH51" s="11">
        <f t="shared" si="15"/>
        <v>0</v>
      </c>
      <c r="AI51" s="11">
        <f t="shared" si="16"/>
        <v>9065572</v>
      </c>
      <c r="AJ51" s="11">
        <f t="shared" si="17"/>
        <v>9065572</v>
      </c>
      <c r="AK51" s="36">
        <v>9436665</v>
      </c>
      <c r="AL51" s="36">
        <f t="shared" si="22"/>
        <v>-371093</v>
      </c>
      <c r="AM51" s="59">
        <f t="shared" si="18"/>
        <v>9065572</v>
      </c>
      <c r="AN51" s="59">
        <f t="shared" si="19"/>
        <v>-371093</v>
      </c>
      <c r="AO51" s="60">
        <f t="shared" si="20"/>
        <v>9343891.75</v>
      </c>
      <c r="AP51" s="36"/>
      <c r="AQ51" s="22"/>
      <c r="AS51" s="22"/>
      <c r="AT51" s="22"/>
      <c r="AX51" s="22"/>
      <c r="AY51" s="22"/>
      <c r="AZ51" s="22"/>
      <c r="BA51" s="22"/>
      <c r="BB51" s="22"/>
    </row>
    <row r="52" spans="1:54" x14ac:dyDescent="0.25">
      <c r="A52" s="8" t="s">
        <v>129</v>
      </c>
      <c r="B52" s="8"/>
      <c r="C52" s="26"/>
      <c r="D52" s="26"/>
      <c r="E52" s="26"/>
      <c r="F52" s="1">
        <v>4</v>
      </c>
      <c r="G52" s="57">
        <v>198.97598519713952</v>
      </c>
      <c r="H52" s="8">
        <v>26</v>
      </c>
      <c r="I52" s="3" t="s">
        <v>158</v>
      </c>
      <c r="J52" s="13">
        <f t="shared" si="2"/>
        <v>0</v>
      </c>
      <c r="K52" s="62">
        <v>432.2</v>
      </c>
      <c r="L52" s="36"/>
      <c r="M52" s="35"/>
      <c r="N52" s="63">
        <v>60</v>
      </c>
      <c r="O52" s="58">
        <f t="shared" si="3"/>
        <v>0.13882461823229986</v>
      </c>
      <c r="P52" s="58">
        <f t="shared" si="4"/>
        <v>0</v>
      </c>
      <c r="Q52" s="36">
        <f t="shared" si="5"/>
        <v>0</v>
      </c>
      <c r="R52" s="36">
        <f t="shared" si="21"/>
        <v>0</v>
      </c>
      <c r="S52" s="63">
        <v>5</v>
      </c>
      <c r="T52" s="37">
        <f t="shared" si="6"/>
        <v>18</v>
      </c>
      <c r="U52" s="9">
        <f t="shared" si="7"/>
        <v>450.95</v>
      </c>
      <c r="V52" s="62">
        <v>630929432.33000004</v>
      </c>
      <c r="W52" s="63">
        <v>4277</v>
      </c>
      <c r="X52" s="18">
        <f t="shared" si="8"/>
        <v>147516.82</v>
      </c>
      <c r="Y52" s="38">
        <f t="shared" si="9"/>
        <v>0.81527499999999997</v>
      </c>
      <c r="Z52" s="63">
        <v>78750</v>
      </c>
      <c r="AA52" s="38">
        <f t="shared" si="10"/>
        <v>0.71443199999999996</v>
      </c>
      <c r="AB52" s="38">
        <f t="shared" si="11"/>
        <v>0.214978</v>
      </c>
      <c r="AC52" s="39">
        <f t="shared" si="12"/>
        <v>0.214978</v>
      </c>
      <c r="AD52" s="39">
        <f t="shared" si="23"/>
        <v>0.214978</v>
      </c>
      <c r="AE52" s="63">
        <v>220</v>
      </c>
      <c r="AF52" s="40">
        <v>6</v>
      </c>
      <c r="AG52" s="9">
        <f t="shared" si="14"/>
        <v>46.15</v>
      </c>
      <c r="AH52" s="11">
        <f t="shared" si="15"/>
        <v>10153</v>
      </c>
      <c r="AI52" s="11">
        <f t="shared" si="16"/>
        <v>1117283</v>
      </c>
      <c r="AJ52" s="11">
        <f t="shared" si="17"/>
        <v>1127436</v>
      </c>
      <c r="AK52" s="36">
        <v>659216</v>
      </c>
      <c r="AL52" s="36">
        <f t="shared" si="22"/>
        <v>468220</v>
      </c>
      <c r="AM52" s="59">
        <f t="shared" si="18"/>
        <v>1127436</v>
      </c>
      <c r="AN52" s="59">
        <f t="shared" si="19"/>
        <v>468220</v>
      </c>
      <c r="AO52" s="60">
        <f t="shared" si="20"/>
        <v>678413.02</v>
      </c>
      <c r="AP52" s="36"/>
      <c r="AQ52" s="22"/>
      <c r="AS52" s="22"/>
      <c r="AT52" s="22"/>
      <c r="AX52" s="22"/>
      <c r="AY52" s="22"/>
      <c r="AZ52" s="22"/>
      <c r="BA52" s="22"/>
      <c r="BB52" s="22"/>
    </row>
    <row r="53" spans="1:54" x14ac:dyDescent="0.25">
      <c r="A53" s="8" t="s">
        <v>135</v>
      </c>
      <c r="B53" s="8"/>
      <c r="C53" s="26"/>
      <c r="D53" s="26"/>
      <c r="E53" s="26"/>
      <c r="F53" s="1">
        <v>5</v>
      </c>
      <c r="G53" s="57">
        <v>221.76321277631351</v>
      </c>
      <c r="H53" s="8">
        <v>27</v>
      </c>
      <c r="I53" s="3" t="s">
        <v>159</v>
      </c>
      <c r="J53" s="13">
        <f t="shared" si="2"/>
        <v>0</v>
      </c>
      <c r="K53" s="62">
        <v>1773.65</v>
      </c>
      <c r="L53" s="36"/>
      <c r="M53" s="35"/>
      <c r="N53" s="63">
        <v>422</v>
      </c>
      <c r="O53" s="58">
        <f t="shared" si="3"/>
        <v>0.2379274377695712</v>
      </c>
      <c r="P53" s="58">
        <f t="shared" si="4"/>
        <v>0</v>
      </c>
      <c r="Q53" s="36">
        <f t="shared" si="5"/>
        <v>0</v>
      </c>
      <c r="R53" s="36">
        <f t="shared" si="21"/>
        <v>0</v>
      </c>
      <c r="S53" s="63">
        <v>84</v>
      </c>
      <c r="T53" s="37">
        <f t="shared" si="6"/>
        <v>126.6</v>
      </c>
      <c r="U53" s="9">
        <f t="shared" si="7"/>
        <v>1912.85</v>
      </c>
      <c r="V53" s="62">
        <v>2142034445.3299999</v>
      </c>
      <c r="W53" s="63">
        <v>13047</v>
      </c>
      <c r="X53" s="18">
        <f t="shared" si="8"/>
        <v>164178.31</v>
      </c>
      <c r="Y53" s="38">
        <f t="shared" si="9"/>
        <v>0.90735699999999997</v>
      </c>
      <c r="Z53" s="63">
        <v>71455</v>
      </c>
      <c r="AA53" s="38">
        <f t="shared" si="10"/>
        <v>0.64824999999999999</v>
      </c>
      <c r="AB53" s="38">
        <f t="shared" si="11"/>
        <v>0.170375</v>
      </c>
      <c r="AC53" s="39">
        <f t="shared" si="12"/>
        <v>0.170375</v>
      </c>
      <c r="AD53" s="39">
        <f t="shared" si="23"/>
        <v>0.170375</v>
      </c>
      <c r="AE53" s="63">
        <v>0</v>
      </c>
      <c r="AF53" s="40">
        <v>0</v>
      </c>
      <c r="AG53" s="9">
        <f t="shared" si="14"/>
        <v>0</v>
      </c>
      <c r="AH53" s="11">
        <f t="shared" si="15"/>
        <v>0</v>
      </c>
      <c r="AI53" s="11">
        <f t="shared" si="16"/>
        <v>3756018</v>
      </c>
      <c r="AJ53" s="11">
        <f t="shared" si="17"/>
        <v>3756018</v>
      </c>
      <c r="AK53" s="36">
        <v>6326998</v>
      </c>
      <c r="AL53" s="36">
        <f t="shared" si="22"/>
        <v>-2570980</v>
      </c>
      <c r="AM53" s="59">
        <f t="shared" si="18"/>
        <v>3756018</v>
      </c>
      <c r="AN53" s="59">
        <f t="shared" si="19"/>
        <v>-2570980</v>
      </c>
      <c r="AO53" s="60">
        <f t="shared" si="20"/>
        <v>5684253</v>
      </c>
      <c r="AP53" s="36"/>
      <c r="AQ53" s="22"/>
      <c r="AS53" s="22"/>
      <c r="AT53" s="22"/>
      <c r="AX53" s="22"/>
      <c r="AY53" s="22"/>
      <c r="AZ53" s="22"/>
      <c r="BA53" s="22"/>
      <c r="BB53" s="22"/>
    </row>
    <row r="54" spans="1:54" x14ac:dyDescent="0.25">
      <c r="A54" s="8" t="s">
        <v>135</v>
      </c>
      <c r="B54" s="8"/>
      <c r="C54" s="26"/>
      <c r="D54" s="26"/>
      <c r="E54" s="26"/>
      <c r="F54" s="1">
        <v>6</v>
      </c>
      <c r="G54" s="57">
        <v>236.91334084742684</v>
      </c>
      <c r="H54" s="8">
        <v>28</v>
      </c>
      <c r="I54" s="3" t="s">
        <v>160</v>
      </c>
      <c r="J54" s="13">
        <f t="shared" si="2"/>
        <v>0</v>
      </c>
      <c r="K54" s="62">
        <v>2547.56</v>
      </c>
      <c r="L54" s="36"/>
      <c r="M54" s="35"/>
      <c r="N54" s="63">
        <v>416</v>
      </c>
      <c r="O54" s="58">
        <f t="shared" si="3"/>
        <v>0.16329350437281165</v>
      </c>
      <c r="P54" s="58">
        <f t="shared" si="4"/>
        <v>0</v>
      </c>
      <c r="Q54" s="36">
        <f t="shared" si="5"/>
        <v>0</v>
      </c>
      <c r="R54" s="36">
        <f t="shared" si="21"/>
        <v>0</v>
      </c>
      <c r="S54" s="63">
        <v>14</v>
      </c>
      <c r="T54" s="37">
        <f t="shared" si="6"/>
        <v>124.8</v>
      </c>
      <c r="U54" s="9">
        <f t="shared" si="7"/>
        <v>2674.46</v>
      </c>
      <c r="V54" s="62">
        <v>1689116305</v>
      </c>
      <c r="W54" s="63">
        <v>16130</v>
      </c>
      <c r="X54" s="18">
        <f t="shared" si="8"/>
        <v>104718.93</v>
      </c>
      <c r="Y54" s="38">
        <f t="shared" si="9"/>
        <v>0.57874499999999995</v>
      </c>
      <c r="Z54" s="63">
        <v>97313</v>
      </c>
      <c r="AA54" s="38">
        <f t="shared" si="10"/>
        <v>0.88283800000000001</v>
      </c>
      <c r="AB54" s="38">
        <f t="shared" si="11"/>
        <v>0.33002700000000001</v>
      </c>
      <c r="AC54" s="39">
        <f t="shared" si="12"/>
        <v>0.33002700000000001</v>
      </c>
      <c r="AD54" s="39">
        <f t="shared" si="23"/>
        <v>0.33002700000000001</v>
      </c>
      <c r="AE54" s="63">
        <v>0</v>
      </c>
      <c r="AF54" s="40">
        <v>0</v>
      </c>
      <c r="AG54" s="9">
        <f t="shared" si="14"/>
        <v>0</v>
      </c>
      <c r="AH54" s="11">
        <f t="shared" si="15"/>
        <v>0</v>
      </c>
      <c r="AI54" s="11">
        <f t="shared" si="16"/>
        <v>10172472</v>
      </c>
      <c r="AJ54" s="11">
        <f t="shared" si="17"/>
        <v>10172472</v>
      </c>
      <c r="AK54" s="36">
        <v>13503310</v>
      </c>
      <c r="AL54" s="36">
        <f t="shared" si="22"/>
        <v>-3330838</v>
      </c>
      <c r="AM54" s="59">
        <f t="shared" si="18"/>
        <v>10172472</v>
      </c>
      <c r="AN54" s="59">
        <f t="shared" si="19"/>
        <v>-3330838</v>
      </c>
      <c r="AO54" s="60">
        <f t="shared" si="20"/>
        <v>12670600.5</v>
      </c>
      <c r="AP54" s="36"/>
      <c r="AQ54" s="22"/>
      <c r="AS54" s="22"/>
      <c r="AT54" s="22"/>
      <c r="AX54" s="22"/>
      <c r="AY54" s="22"/>
      <c r="AZ54" s="22"/>
      <c r="BA54" s="22"/>
      <c r="BB54" s="22"/>
    </row>
    <row r="55" spans="1:54" x14ac:dyDescent="0.25">
      <c r="A55" s="8" t="s">
        <v>129</v>
      </c>
      <c r="B55" s="8"/>
      <c r="C55" s="26"/>
      <c r="D55" s="26"/>
      <c r="E55" s="26"/>
      <c r="F55" s="1">
        <v>5</v>
      </c>
      <c r="G55" s="57">
        <v>234.06979728996095</v>
      </c>
      <c r="H55" s="8">
        <v>29</v>
      </c>
      <c r="I55" s="3" t="s">
        <v>161</v>
      </c>
      <c r="J55" s="13">
        <f t="shared" si="2"/>
        <v>0</v>
      </c>
      <c r="K55" s="62">
        <v>192.25</v>
      </c>
      <c r="L55" s="36"/>
      <c r="M55" s="35"/>
      <c r="N55" s="63">
        <v>37</v>
      </c>
      <c r="O55" s="58">
        <f t="shared" si="3"/>
        <v>0.19245773732119636</v>
      </c>
      <c r="P55" s="58">
        <f t="shared" si="4"/>
        <v>0</v>
      </c>
      <c r="Q55" s="36">
        <f t="shared" si="5"/>
        <v>0</v>
      </c>
      <c r="R55" s="36">
        <f t="shared" si="21"/>
        <v>0</v>
      </c>
      <c r="S55" s="63">
        <v>0</v>
      </c>
      <c r="T55" s="37">
        <f t="shared" si="6"/>
        <v>11.1</v>
      </c>
      <c r="U55" s="9">
        <f t="shared" si="7"/>
        <v>203.35</v>
      </c>
      <c r="V55" s="62">
        <v>241511566.33000001</v>
      </c>
      <c r="W55" s="63">
        <v>1436</v>
      </c>
      <c r="X55" s="18">
        <f t="shared" si="8"/>
        <v>168183.54</v>
      </c>
      <c r="Y55" s="38">
        <f t="shared" si="9"/>
        <v>0.92949199999999998</v>
      </c>
      <c r="Z55" s="63">
        <v>81172</v>
      </c>
      <c r="AA55" s="38">
        <f t="shared" si="10"/>
        <v>0.73640399999999995</v>
      </c>
      <c r="AB55" s="38">
        <f t="shared" si="11"/>
        <v>0.12843399999999999</v>
      </c>
      <c r="AC55" s="39">
        <f t="shared" si="12"/>
        <v>0.12843399999999999</v>
      </c>
      <c r="AD55" s="39">
        <f t="shared" si="23"/>
        <v>0.12843399999999999</v>
      </c>
      <c r="AE55" s="63">
        <v>99</v>
      </c>
      <c r="AF55" s="40">
        <v>6</v>
      </c>
      <c r="AG55" s="9">
        <f t="shared" si="14"/>
        <v>46.15</v>
      </c>
      <c r="AH55" s="11">
        <f t="shared" si="15"/>
        <v>4569</v>
      </c>
      <c r="AI55" s="11">
        <f t="shared" si="16"/>
        <v>300999</v>
      </c>
      <c r="AJ55" s="11">
        <f t="shared" si="17"/>
        <v>305568</v>
      </c>
      <c r="AK55" s="36">
        <v>491388</v>
      </c>
      <c r="AL55" s="36">
        <f t="shared" si="22"/>
        <v>-185820</v>
      </c>
      <c r="AM55" s="59">
        <f t="shared" si="18"/>
        <v>305568</v>
      </c>
      <c r="AN55" s="59">
        <f t="shared" si="19"/>
        <v>-185820</v>
      </c>
      <c r="AO55" s="60">
        <f t="shared" si="20"/>
        <v>444933</v>
      </c>
      <c r="AP55" s="36"/>
      <c r="AQ55" s="22"/>
      <c r="AS55" s="22"/>
      <c r="AT55" s="22"/>
      <c r="AX55" s="22"/>
      <c r="AY55" s="22"/>
      <c r="AZ55" s="22"/>
      <c r="BA55" s="22"/>
      <c r="BB55" s="22"/>
    </row>
    <row r="56" spans="1:54" x14ac:dyDescent="0.25">
      <c r="A56" s="8" t="s">
        <v>125</v>
      </c>
      <c r="B56" s="8"/>
      <c r="C56" s="26"/>
      <c r="D56" s="26"/>
      <c r="E56" s="26"/>
      <c r="F56" s="1">
        <v>6</v>
      </c>
      <c r="G56" s="57">
        <v>223.70836667090558</v>
      </c>
      <c r="H56" s="8">
        <v>30</v>
      </c>
      <c r="I56" s="3" t="s">
        <v>162</v>
      </c>
      <c r="J56" s="13">
        <f t="shared" si="2"/>
        <v>0</v>
      </c>
      <c r="K56" s="62">
        <v>693.99</v>
      </c>
      <c r="L56" s="36"/>
      <c r="M56" s="35"/>
      <c r="N56" s="63">
        <v>99</v>
      </c>
      <c r="O56" s="58">
        <f t="shared" si="3"/>
        <v>0.14265335235378032</v>
      </c>
      <c r="P56" s="58">
        <f t="shared" si="4"/>
        <v>0</v>
      </c>
      <c r="Q56" s="36">
        <f t="shared" si="5"/>
        <v>0</v>
      </c>
      <c r="R56" s="36">
        <f t="shared" si="21"/>
        <v>0</v>
      </c>
      <c r="S56" s="63">
        <v>3</v>
      </c>
      <c r="T56" s="37">
        <f t="shared" si="6"/>
        <v>29.7</v>
      </c>
      <c r="U56" s="9">
        <f t="shared" si="7"/>
        <v>724.1400000000001</v>
      </c>
      <c r="V56" s="62">
        <v>712715094.66999996</v>
      </c>
      <c r="W56" s="63">
        <v>5434</v>
      </c>
      <c r="X56" s="18">
        <f t="shared" si="8"/>
        <v>131158.46</v>
      </c>
      <c r="Y56" s="38">
        <f t="shared" si="9"/>
        <v>0.72486799999999996</v>
      </c>
      <c r="Z56" s="63">
        <v>89986</v>
      </c>
      <c r="AA56" s="38">
        <f t="shared" si="10"/>
        <v>0.81636600000000004</v>
      </c>
      <c r="AB56" s="38">
        <f t="shared" si="11"/>
        <v>0.24768299999999999</v>
      </c>
      <c r="AC56" s="39">
        <f t="shared" si="12"/>
        <v>0.24768299999999999</v>
      </c>
      <c r="AD56" s="39">
        <f t="shared" si="23"/>
        <v>0.24768299999999999</v>
      </c>
      <c r="AE56" s="63">
        <v>0</v>
      </c>
      <c r="AF56" s="40">
        <v>0</v>
      </c>
      <c r="AG56" s="9">
        <f t="shared" si="14"/>
        <v>0</v>
      </c>
      <c r="AH56" s="11">
        <f t="shared" si="15"/>
        <v>0</v>
      </c>
      <c r="AI56" s="11">
        <f t="shared" si="16"/>
        <v>2067091</v>
      </c>
      <c r="AJ56" s="11">
        <f t="shared" si="17"/>
        <v>2067091</v>
      </c>
      <c r="AK56" s="36">
        <v>2523462</v>
      </c>
      <c r="AL56" s="36">
        <f t="shared" si="22"/>
        <v>-456371</v>
      </c>
      <c r="AM56" s="59">
        <f t="shared" si="18"/>
        <v>2067091</v>
      </c>
      <c r="AN56" s="59">
        <f t="shared" si="19"/>
        <v>-456371</v>
      </c>
      <c r="AO56" s="60">
        <f t="shared" si="20"/>
        <v>2409369.25</v>
      </c>
      <c r="AP56" s="36"/>
      <c r="AQ56" s="22"/>
      <c r="AS56" s="22"/>
      <c r="AT56" s="22"/>
      <c r="AX56" s="22"/>
      <c r="AY56" s="22"/>
      <c r="AZ56" s="22"/>
      <c r="BA56" s="22"/>
      <c r="BB56" s="22"/>
    </row>
    <row r="57" spans="1:54" x14ac:dyDescent="0.25">
      <c r="A57" s="8" t="s">
        <v>125</v>
      </c>
      <c r="B57" s="8"/>
      <c r="C57" s="26"/>
      <c r="D57" s="26"/>
      <c r="E57" s="26"/>
      <c r="F57" s="1">
        <v>1</v>
      </c>
      <c r="G57" s="57">
        <v>162.02532784505624</v>
      </c>
      <c r="H57" s="8">
        <v>31</v>
      </c>
      <c r="I57" s="3" t="s">
        <v>163</v>
      </c>
      <c r="J57" s="13">
        <f t="shared" si="2"/>
        <v>0</v>
      </c>
      <c r="K57" s="62">
        <v>118.8</v>
      </c>
      <c r="L57" s="36"/>
      <c r="M57" s="35"/>
      <c r="N57" s="63">
        <v>16</v>
      </c>
      <c r="O57" s="58">
        <f t="shared" si="3"/>
        <v>0.13468013468013468</v>
      </c>
      <c r="P57" s="58">
        <f t="shared" si="4"/>
        <v>0</v>
      </c>
      <c r="Q57" s="36">
        <f t="shared" si="5"/>
        <v>0</v>
      </c>
      <c r="R57" s="36">
        <f t="shared" si="21"/>
        <v>0</v>
      </c>
      <c r="S57" s="63">
        <v>3</v>
      </c>
      <c r="T57" s="37">
        <f t="shared" si="6"/>
        <v>4.8</v>
      </c>
      <c r="U57" s="9">
        <f t="shared" si="7"/>
        <v>124.05</v>
      </c>
      <c r="V57" s="62">
        <v>510395102.67000002</v>
      </c>
      <c r="W57" s="63">
        <v>1387</v>
      </c>
      <c r="X57" s="18">
        <f t="shared" si="8"/>
        <v>367984.93</v>
      </c>
      <c r="Y57" s="38">
        <f t="shared" si="9"/>
        <v>2.0337260000000001</v>
      </c>
      <c r="Z57" s="63">
        <v>75833</v>
      </c>
      <c r="AA57" s="38">
        <f t="shared" si="10"/>
        <v>0.68796800000000002</v>
      </c>
      <c r="AB57" s="38">
        <f t="shared" si="11"/>
        <v>-0.62999899999999998</v>
      </c>
      <c r="AC57" s="39">
        <f t="shared" si="12"/>
        <v>0.01</v>
      </c>
      <c r="AD57" s="39">
        <f t="shared" si="23"/>
        <v>0.01</v>
      </c>
      <c r="AE57" s="63">
        <v>48</v>
      </c>
      <c r="AF57" s="40">
        <v>4</v>
      </c>
      <c r="AG57" s="9">
        <f t="shared" si="14"/>
        <v>30.77</v>
      </c>
      <c r="AH57" s="11">
        <f t="shared" si="15"/>
        <v>1477</v>
      </c>
      <c r="AI57" s="11">
        <f t="shared" si="16"/>
        <v>14297</v>
      </c>
      <c r="AJ57" s="11">
        <f t="shared" si="17"/>
        <v>15774</v>
      </c>
      <c r="AK57" s="36">
        <v>6976</v>
      </c>
      <c r="AL57" s="36">
        <f t="shared" si="22"/>
        <v>8798</v>
      </c>
      <c r="AM57" s="59">
        <f t="shared" si="18"/>
        <v>15774</v>
      </c>
      <c r="AN57" s="59">
        <f t="shared" si="19"/>
        <v>8798</v>
      </c>
      <c r="AO57" s="60">
        <f t="shared" si="20"/>
        <v>7336.7179999999998</v>
      </c>
      <c r="AP57" s="36"/>
      <c r="AQ57" s="22"/>
      <c r="AS57" s="22"/>
      <c r="AT57" s="22"/>
      <c r="AX57" s="22"/>
      <c r="AY57" s="22"/>
      <c r="AZ57" s="22"/>
      <c r="BA57" s="22"/>
      <c r="BB57" s="22"/>
    </row>
    <row r="58" spans="1:54" x14ac:dyDescent="0.25">
      <c r="A58" s="8" t="s">
        <v>129</v>
      </c>
      <c r="B58" s="8"/>
      <c r="C58" s="26"/>
      <c r="D58" s="26"/>
      <c r="E58" s="26"/>
      <c r="F58" s="1">
        <v>7</v>
      </c>
      <c r="G58" s="57">
        <v>231.90035768159922</v>
      </c>
      <c r="H58" s="8">
        <v>32</v>
      </c>
      <c r="I58" s="3" t="s">
        <v>164</v>
      </c>
      <c r="J58" s="13">
        <f t="shared" si="2"/>
        <v>0</v>
      </c>
      <c r="K58" s="62">
        <v>1713.25</v>
      </c>
      <c r="L58" s="36"/>
      <c r="M58" s="35"/>
      <c r="N58" s="63">
        <v>327</v>
      </c>
      <c r="O58" s="58">
        <f t="shared" si="3"/>
        <v>0.19086531446082008</v>
      </c>
      <c r="P58" s="58">
        <f t="shared" si="4"/>
        <v>0</v>
      </c>
      <c r="Q58" s="36">
        <f t="shared" si="5"/>
        <v>0</v>
      </c>
      <c r="R58" s="36">
        <f t="shared" si="21"/>
        <v>0</v>
      </c>
      <c r="S58" s="63">
        <v>8</v>
      </c>
      <c r="T58" s="37">
        <f t="shared" si="6"/>
        <v>98.1</v>
      </c>
      <c r="U58" s="9">
        <f t="shared" si="7"/>
        <v>1812.55</v>
      </c>
      <c r="V58" s="62">
        <v>1377856135</v>
      </c>
      <c r="W58" s="63">
        <v>12438</v>
      </c>
      <c r="X58" s="18">
        <f t="shared" si="8"/>
        <v>110777.95</v>
      </c>
      <c r="Y58" s="38">
        <f t="shared" si="9"/>
        <v>0.61223099999999997</v>
      </c>
      <c r="Z58" s="63">
        <v>90309</v>
      </c>
      <c r="AA58" s="38">
        <f t="shared" si="10"/>
        <v>0.81929600000000002</v>
      </c>
      <c r="AB58" s="38">
        <f t="shared" si="11"/>
        <v>0.32565</v>
      </c>
      <c r="AC58" s="39">
        <f t="shared" si="12"/>
        <v>0.32565</v>
      </c>
      <c r="AD58" s="39">
        <f t="shared" si="23"/>
        <v>0.32565</v>
      </c>
      <c r="AE58" s="63">
        <v>0</v>
      </c>
      <c r="AF58" s="40">
        <v>0</v>
      </c>
      <c r="AG58" s="9">
        <f t="shared" si="14"/>
        <v>0</v>
      </c>
      <c r="AH58" s="11">
        <f t="shared" si="15"/>
        <v>0</v>
      </c>
      <c r="AI58" s="11">
        <f t="shared" si="16"/>
        <v>6802711</v>
      </c>
      <c r="AJ58" s="11">
        <f t="shared" si="17"/>
        <v>6802711</v>
      </c>
      <c r="AK58" s="36">
        <v>8756165</v>
      </c>
      <c r="AL58" s="36">
        <f t="shared" si="22"/>
        <v>-1953454</v>
      </c>
      <c r="AM58" s="59">
        <f t="shared" si="18"/>
        <v>6802711</v>
      </c>
      <c r="AN58" s="59">
        <f t="shared" si="19"/>
        <v>-1953454</v>
      </c>
      <c r="AO58" s="60">
        <f t="shared" si="20"/>
        <v>8267801.5</v>
      </c>
      <c r="AP58" s="36"/>
      <c r="AQ58" s="22"/>
      <c r="AS58" s="22"/>
      <c r="AT58" s="22"/>
      <c r="AX58" s="22"/>
      <c r="AY58" s="22"/>
      <c r="AZ58" s="22"/>
      <c r="BA58" s="22"/>
      <c r="BB58" s="22"/>
    </row>
    <row r="59" spans="1:54" x14ac:dyDescent="0.25">
      <c r="A59" s="8" t="s">
        <v>135</v>
      </c>
      <c r="B59" s="8"/>
      <c r="C59" s="26"/>
      <c r="D59" s="26"/>
      <c r="E59" s="26"/>
      <c r="F59" s="1">
        <v>6</v>
      </c>
      <c r="G59" s="57">
        <v>236.73416368599047</v>
      </c>
      <c r="H59" s="8">
        <v>33</v>
      </c>
      <c r="I59" s="3" t="s">
        <v>165</v>
      </c>
      <c r="J59" s="13">
        <f t="shared" si="2"/>
        <v>0</v>
      </c>
      <c r="K59" s="62">
        <v>2026.59</v>
      </c>
      <c r="L59" s="36"/>
      <c r="M59" s="35"/>
      <c r="N59" s="63">
        <v>322</v>
      </c>
      <c r="O59" s="58">
        <f t="shared" si="3"/>
        <v>0.15888758949762902</v>
      </c>
      <c r="P59" s="58">
        <f t="shared" si="4"/>
        <v>0</v>
      </c>
      <c r="Q59" s="36">
        <f t="shared" si="5"/>
        <v>0</v>
      </c>
      <c r="R59" s="36">
        <f t="shared" si="21"/>
        <v>0</v>
      </c>
      <c r="S59" s="63">
        <v>73</v>
      </c>
      <c r="T59" s="37">
        <f t="shared" ref="T59:T90" si="24">ROUND(N59*$T$2,2)</f>
        <v>96.6</v>
      </c>
      <c r="U59" s="9">
        <f t="shared" ref="U59:U90" si="25">K59+T59+0.15*S59+0.05*Q59</f>
        <v>2134.14</v>
      </c>
      <c r="V59" s="62">
        <v>1940506339.3299999</v>
      </c>
      <c r="W59" s="63">
        <v>14034</v>
      </c>
      <c r="X59" s="18">
        <f t="shared" si="8"/>
        <v>138271.79</v>
      </c>
      <c r="Y59" s="38">
        <f t="shared" si="9"/>
        <v>0.76417999999999997</v>
      </c>
      <c r="Z59" s="63">
        <v>82081</v>
      </c>
      <c r="AA59" s="38">
        <f t="shared" si="10"/>
        <v>0.74465099999999995</v>
      </c>
      <c r="AB59" s="38">
        <f t="shared" si="11"/>
        <v>0.241679</v>
      </c>
      <c r="AC59" s="39">
        <f t="shared" ref="AC59:AC90" si="26">IF(C59=1,MAX($T$7,AB59),MAX($T$6,AB59))</f>
        <v>0.241679</v>
      </c>
      <c r="AD59" s="39">
        <f t="shared" si="23"/>
        <v>0.241679</v>
      </c>
      <c r="AE59" s="63">
        <v>0</v>
      </c>
      <c r="AF59" s="40">
        <v>0</v>
      </c>
      <c r="AG59" s="9">
        <f t="shared" si="14"/>
        <v>0</v>
      </c>
      <c r="AH59" s="11">
        <f t="shared" si="15"/>
        <v>0</v>
      </c>
      <c r="AI59" s="11">
        <f t="shared" si="16"/>
        <v>5944328</v>
      </c>
      <c r="AJ59" s="11">
        <f t="shared" si="17"/>
        <v>5944328</v>
      </c>
      <c r="AK59" s="36">
        <v>4646922</v>
      </c>
      <c r="AL59" s="36">
        <f t="shared" si="22"/>
        <v>1297406</v>
      </c>
      <c r="AM59" s="59">
        <f t="shared" ref="AM59:AM90" si="27">IF(AND(C59=1,AK59&gt;AJ59),AK59,AJ59)</f>
        <v>5944328</v>
      </c>
      <c r="AN59" s="59">
        <f t="shared" si="19"/>
        <v>1297406</v>
      </c>
      <c r="AO59" s="60">
        <f t="shared" si="20"/>
        <v>4700115.6459999997</v>
      </c>
      <c r="AP59" s="36"/>
      <c r="AQ59" s="22"/>
      <c r="AS59" s="22"/>
      <c r="AT59" s="22"/>
      <c r="AX59" s="22"/>
      <c r="AY59" s="22"/>
      <c r="AZ59" s="22"/>
      <c r="BA59" s="22"/>
      <c r="BB59" s="22"/>
    </row>
    <row r="60" spans="1:54" x14ac:dyDescent="0.25">
      <c r="A60" s="8" t="s">
        <v>127</v>
      </c>
      <c r="B60" s="8">
        <v>1</v>
      </c>
      <c r="C60" s="26">
        <v>1</v>
      </c>
      <c r="D60" s="26">
        <v>1</v>
      </c>
      <c r="E60" s="26"/>
      <c r="F60" s="1">
        <v>8</v>
      </c>
      <c r="G60" s="57">
        <v>237.67990718366971</v>
      </c>
      <c r="H60" s="8">
        <v>34</v>
      </c>
      <c r="I60" s="3" t="s">
        <v>166</v>
      </c>
      <c r="J60" s="13">
        <f t="shared" si="2"/>
        <v>0</v>
      </c>
      <c r="K60" s="62">
        <v>11266.22</v>
      </c>
      <c r="L60" s="36"/>
      <c r="M60" s="35"/>
      <c r="N60" s="63">
        <v>6592</v>
      </c>
      <c r="O60" s="58">
        <f t="shared" si="3"/>
        <v>0.58511195414256068</v>
      </c>
      <c r="P60" s="58">
        <f t="shared" si="4"/>
        <v>0</v>
      </c>
      <c r="Q60" s="36">
        <f t="shared" si="5"/>
        <v>0</v>
      </c>
      <c r="R60" s="36">
        <f t="shared" si="21"/>
        <v>0</v>
      </c>
      <c r="S60" s="63">
        <v>3000</v>
      </c>
      <c r="T60" s="37">
        <f t="shared" si="24"/>
        <v>1977.6</v>
      </c>
      <c r="U60" s="9">
        <f t="shared" si="25"/>
        <v>13693.82</v>
      </c>
      <c r="V60" s="62">
        <v>10185447917.67</v>
      </c>
      <c r="W60" s="63">
        <v>84657</v>
      </c>
      <c r="X60" s="18">
        <f t="shared" si="8"/>
        <v>120314.3</v>
      </c>
      <c r="Y60" s="38">
        <f t="shared" si="9"/>
        <v>0.66493599999999997</v>
      </c>
      <c r="Z60" s="63">
        <v>66676</v>
      </c>
      <c r="AA60" s="38">
        <f t="shared" si="10"/>
        <v>0.60489400000000004</v>
      </c>
      <c r="AB60" s="38">
        <f t="shared" si="11"/>
        <v>0.35307699999999997</v>
      </c>
      <c r="AC60" s="39">
        <f t="shared" si="26"/>
        <v>0.35307699999999997</v>
      </c>
      <c r="AD60" s="39">
        <f t="shared" si="23"/>
        <v>0.35307699999999997</v>
      </c>
      <c r="AE60" s="63">
        <v>0</v>
      </c>
      <c r="AF60" s="40">
        <v>0</v>
      </c>
      <c r="AG60" s="9">
        <f t="shared" si="14"/>
        <v>0</v>
      </c>
      <c r="AH60" s="11">
        <f t="shared" si="15"/>
        <v>0</v>
      </c>
      <c r="AI60" s="11">
        <f t="shared" si="16"/>
        <v>55723062</v>
      </c>
      <c r="AJ60" s="11">
        <f t="shared" si="17"/>
        <v>55723062</v>
      </c>
      <c r="AK60" s="36">
        <v>31290480</v>
      </c>
      <c r="AL60" s="36">
        <f t="shared" si="22"/>
        <v>24432582</v>
      </c>
      <c r="AM60" s="59">
        <f t="shared" si="27"/>
        <v>55723062</v>
      </c>
      <c r="AN60" s="59">
        <f t="shared" si="19"/>
        <v>24432582</v>
      </c>
      <c r="AO60" s="60">
        <f t="shared" si="20"/>
        <v>32292215.862</v>
      </c>
      <c r="AP60" s="36"/>
      <c r="AQ60" s="22"/>
      <c r="AS60" s="22"/>
      <c r="AT60" s="22"/>
      <c r="AX60" s="22"/>
      <c r="AY60" s="22"/>
      <c r="AZ60" s="22"/>
      <c r="BA60" s="22"/>
      <c r="BB60" s="22"/>
    </row>
    <row r="61" spans="1:54" x14ac:dyDescent="0.25">
      <c r="A61" s="8" t="s">
        <v>167</v>
      </c>
      <c r="B61" s="8"/>
      <c r="C61" s="26"/>
      <c r="D61" s="26"/>
      <c r="E61" s="26"/>
      <c r="F61" s="1">
        <v>1</v>
      </c>
      <c r="G61" s="57">
        <v>43.497329873300906</v>
      </c>
      <c r="H61" s="8">
        <v>35</v>
      </c>
      <c r="I61" s="3" t="s">
        <v>168</v>
      </c>
      <c r="J61" s="13">
        <f t="shared" si="2"/>
        <v>0</v>
      </c>
      <c r="K61" s="62">
        <v>4783.28</v>
      </c>
      <c r="L61" s="36"/>
      <c r="M61" s="35"/>
      <c r="N61" s="63">
        <v>96</v>
      </c>
      <c r="O61" s="58">
        <f t="shared" si="3"/>
        <v>2.0069910187151912E-2</v>
      </c>
      <c r="P61" s="58">
        <f t="shared" si="4"/>
        <v>0</v>
      </c>
      <c r="Q61" s="36">
        <f t="shared" si="5"/>
        <v>0</v>
      </c>
      <c r="R61" s="36">
        <f t="shared" si="21"/>
        <v>0</v>
      </c>
      <c r="S61" s="63">
        <v>25</v>
      </c>
      <c r="T61" s="37">
        <f t="shared" si="24"/>
        <v>28.8</v>
      </c>
      <c r="U61" s="9">
        <f t="shared" si="25"/>
        <v>4815.83</v>
      </c>
      <c r="V61" s="62">
        <v>12929558704.33</v>
      </c>
      <c r="W61" s="63">
        <v>21787</v>
      </c>
      <c r="X61" s="18">
        <f t="shared" si="8"/>
        <v>593452.92000000004</v>
      </c>
      <c r="Y61" s="38">
        <f t="shared" si="9"/>
        <v>3.2798090000000002</v>
      </c>
      <c r="Z61" s="63">
        <v>208906</v>
      </c>
      <c r="AA61" s="38">
        <f t="shared" si="10"/>
        <v>1.8952260000000001</v>
      </c>
      <c r="AB61" s="38">
        <f t="shared" si="11"/>
        <v>-1.8644339999999999</v>
      </c>
      <c r="AC61" s="39">
        <f t="shared" si="26"/>
        <v>0.01</v>
      </c>
      <c r="AD61" s="39">
        <f t="shared" si="23"/>
        <v>0.01</v>
      </c>
      <c r="AE61" s="63">
        <v>0</v>
      </c>
      <c r="AF61" s="40">
        <v>0</v>
      </c>
      <c r="AG61" s="9">
        <f t="shared" si="14"/>
        <v>0</v>
      </c>
      <c r="AH61" s="11">
        <f t="shared" si="15"/>
        <v>0</v>
      </c>
      <c r="AI61" s="11">
        <f t="shared" si="16"/>
        <v>555024</v>
      </c>
      <c r="AJ61" s="11">
        <f t="shared" si="17"/>
        <v>555024</v>
      </c>
      <c r="AK61" s="36">
        <v>406683</v>
      </c>
      <c r="AL61" s="36">
        <f t="shared" si="22"/>
        <v>148341</v>
      </c>
      <c r="AM61" s="59">
        <f t="shared" si="27"/>
        <v>555024</v>
      </c>
      <c r="AN61" s="59">
        <f t="shared" si="19"/>
        <v>148341</v>
      </c>
      <c r="AO61" s="60">
        <f t="shared" si="20"/>
        <v>412764.98100000003</v>
      </c>
      <c r="AP61" s="36"/>
      <c r="AQ61" s="22"/>
      <c r="AS61" s="22"/>
      <c r="AT61" s="22"/>
      <c r="AX61" s="22"/>
      <c r="AY61" s="22"/>
      <c r="AZ61" s="22"/>
      <c r="BA61" s="22"/>
      <c r="BB61" s="22"/>
    </row>
    <row r="62" spans="1:54" x14ac:dyDescent="0.25">
      <c r="A62" s="8" t="s">
        <v>129</v>
      </c>
      <c r="B62" s="8"/>
      <c r="C62" s="26"/>
      <c r="D62" s="26"/>
      <c r="E62" s="26"/>
      <c r="F62" s="1">
        <v>6</v>
      </c>
      <c r="G62" s="57">
        <v>218.4993960900926</v>
      </c>
      <c r="H62" s="8">
        <v>36</v>
      </c>
      <c r="I62" s="3" t="s">
        <v>169</v>
      </c>
      <c r="J62" s="13">
        <f t="shared" si="2"/>
        <v>0</v>
      </c>
      <c r="K62" s="62">
        <v>610.41</v>
      </c>
      <c r="L62" s="36"/>
      <c r="M62" s="35"/>
      <c r="N62" s="63">
        <v>132</v>
      </c>
      <c r="O62" s="58">
        <f t="shared" si="3"/>
        <v>0.2162480955423404</v>
      </c>
      <c r="P62" s="58">
        <f t="shared" si="4"/>
        <v>0</v>
      </c>
      <c r="Q62" s="36">
        <f t="shared" si="5"/>
        <v>0</v>
      </c>
      <c r="R62" s="36">
        <f t="shared" si="21"/>
        <v>0</v>
      </c>
      <c r="S62" s="63">
        <v>14</v>
      </c>
      <c r="T62" s="37">
        <f t="shared" si="24"/>
        <v>39.6</v>
      </c>
      <c r="U62" s="9">
        <f t="shared" si="25"/>
        <v>652.11</v>
      </c>
      <c r="V62" s="62">
        <v>691953759.66999996</v>
      </c>
      <c r="W62" s="63">
        <v>4516</v>
      </c>
      <c r="X62" s="18">
        <f t="shared" si="8"/>
        <v>153222.71</v>
      </c>
      <c r="Y62" s="38">
        <f t="shared" si="9"/>
        <v>0.84680900000000003</v>
      </c>
      <c r="Z62" s="63">
        <v>69395</v>
      </c>
      <c r="AA62" s="38">
        <f t="shared" si="10"/>
        <v>0.62956199999999995</v>
      </c>
      <c r="AB62" s="38">
        <f t="shared" si="11"/>
        <v>0.218365</v>
      </c>
      <c r="AC62" s="39">
        <f t="shared" si="26"/>
        <v>0.218365</v>
      </c>
      <c r="AD62" s="39">
        <f t="shared" si="23"/>
        <v>0.218365</v>
      </c>
      <c r="AE62" s="63">
        <v>323</v>
      </c>
      <c r="AF62" s="40">
        <v>6</v>
      </c>
      <c r="AG62" s="9">
        <f t="shared" si="14"/>
        <v>46.15</v>
      </c>
      <c r="AH62" s="11">
        <f t="shared" si="15"/>
        <v>14906</v>
      </c>
      <c r="AI62" s="11">
        <f t="shared" si="16"/>
        <v>1641137</v>
      </c>
      <c r="AJ62" s="11">
        <f t="shared" si="17"/>
        <v>1656043</v>
      </c>
      <c r="AK62" s="36">
        <v>1675092</v>
      </c>
      <c r="AL62" s="36">
        <f t="shared" si="22"/>
        <v>-19049</v>
      </c>
      <c r="AM62" s="59">
        <f t="shared" si="27"/>
        <v>1656043</v>
      </c>
      <c r="AN62" s="59">
        <f t="shared" si="19"/>
        <v>-19049</v>
      </c>
      <c r="AO62" s="60">
        <f t="shared" si="20"/>
        <v>1670329.75</v>
      </c>
      <c r="AP62" s="36"/>
      <c r="AQ62" s="22"/>
      <c r="AS62" s="22"/>
      <c r="AT62" s="22"/>
      <c r="AX62" s="22"/>
      <c r="AY62" s="22"/>
      <c r="AZ62" s="22"/>
      <c r="BA62" s="22"/>
      <c r="BB62" s="22"/>
    </row>
    <row r="63" spans="1:54" x14ac:dyDescent="0.25">
      <c r="A63" s="8" t="s">
        <v>127</v>
      </c>
      <c r="B63" s="26">
        <v>1</v>
      </c>
      <c r="C63" s="26">
        <v>1</v>
      </c>
      <c r="D63" s="26">
        <v>1</v>
      </c>
      <c r="E63" s="26"/>
      <c r="F63" s="1">
        <v>10</v>
      </c>
      <c r="G63" s="61">
        <v>324.41077457002945</v>
      </c>
      <c r="H63" s="8">
        <v>37</v>
      </c>
      <c r="I63" s="3" t="s">
        <v>170</v>
      </c>
      <c r="J63" s="13">
        <f t="shared" si="2"/>
        <v>0</v>
      </c>
      <c r="K63" s="62">
        <v>1507.61</v>
      </c>
      <c r="L63" s="36"/>
      <c r="M63" s="35"/>
      <c r="N63" s="63">
        <v>937</v>
      </c>
      <c r="O63" s="58">
        <f t="shared" si="3"/>
        <v>0.62151352140142346</v>
      </c>
      <c r="P63" s="58">
        <f t="shared" si="4"/>
        <v>0</v>
      </c>
      <c r="Q63" s="36">
        <f t="shared" si="5"/>
        <v>0</v>
      </c>
      <c r="R63" s="36">
        <f t="shared" si="21"/>
        <v>0</v>
      </c>
      <c r="S63" s="63">
        <v>39</v>
      </c>
      <c r="T63" s="37">
        <f t="shared" si="24"/>
        <v>281.10000000000002</v>
      </c>
      <c r="U63" s="9">
        <f t="shared" si="25"/>
        <v>1794.56</v>
      </c>
      <c r="V63" s="62">
        <v>995106898</v>
      </c>
      <c r="W63" s="63">
        <v>12700</v>
      </c>
      <c r="X63" s="18">
        <f t="shared" si="8"/>
        <v>78354.87</v>
      </c>
      <c r="Y63" s="38">
        <f t="shared" si="9"/>
        <v>0.43303999999999998</v>
      </c>
      <c r="Z63" s="63">
        <v>51596</v>
      </c>
      <c r="AA63" s="38">
        <f t="shared" si="10"/>
        <v>0.468086</v>
      </c>
      <c r="AB63" s="38">
        <f t="shared" si="11"/>
        <v>0.556446</v>
      </c>
      <c r="AC63" s="39">
        <f t="shared" si="26"/>
        <v>0.556446</v>
      </c>
      <c r="AD63" s="39">
        <f>IF(G63&gt;300,+AC63+$AD$18,AC63)</f>
        <v>0.59644600000000003</v>
      </c>
      <c r="AE63" s="63">
        <v>0</v>
      </c>
      <c r="AF63" s="40">
        <v>0</v>
      </c>
      <c r="AG63" s="9">
        <f t="shared" si="14"/>
        <v>0</v>
      </c>
      <c r="AH63" s="11">
        <f t="shared" si="15"/>
        <v>0</v>
      </c>
      <c r="AI63" s="11">
        <f t="shared" si="16"/>
        <v>12335877</v>
      </c>
      <c r="AJ63" s="11">
        <f t="shared" si="17"/>
        <v>12335877</v>
      </c>
      <c r="AK63" s="36">
        <v>7902388</v>
      </c>
      <c r="AL63" s="36">
        <f t="shared" si="22"/>
        <v>4433489</v>
      </c>
      <c r="AM63" s="59">
        <f t="shared" si="27"/>
        <v>12335877</v>
      </c>
      <c r="AN63" s="59">
        <f t="shared" si="19"/>
        <v>4433489</v>
      </c>
      <c r="AO63" s="60">
        <f t="shared" si="20"/>
        <v>8084161.0489999996</v>
      </c>
      <c r="AP63" s="36"/>
      <c r="AQ63" s="22"/>
      <c r="AS63" s="22"/>
      <c r="AT63" s="22"/>
      <c r="AX63" s="22"/>
      <c r="AY63" s="22"/>
      <c r="AZ63" s="22"/>
      <c r="BA63" s="22"/>
      <c r="BB63" s="22"/>
    </row>
    <row r="64" spans="1:54" x14ac:dyDescent="0.25">
      <c r="A64" s="8" t="s">
        <v>125</v>
      </c>
      <c r="B64" s="8"/>
      <c r="C64" s="26"/>
      <c r="D64" s="26"/>
      <c r="E64" s="26"/>
      <c r="F64" s="1">
        <v>3</v>
      </c>
      <c r="G64" s="57">
        <v>214.99371712788474</v>
      </c>
      <c r="H64" s="8">
        <v>38</v>
      </c>
      <c r="I64" s="3" t="s">
        <v>171</v>
      </c>
      <c r="J64" s="13">
        <f t="shared" si="2"/>
        <v>0</v>
      </c>
      <c r="K64" s="62">
        <v>1121.17</v>
      </c>
      <c r="L64" s="36"/>
      <c r="M64" s="35"/>
      <c r="N64" s="63">
        <v>94</v>
      </c>
      <c r="O64" s="58">
        <f t="shared" si="3"/>
        <v>8.3840987539802167E-2</v>
      </c>
      <c r="P64" s="58">
        <f t="shared" si="4"/>
        <v>0</v>
      </c>
      <c r="Q64" s="36">
        <f t="shared" si="5"/>
        <v>0</v>
      </c>
      <c r="R64" s="36">
        <f t="shared" si="21"/>
        <v>0</v>
      </c>
      <c r="S64" s="63">
        <v>4</v>
      </c>
      <c r="T64" s="37">
        <f t="shared" si="24"/>
        <v>28.2</v>
      </c>
      <c r="U64" s="9">
        <f t="shared" si="25"/>
        <v>1149.97</v>
      </c>
      <c r="V64" s="62">
        <v>1016768864.67</v>
      </c>
      <c r="W64" s="63">
        <v>7301</v>
      </c>
      <c r="X64" s="18">
        <f t="shared" si="8"/>
        <v>139264.32999999999</v>
      </c>
      <c r="Y64" s="38">
        <f t="shared" si="9"/>
        <v>0.76966599999999996</v>
      </c>
      <c r="Z64" s="63">
        <v>113152</v>
      </c>
      <c r="AA64" s="38">
        <f t="shared" si="10"/>
        <v>1.0265310000000001</v>
      </c>
      <c r="AB64" s="38">
        <f t="shared" si="11"/>
        <v>0.15327499999999999</v>
      </c>
      <c r="AC64" s="39">
        <f t="shared" si="26"/>
        <v>0.15327499999999999</v>
      </c>
      <c r="AD64" s="39">
        <f t="shared" ref="AD64:AD89" si="28">IF(G64&gt;300,+AC64+$AD$17,AC64)</f>
        <v>0.15327499999999999</v>
      </c>
      <c r="AE64" s="63">
        <v>1115</v>
      </c>
      <c r="AF64" s="40">
        <v>13</v>
      </c>
      <c r="AG64" s="9">
        <f t="shared" si="14"/>
        <v>100</v>
      </c>
      <c r="AH64" s="11">
        <f t="shared" si="15"/>
        <v>111500</v>
      </c>
      <c r="AI64" s="11">
        <f t="shared" si="16"/>
        <v>2031416</v>
      </c>
      <c r="AJ64" s="11">
        <f t="shared" si="17"/>
        <v>2142916</v>
      </c>
      <c r="AK64" s="36">
        <v>3895303</v>
      </c>
      <c r="AL64" s="36">
        <f t="shared" si="22"/>
        <v>-1752387</v>
      </c>
      <c r="AM64" s="59">
        <f t="shared" si="27"/>
        <v>2142916</v>
      </c>
      <c r="AN64" s="59">
        <f t="shared" si="19"/>
        <v>-1752387</v>
      </c>
      <c r="AO64" s="60">
        <f t="shared" si="20"/>
        <v>3457206.25</v>
      </c>
      <c r="AP64" s="36"/>
      <c r="AQ64" s="22"/>
      <c r="AS64" s="22"/>
      <c r="AT64" s="22"/>
      <c r="AX64" s="22"/>
      <c r="AY64" s="22"/>
      <c r="AZ64" s="22"/>
      <c r="BA64" s="22"/>
      <c r="BB64" s="22"/>
    </row>
    <row r="65" spans="1:54" x14ac:dyDescent="0.25">
      <c r="A65" s="8" t="s">
        <v>129</v>
      </c>
      <c r="B65" s="8"/>
      <c r="C65" s="26"/>
      <c r="D65" s="26"/>
      <c r="E65" s="26"/>
      <c r="F65" s="1">
        <v>7</v>
      </c>
      <c r="G65" s="57">
        <v>201.25352740556082</v>
      </c>
      <c r="H65" s="8">
        <v>39</v>
      </c>
      <c r="I65" s="3" t="s">
        <v>172</v>
      </c>
      <c r="J65" s="13">
        <f t="shared" si="2"/>
        <v>0</v>
      </c>
      <c r="K65" s="62">
        <v>185.1</v>
      </c>
      <c r="L65" s="36"/>
      <c r="M65" s="35"/>
      <c r="N65" s="63">
        <v>30</v>
      </c>
      <c r="O65" s="58">
        <f t="shared" si="3"/>
        <v>0.16207455429497569</v>
      </c>
      <c r="P65" s="58">
        <f t="shared" si="4"/>
        <v>0</v>
      </c>
      <c r="Q65" s="36">
        <f t="shared" si="5"/>
        <v>0</v>
      </c>
      <c r="R65" s="36">
        <f t="shared" si="21"/>
        <v>0</v>
      </c>
      <c r="S65" s="63">
        <v>0</v>
      </c>
      <c r="T65" s="37">
        <f t="shared" si="24"/>
        <v>9</v>
      </c>
      <c r="U65" s="9">
        <f t="shared" si="25"/>
        <v>194.1</v>
      </c>
      <c r="V65" s="62">
        <v>206062803.66999999</v>
      </c>
      <c r="W65" s="63">
        <v>1750</v>
      </c>
      <c r="X65" s="18">
        <f t="shared" si="8"/>
        <v>117750.17</v>
      </c>
      <c r="Y65" s="38">
        <f t="shared" si="9"/>
        <v>0.65076500000000004</v>
      </c>
      <c r="Z65" s="63">
        <v>78466</v>
      </c>
      <c r="AA65" s="38">
        <f t="shared" si="10"/>
        <v>0.71185500000000002</v>
      </c>
      <c r="AB65" s="38">
        <f t="shared" si="11"/>
        <v>0.33090799999999998</v>
      </c>
      <c r="AC65" s="39">
        <f t="shared" si="26"/>
        <v>0.33090799999999998</v>
      </c>
      <c r="AD65" s="39">
        <f t="shared" si="28"/>
        <v>0.33090799999999998</v>
      </c>
      <c r="AE65" s="63">
        <v>0</v>
      </c>
      <c r="AF65" s="40">
        <v>0</v>
      </c>
      <c r="AG65" s="9">
        <f t="shared" si="14"/>
        <v>0</v>
      </c>
      <c r="AH65" s="11">
        <f t="shared" si="15"/>
        <v>0</v>
      </c>
      <c r="AI65" s="11">
        <f t="shared" si="16"/>
        <v>740242</v>
      </c>
      <c r="AJ65" s="11">
        <f t="shared" si="17"/>
        <v>740242</v>
      </c>
      <c r="AK65" s="36">
        <v>1091881</v>
      </c>
      <c r="AL65" s="36">
        <f t="shared" si="22"/>
        <v>-351639</v>
      </c>
      <c r="AM65" s="59">
        <f t="shared" si="27"/>
        <v>740242</v>
      </c>
      <c r="AN65" s="59">
        <f t="shared" si="19"/>
        <v>-351639</v>
      </c>
      <c r="AO65" s="60">
        <f t="shared" si="20"/>
        <v>1003971.25</v>
      </c>
      <c r="AP65" s="36"/>
      <c r="AQ65" s="22"/>
      <c r="AS65" s="22"/>
      <c r="AT65" s="22"/>
      <c r="AX65" s="22"/>
      <c r="AY65" s="22"/>
      <c r="AZ65" s="22"/>
      <c r="BA65" s="22"/>
      <c r="BB65" s="22"/>
    </row>
    <row r="66" spans="1:54" x14ac:dyDescent="0.25">
      <c r="A66" s="8" t="s">
        <v>135</v>
      </c>
      <c r="B66" s="8"/>
      <c r="C66" s="26"/>
      <c r="D66" s="26"/>
      <c r="E66" s="26"/>
      <c r="F66" s="1">
        <v>5</v>
      </c>
      <c r="G66" s="57">
        <v>221.15056721569704</v>
      </c>
      <c r="H66" s="8">
        <v>40</v>
      </c>
      <c r="I66" s="3" t="s">
        <v>173</v>
      </c>
      <c r="J66" s="13">
        <f t="shared" si="2"/>
        <v>0</v>
      </c>
      <c r="K66" s="62">
        <v>877.54</v>
      </c>
      <c r="L66" s="36"/>
      <c r="M66" s="35"/>
      <c r="N66" s="63">
        <v>71</v>
      </c>
      <c r="O66" s="58">
        <f t="shared" si="3"/>
        <v>8.0907992798049097E-2</v>
      </c>
      <c r="P66" s="58">
        <f t="shared" si="4"/>
        <v>0</v>
      </c>
      <c r="Q66" s="36">
        <f t="shared" si="5"/>
        <v>0</v>
      </c>
      <c r="R66" s="36">
        <f t="shared" si="21"/>
        <v>0</v>
      </c>
      <c r="S66" s="63">
        <v>11</v>
      </c>
      <c r="T66" s="37">
        <f t="shared" si="24"/>
        <v>21.3</v>
      </c>
      <c r="U66" s="9">
        <f t="shared" si="25"/>
        <v>900.4899999999999</v>
      </c>
      <c r="V66" s="62">
        <v>857856024.66999996</v>
      </c>
      <c r="W66" s="63">
        <v>5199</v>
      </c>
      <c r="X66" s="18">
        <f t="shared" si="8"/>
        <v>165004.04</v>
      </c>
      <c r="Y66" s="38">
        <f t="shared" si="9"/>
        <v>0.91191999999999995</v>
      </c>
      <c r="Z66" s="63">
        <v>72684</v>
      </c>
      <c r="AA66" s="38">
        <f t="shared" si="10"/>
        <v>0.65939999999999999</v>
      </c>
      <c r="AB66" s="38">
        <f t="shared" si="11"/>
        <v>0.16383600000000001</v>
      </c>
      <c r="AC66" s="39">
        <f t="shared" si="26"/>
        <v>0.16383600000000001</v>
      </c>
      <c r="AD66" s="39">
        <f t="shared" si="28"/>
        <v>0.16383600000000001</v>
      </c>
      <c r="AE66" s="63">
        <v>0</v>
      </c>
      <c r="AF66" s="40">
        <v>0</v>
      </c>
      <c r="AG66" s="9">
        <f t="shared" si="14"/>
        <v>0</v>
      </c>
      <c r="AH66" s="11">
        <f t="shared" si="15"/>
        <v>0</v>
      </c>
      <c r="AI66" s="11">
        <f t="shared" si="16"/>
        <v>1700314</v>
      </c>
      <c r="AJ66" s="11">
        <f t="shared" si="17"/>
        <v>1700314</v>
      </c>
      <c r="AK66" s="36">
        <v>1439845</v>
      </c>
      <c r="AL66" s="36">
        <f t="shared" si="22"/>
        <v>260469</v>
      </c>
      <c r="AM66" s="59">
        <f t="shared" si="27"/>
        <v>1700314</v>
      </c>
      <c r="AN66" s="59">
        <f t="shared" si="19"/>
        <v>260469</v>
      </c>
      <c r="AO66" s="60">
        <f t="shared" si="20"/>
        <v>1450524.2290000001</v>
      </c>
      <c r="AP66" s="36"/>
      <c r="AQ66" s="22"/>
      <c r="AS66" s="22"/>
      <c r="AT66" s="22"/>
      <c r="AX66" s="22"/>
      <c r="AY66" s="22"/>
      <c r="AZ66" s="22"/>
      <c r="BA66" s="22"/>
      <c r="BB66" s="22"/>
    </row>
    <row r="67" spans="1:54" x14ac:dyDescent="0.25">
      <c r="A67" s="8" t="s">
        <v>129</v>
      </c>
      <c r="B67" s="8"/>
      <c r="C67" s="26"/>
      <c r="D67" s="26"/>
      <c r="E67" s="26"/>
      <c r="F67" s="1">
        <v>5</v>
      </c>
      <c r="G67" s="57">
        <v>228.95836984509722</v>
      </c>
      <c r="H67" s="8">
        <v>41</v>
      </c>
      <c r="I67" s="3" t="s">
        <v>174</v>
      </c>
      <c r="J67" s="13">
        <f t="shared" si="2"/>
        <v>0</v>
      </c>
      <c r="K67" s="62">
        <v>1058.08</v>
      </c>
      <c r="L67" s="36"/>
      <c r="M67" s="35"/>
      <c r="N67" s="63">
        <v>132</v>
      </c>
      <c r="O67" s="58">
        <f t="shared" si="3"/>
        <v>0.12475427188870408</v>
      </c>
      <c r="P67" s="58">
        <f t="shared" si="4"/>
        <v>0</v>
      </c>
      <c r="Q67" s="36">
        <f t="shared" si="5"/>
        <v>0</v>
      </c>
      <c r="R67" s="36">
        <f t="shared" si="21"/>
        <v>0</v>
      </c>
      <c r="S67" s="63">
        <v>1</v>
      </c>
      <c r="T67" s="37">
        <f t="shared" si="24"/>
        <v>39.6</v>
      </c>
      <c r="U67" s="9">
        <f t="shared" si="25"/>
        <v>1097.83</v>
      </c>
      <c r="V67" s="62">
        <v>1218956452</v>
      </c>
      <c r="W67" s="63">
        <v>9081</v>
      </c>
      <c r="X67" s="18">
        <f t="shared" si="8"/>
        <v>134231.51999999999</v>
      </c>
      <c r="Y67" s="38">
        <f t="shared" si="9"/>
        <v>0.74185100000000004</v>
      </c>
      <c r="Z67" s="63">
        <v>82117</v>
      </c>
      <c r="AA67" s="38">
        <f t="shared" si="10"/>
        <v>0.744977</v>
      </c>
      <c r="AB67" s="38">
        <f t="shared" si="11"/>
        <v>0.25721100000000002</v>
      </c>
      <c r="AC67" s="39">
        <f t="shared" si="26"/>
        <v>0.25721100000000002</v>
      </c>
      <c r="AD67" s="39">
        <f t="shared" si="28"/>
        <v>0.25721100000000002</v>
      </c>
      <c r="AE67" s="63">
        <v>0</v>
      </c>
      <c r="AF67" s="40">
        <v>0</v>
      </c>
      <c r="AG67" s="9">
        <f t="shared" si="14"/>
        <v>0</v>
      </c>
      <c r="AH67" s="11">
        <f t="shared" si="15"/>
        <v>0</v>
      </c>
      <c r="AI67" s="11">
        <f t="shared" si="16"/>
        <v>3254360</v>
      </c>
      <c r="AJ67" s="11">
        <f t="shared" si="17"/>
        <v>3254360</v>
      </c>
      <c r="AK67" s="36">
        <v>3686134</v>
      </c>
      <c r="AL67" s="36">
        <f t="shared" si="22"/>
        <v>-431774</v>
      </c>
      <c r="AM67" s="59">
        <f t="shared" si="27"/>
        <v>3254360</v>
      </c>
      <c r="AN67" s="59">
        <f t="shared" si="19"/>
        <v>-431774</v>
      </c>
      <c r="AO67" s="60">
        <f t="shared" si="20"/>
        <v>3578190.5</v>
      </c>
      <c r="AP67" s="36"/>
      <c r="AQ67" s="22"/>
      <c r="AS67" s="22"/>
      <c r="AT67" s="22"/>
      <c r="AX67" s="22"/>
      <c r="AY67" s="22"/>
      <c r="AZ67" s="22"/>
      <c r="BA67" s="22"/>
      <c r="BB67" s="22"/>
    </row>
    <row r="68" spans="1:54" x14ac:dyDescent="0.25">
      <c r="A68" s="8" t="s">
        <v>135</v>
      </c>
      <c r="B68" s="8"/>
      <c r="C68" s="26"/>
      <c r="D68" s="26"/>
      <c r="E68" s="26"/>
      <c r="F68" s="1">
        <v>6</v>
      </c>
      <c r="G68" s="57">
        <v>223.92172096567319</v>
      </c>
      <c r="H68" s="8">
        <v>42</v>
      </c>
      <c r="I68" s="3" t="s">
        <v>175</v>
      </c>
      <c r="J68" s="13">
        <f t="shared" si="2"/>
        <v>0</v>
      </c>
      <c r="K68" s="62">
        <v>1965.12</v>
      </c>
      <c r="L68" s="36"/>
      <c r="M68" s="35"/>
      <c r="N68" s="63">
        <v>235</v>
      </c>
      <c r="O68" s="58">
        <f t="shared" si="3"/>
        <v>0.11958557238234815</v>
      </c>
      <c r="P68" s="58">
        <f t="shared" si="4"/>
        <v>0</v>
      </c>
      <c r="Q68" s="36">
        <f t="shared" si="5"/>
        <v>0</v>
      </c>
      <c r="R68" s="36">
        <f t="shared" si="21"/>
        <v>0</v>
      </c>
      <c r="S68" s="63">
        <v>8</v>
      </c>
      <c r="T68" s="37">
        <f t="shared" si="24"/>
        <v>70.5</v>
      </c>
      <c r="U68" s="9">
        <f t="shared" si="25"/>
        <v>2036.82</v>
      </c>
      <c r="V68" s="62">
        <v>1617238110.6700001</v>
      </c>
      <c r="W68" s="63">
        <v>12858</v>
      </c>
      <c r="X68" s="18">
        <f t="shared" si="8"/>
        <v>125776.8</v>
      </c>
      <c r="Y68" s="38">
        <f t="shared" si="9"/>
        <v>0.69512499999999999</v>
      </c>
      <c r="Z68" s="63">
        <v>96299</v>
      </c>
      <c r="AA68" s="38">
        <f t="shared" si="10"/>
        <v>0.87363900000000005</v>
      </c>
      <c r="AB68" s="38">
        <f t="shared" si="11"/>
        <v>0.25132100000000002</v>
      </c>
      <c r="AC68" s="39">
        <f t="shared" si="26"/>
        <v>0.25132100000000002</v>
      </c>
      <c r="AD68" s="39">
        <f t="shared" si="28"/>
        <v>0.25132100000000002</v>
      </c>
      <c r="AE68" s="63">
        <v>0</v>
      </c>
      <c r="AF68" s="40">
        <v>0</v>
      </c>
      <c r="AG68" s="9">
        <f t="shared" si="14"/>
        <v>0</v>
      </c>
      <c r="AH68" s="11">
        <f t="shared" si="15"/>
        <v>0</v>
      </c>
      <c r="AI68" s="11">
        <f t="shared" si="16"/>
        <v>5899597</v>
      </c>
      <c r="AJ68" s="11">
        <f t="shared" si="17"/>
        <v>5899597</v>
      </c>
      <c r="AK68" s="36">
        <v>7538993</v>
      </c>
      <c r="AL68" s="36">
        <f t="shared" si="22"/>
        <v>-1639396</v>
      </c>
      <c r="AM68" s="59">
        <f t="shared" si="27"/>
        <v>5899597</v>
      </c>
      <c r="AN68" s="59">
        <f t="shared" si="19"/>
        <v>-1639396</v>
      </c>
      <c r="AO68" s="60">
        <f t="shared" si="20"/>
        <v>7129144</v>
      </c>
      <c r="AP68" s="36"/>
      <c r="AQ68" s="22"/>
      <c r="AS68" s="22"/>
      <c r="AT68" s="22"/>
      <c r="AX68" s="22"/>
      <c r="AY68" s="22"/>
      <c r="AZ68" s="22"/>
      <c r="BA68" s="22"/>
      <c r="BB68" s="22"/>
    </row>
    <row r="69" spans="1:54" x14ac:dyDescent="0.25">
      <c r="A69" s="8" t="s">
        <v>127</v>
      </c>
      <c r="B69" s="8">
        <v>1</v>
      </c>
      <c r="C69" s="26">
        <v>1</v>
      </c>
      <c r="D69" s="26">
        <v>0</v>
      </c>
      <c r="E69" s="26">
        <v>1</v>
      </c>
      <c r="F69" s="1">
        <v>10</v>
      </c>
      <c r="G69" s="61">
        <v>351.22735748906393</v>
      </c>
      <c r="H69" s="8">
        <v>43</v>
      </c>
      <c r="I69" s="3" t="s">
        <v>176</v>
      </c>
      <c r="J69" s="13">
        <f t="shared" si="2"/>
        <v>0</v>
      </c>
      <c r="K69" s="62">
        <v>8092.94</v>
      </c>
      <c r="L69" s="36"/>
      <c r="M69" s="35"/>
      <c r="N69" s="63">
        <v>5572</v>
      </c>
      <c r="O69" s="58">
        <f t="shared" si="3"/>
        <v>0.68850133573213201</v>
      </c>
      <c r="P69" s="58">
        <f t="shared" si="4"/>
        <v>0</v>
      </c>
      <c r="Q69" s="36">
        <f t="shared" si="5"/>
        <v>0</v>
      </c>
      <c r="R69" s="36">
        <f t="shared" si="21"/>
        <v>0</v>
      </c>
      <c r="S69" s="63">
        <v>800</v>
      </c>
      <c r="T69" s="37">
        <f t="shared" si="24"/>
        <v>1671.6</v>
      </c>
      <c r="U69" s="9">
        <f t="shared" si="25"/>
        <v>9884.5399999999991</v>
      </c>
      <c r="V69" s="62">
        <v>3844086386.6700001</v>
      </c>
      <c r="W69" s="63">
        <v>50821</v>
      </c>
      <c r="X69" s="18">
        <f t="shared" si="8"/>
        <v>75639.72</v>
      </c>
      <c r="Y69" s="38">
        <f t="shared" si="9"/>
        <v>0.41803499999999999</v>
      </c>
      <c r="Z69" s="63">
        <v>48369</v>
      </c>
      <c r="AA69" s="38">
        <f t="shared" si="10"/>
        <v>0.43881100000000001</v>
      </c>
      <c r="AB69" s="38">
        <f t="shared" si="11"/>
        <v>0.57573200000000002</v>
      </c>
      <c r="AC69" s="39">
        <f t="shared" si="26"/>
        <v>0.57573200000000002</v>
      </c>
      <c r="AD69" s="39">
        <f t="shared" si="28"/>
        <v>0.62573200000000007</v>
      </c>
      <c r="AE69" s="63">
        <v>0</v>
      </c>
      <c r="AF69" s="40">
        <v>0</v>
      </c>
      <c r="AG69" s="9">
        <f t="shared" si="14"/>
        <v>0</v>
      </c>
      <c r="AH69" s="11">
        <f t="shared" si="15"/>
        <v>0</v>
      </c>
      <c r="AI69" s="11">
        <f t="shared" si="16"/>
        <v>71282966</v>
      </c>
      <c r="AJ69" s="11">
        <f t="shared" si="17"/>
        <v>71282966</v>
      </c>
      <c r="AK69" s="36">
        <v>49075156</v>
      </c>
      <c r="AL69" s="36">
        <f t="shared" si="22"/>
        <v>22207810</v>
      </c>
      <c r="AM69" s="59">
        <f t="shared" si="27"/>
        <v>71282966</v>
      </c>
      <c r="AN69" s="59">
        <f t="shared" si="19"/>
        <v>22207810</v>
      </c>
      <c r="AO69" s="60">
        <f t="shared" si="20"/>
        <v>49985676.210000001</v>
      </c>
      <c r="AP69" s="36"/>
      <c r="AQ69" s="22"/>
      <c r="AS69" s="22"/>
      <c r="AT69" s="22"/>
      <c r="AX69" s="22"/>
      <c r="AY69" s="22"/>
      <c r="AZ69" s="22"/>
      <c r="BA69" s="22"/>
      <c r="BB69" s="22"/>
    </row>
    <row r="70" spans="1:54" x14ac:dyDescent="0.25">
      <c r="A70" s="8" t="s">
        <v>140</v>
      </c>
      <c r="B70" s="8"/>
      <c r="C70" s="26">
        <v>1</v>
      </c>
      <c r="D70" s="26">
        <v>1</v>
      </c>
      <c r="E70" s="26"/>
      <c r="F70" s="1">
        <v>9</v>
      </c>
      <c r="G70" s="61">
        <v>292.16555111175222</v>
      </c>
      <c r="H70" s="8">
        <v>44</v>
      </c>
      <c r="I70" s="3" t="s">
        <v>177</v>
      </c>
      <c r="J70" s="13">
        <f t="shared" si="2"/>
        <v>0</v>
      </c>
      <c r="K70" s="62">
        <v>3309.45</v>
      </c>
      <c r="L70" s="36"/>
      <c r="M70" s="35"/>
      <c r="N70" s="63">
        <v>1472</v>
      </c>
      <c r="O70" s="58">
        <f t="shared" si="3"/>
        <v>0.44478689812506611</v>
      </c>
      <c r="P70" s="58">
        <f t="shared" si="4"/>
        <v>0</v>
      </c>
      <c r="Q70" s="36">
        <f t="shared" si="5"/>
        <v>0</v>
      </c>
      <c r="R70" s="36">
        <f t="shared" si="21"/>
        <v>0</v>
      </c>
      <c r="S70" s="63">
        <v>240</v>
      </c>
      <c r="T70" s="37">
        <f t="shared" si="24"/>
        <v>441.6</v>
      </c>
      <c r="U70" s="9">
        <f t="shared" si="25"/>
        <v>3787.0499999999997</v>
      </c>
      <c r="V70" s="62">
        <v>2692630695.6700001</v>
      </c>
      <c r="W70" s="63">
        <v>28935</v>
      </c>
      <c r="X70" s="18">
        <f t="shared" si="8"/>
        <v>93057.91</v>
      </c>
      <c r="Y70" s="38">
        <f t="shared" si="9"/>
        <v>0.51429899999999995</v>
      </c>
      <c r="Z70" s="63">
        <v>63120</v>
      </c>
      <c r="AA70" s="38">
        <f t="shared" si="10"/>
        <v>0.57263399999999998</v>
      </c>
      <c r="AB70" s="38">
        <f t="shared" si="11"/>
        <v>0.46820099999999998</v>
      </c>
      <c r="AC70" s="39">
        <f t="shared" si="26"/>
        <v>0.46820099999999998</v>
      </c>
      <c r="AD70" s="39">
        <f t="shared" si="28"/>
        <v>0.46820099999999998</v>
      </c>
      <c r="AE70" s="63">
        <v>0</v>
      </c>
      <c r="AF70" s="40">
        <v>0</v>
      </c>
      <c r="AG70" s="9">
        <f t="shared" si="14"/>
        <v>0</v>
      </c>
      <c r="AH70" s="11">
        <f t="shared" si="15"/>
        <v>0</v>
      </c>
      <c r="AI70" s="11">
        <f t="shared" si="16"/>
        <v>20434984</v>
      </c>
      <c r="AJ70" s="11">
        <f t="shared" si="17"/>
        <v>20434984</v>
      </c>
      <c r="AK70" s="36">
        <v>19595415</v>
      </c>
      <c r="AL70" s="36">
        <f t="shared" si="22"/>
        <v>839569</v>
      </c>
      <c r="AM70" s="59">
        <f t="shared" si="27"/>
        <v>20434984</v>
      </c>
      <c r="AN70" s="59">
        <f t="shared" si="19"/>
        <v>839569</v>
      </c>
      <c r="AO70" s="60">
        <f t="shared" si="20"/>
        <v>19629837.329</v>
      </c>
      <c r="AP70" s="36"/>
      <c r="AQ70" s="22"/>
      <c r="AS70" s="22"/>
      <c r="AT70" s="22"/>
      <c r="AX70" s="22"/>
      <c r="AY70" s="22"/>
      <c r="AZ70" s="22"/>
      <c r="BA70" s="22"/>
      <c r="BB70" s="22"/>
    </row>
    <row r="71" spans="1:54" x14ac:dyDescent="0.25">
      <c r="A71" s="8" t="s">
        <v>135</v>
      </c>
      <c r="B71" s="8"/>
      <c r="C71" s="26"/>
      <c r="D71" s="26"/>
      <c r="E71" s="26"/>
      <c r="F71" s="1">
        <v>4</v>
      </c>
      <c r="G71" s="57">
        <v>223.85195703640417</v>
      </c>
      <c r="H71" s="8">
        <v>45</v>
      </c>
      <c r="I71" s="3" t="s">
        <v>178</v>
      </c>
      <c r="J71" s="13">
        <f t="shared" si="2"/>
        <v>0</v>
      </c>
      <c r="K71" s="62">
        <v>2615.7199999999998</v>
      </c>
      <c r="L71" s="36"/>
      <c r="M71" s="35"/>
      <c r="N71" s="63">
        <v>390</v>
      </c>
      <c r="O71" s="58">
        <f t="shared" si="3"/>
        <v>0.14909852736531434</v>
      </c>
      <c r="P71" s="58">
        <f t="shared" si="4"/>
        <v>0</v>
      </c>
      <c r="Q71" s="36">
        <f t="shared" si="5"/>
        <v>0</v>
      </c>
      <c r="R71" s="36">
        <f t="shared" si="21"/>
        <v>0</v>
      </c>
      <c r="S71" s="63">
        <v>42</v>
      </c>
      <c r="T71" s="37">
        <f t="shared" si="24"/>
        <v>117</v>
      </c>
      <c r="U71" s="9">
        <f t="shared" si="25"/>
        <v>2739.02</v>
      </c>
      <c r="V71" s="62">
        <v>3057990018</v>
      </c>
      <c r="W71" s="63">
        <v>19343</v>
      </c>
      <c r="X71" s="18">
        <f t="shared" si="8"/>
        <v>158092.85</v>
      </c>
      <c r="Y71" s="38">
        <f t="shared" si="9"/>
        <v>0.87372499999999997</v>
      </c>
      <c r="Z71" s="63">
        <v>84029</v>
      </c>
      <c r="AA71" s="38">
        <f t="shared" si="10"/>
        <v>0.76232299999999997</v>
      </c>
      <c r="AB71" s="38">
        <f t="shared" si="11"/>
        <v>0.159696</v>
      </c>
      <c r="AC71" s="39">
        <f t="shared" si="26"/>
        <v>0.159696</v>
      </c>
      <c r="AD71" s="39">
        <f t="shared" si="28"/>
        <v>0.159696</v>
      </c>
      <c r="AE71" s="63">
        <v>0</v>
      </c>
      <c r="AF71" s="40">
        <v>0</v>
      </c>
      <c r="AG71" s="9">
        <f t="shared" si="14"/>
        <v>0</v>
      </c>
      <c r="AH71" s="11">
        <f t="shared" si="15"/>
        <v>0</v>
      </c>
      <c r="AI71" s="11">
        <f t="shared" si="16"/>
        <v>5041156</v>
      </c>
      <c r="AJ71" s="11">
        <f t="shared" si="17"/>
        <v>5041156</v>
      </c>
      <c r="AK71" s="36">
        <v>6918462</v>
      </c>
      <c r="AL71" s="36">
        <f t="shared" si="22"/>
        <v>-1877306</v>
      </c>
      <c r="AM71" s="59">
        <f t="shared" si="27"/>
        <v>5041156</v>
      </c>
      <c r="AN71" s="59">
        <f t="shared" si="19"/>
        <v>-1877306</v>
      </c>
      <c r="AO71" s="60">
        <f t="shared" si="20"/>
        <v>6449135.5</v>
      </c>
      <c r="AP71" s="36"/>
      <c r="AQ71" s="22"/>
      <c r="AS71" s="22"/>
      <c r="AT71" s="22"/>
      <c r="AX71" s="22"/>
      <c r="AY71" s="22"/>
      <c r="AZ71" s="22"/>
      <c r="BA71" s="22"/>
      <c r="BB71" s="22"/>
    </row>
    <row r="72" spans="1:54" x14ac:dyDescent="0.25">
      <c r="A72" s="8" t="s">
        <v>167</v>
      </c>
      <c r="B72" s="8"/>
      <c r="C72" s="26"/>
      <c r="D72" s="26"/>
      <c r="E72" s="26"/>
      <c r="F72" s="1">
        <v>1</v>
      </c>
      <c r="G72" s="57">
        <v>171.6054663813868</v>
      </c>
      <c r="H72" s="8">
        <v>46</v>
      </c>
      <c r="I72" s="3" t="s">
        <v>179</v>
      </c>
      <c r="J72" s="13">
        <f t="shared" si="2"/>
        <v>0</v>
      </c>
      <c r="K72" s="62">
        <v>1303.79</v>
      </c>
      <c r="L72" s="36"/>
      <c r="M72" s="35"/>
      <c r="N72" s="63">
        <v>32</v>
      </c>
      <c r="O72" s="58">
        <f t="shared" si="3"/>
        <v>2.4543829911258714E-2</v>
      </c>
      <c r="P72" s="58">
        <f t="shared" si="4"/>
        <v>0</v>
      </c>
      <c r="Q72" s="36">
        <f t="shared" si="5"/>
        <v>0</v>
      </c>
      <c r="R72" s="36">
        <f t="shared" si="21"/>
        <v>0</v>
      </c>
      <c r="S72" s="63">
        <v>13</v>
      </c>
      <c r="T72" s="37">
        <f t="shared" si="24"/>
        <v>9.6</v>
      </c>
      <c r="U72" s="9">
        <f t="shared" si="25"/>
        <v>1315.34</v>
      </c>
      <c r="V72" s="62">
        <v>1921591162.3299999</v>
      </c>
      <c r="W72" s="63">
        <v>7625</v>
      </c>
      <c r="X72" s="18">
        <f t="shared" si="8"/>
        <v>252011.96</v>
      </c>
      <c r="Y72" s="38">
        <f t="shared" si="9"/>
        <v>1.3927830000000001</v>
      </c>
      <c r="Z72" s="63">
        <v>131189</v>
      </c>
      <c r="AA72" s="38">
        <f t="shared" si="10"/>
        <v>1.1901660000000001</v>
      </c>
      <c r="AB72" s="38">
        <f t="shared" si="11"/>
        <v>-0.33199800000000002</v>
      </c>
      <c r="AC72" s="39">
        <f t="shared" si="26"/>
        <v>0.01</v>
      </c>
      <c r="AD72" s="39">
        <f t="shared" si="28"/>
        <v>0.01</v>
      </c>
      <c r="AE72" s="63">
        <v>423</v>
      </c>
      <c r="AF72" s="40">
        <v>4</v>
      </c>
      <c r="AG72" s="9">
        <f t="shared" si="14"/>
        <v>30.77</v>
      </c>
      <c r="AH72" s="11">
        <f t="shared" si="15"/>
        <v>13016</v>
      </c>
      <c r="AI72" s="11">
        <f t="shared" si="16"/>
        <v>151593</v>
      </c>
      <c r="AJ72" s="11">
        <f t="shared" si="17"/>
        <v>164609</v>
      </c>
      <c r="AK72" s="36">
        <v>177907</v>
      </c>
      <c r="AL72" s="36">
        <f t="shared" si="22"/>
        <v>-13298</v>
      </c>
      <c r="AM72" s="59">
        <f t="shared" si="27"/>
        <v>164609</v>
      </c>
      <c r="AN72" s="59">
        <f t="shared" si="19"/>
        <v>-13298</v>
      </c>
      <c r="AO72" s="60">
        <f t="shared" si="20"/>
        <v>174582.5</v>
      </c>
      <c r="AP72" s="36"/>
      <c r="AQ72" s="22"/>
      <c r="AS72" s="22"/>
      <c r="AT72" s="22"/>
      <c r="AX72" s="22"/>
      <c r="AY72" s="22"/>
      <c r="AZ72" s="22"/>
      <c r="BA72" s="22"/>
      <c r="BB72" s="22"/>
    </row>
    <row r="73" spans="1:54" x14ac:dyDescent="0.25">
      <c r="A73" s="8" t="s">
        <v>153</v>
      </c>
      <c r="B73" s="8"/>
      <c r="C73" s="26">
        <v>1</v>
      </c>
      <c r="D73" s="26">
        <v>1</v>
      </c>
      <c r="E73" s="26"/>
      <c r="F73" s="1">
        <v>8</v>
      </c>
      <c r="G73" s="61">
        <v>263.45542769438646</v>
      </c>
      <c r="H73" s="8">
        <v>47</v>
      </c>
      <c r="I73" s="3" t="s">
        <v>180</v>
      </c>
      <c r="J73" s="13">
        <f t="shared" si="2"/>
        <v>0</v>
      </c>
      <c r="K73" s="62">
        <v>1166.33</v>
      </c>
      <c r="L73" s="36"/>
      <c r="M73" s="35"/>
      <c r="N73" s="63">
        <v>476</v>
      </c>
      <c r="O73" s="58">
        <f t="shared" si="3"/>
        <v>0.40811777112823988</v>
      </c>
      <c r="P73" s="58">
        <f t="shared" si="4"/>
        <v>0</v>
      </c>
      <c r="Q73" s="36">
        <f t="shared" si="5"/>
        <v>0</v>
      </c>
      <c r="R73" s="36">
        <f t="shared" si="21"/>
        <v>0</v>
      </c>
      <c r="S73" s="63">
        <v>45</v>
      </c>
      <c r="T73" s="37">
        <f t="shared" si="24"/>
        <v>142.80000000000001</v>
      </c>
      <c r="U73" s="9">
        <f t="shared" si="25"/>
        <v>1315.8799999999999</v>
      </c>
      <c r="V73" s="62">
        <v>1374972947.3299999</v>
      </c>
      <c r="W73" s="63">
        <v>11400</v>
      </c>
      <c r="X73" s="18">
        <f t="shared" si="8"/>
        <v>120611.66</v>
      </c>
      <c r="Y73" s="38">
        <f t="shared" si="9"/>
        <v>0.66657900000000003</v>
      </c>
      <c r="Z73" s="63">
        <v>74798</v>
      </c>
      <c r="AA73" s="38">
        <f t="shared" si="10"/>
        <v>0.67857800000000001</v>
      </c>
      <c r="AB73" s="38">
        <f t="shared" si="11"/>
        <v>0.32982099999999998</v>
      </c>
      <c r="AC73" s="39">
        <f t="shared" si="26"/>
        <v>0.32982099999999998</v>
      </c>
      <c r="AD73" s="39">
        <f t="shared" si="28"/>
        <v>0.32982099999999998</v>
      </c>
      <c r="AE73" s="63">
        <v>0</v>
      </c>
      <c r="AF73" s="40">
        <v>0</v>
      </c>
      <c r="AG73" s="9">
        <f t="shared" si="14"/>
        <v>0</v>
      </c>
      <c r="AH73" s="11">
        <f t="shared" si="15"/>
        <v>0</v>
      </c>
      <c r="AI73" s="11">
        <f t="shared" si="16"/>
        <v>5001906</v>
      </c>
      <c r="AJ73" s="11">
        <f t="shared" si="17"/>
        <v>5001906</v>
      </c>
      <c r="AK73" s="36">
        <v>5669122</v>
      </c>
      <c r="AL73" s="36">
        <f t="shared" si="22"/>
        <v>-667216</v>
      </c>
      <c r="AM73" s="59">
        <f t="shared" si="27"/>
        <v>5669122</v>
      </c>
      <c r="AN73" s="59">
        <f t="shared" si="19"/>
        <v>0</v>
      </c>
      <c r="AO73" s="60">
        <f t="shared" si="20"/>
        <v>5669122</v>
      </c>
      <c r="AP73" s="36"/>
      <c r="AQ73" s="22"/>
      <c r="AS73" s="22"/>
      <c r="AT73" s="22"/>
      <c r="AX73" s="22"/>
      <c r="AY73" s="22"/>
      <c r="AZ73" s="22"/>
      <c r="BA73" s="22"/>
      <c r="BB73" s="22"/>
    </row>
    <row r="74" spans="1:54" x14ac:dyDescent="0.25">
      <c r="A74" s="8" t="s">
        <v>125</v>
      </c>
      <c r="B74" s="8"/>
      <c r="C74" s="26"/>
      <c r="D74" s="26"/>
      <c r="E74" s="26"/>
      <c r="F74" s="1">
        <v>7</v>
      </c>
      <c r="G74" s="57">
        <v>232.16878625611164</v>
      </c>
      <c r="H74" s="8">
        <v>48</v>
      </c>
      <c r="I74" s="3" t="s">
        <v>181</v>
      </c>
      <c r="J74" s="13">
        <f t="shared" si="2"/>
        <v>0</v>
      </c>
      <c r="K74" s="62">
        <v>2752.5</v>
      </c>
      <c r="L74" s="36"/>
      <c r="M74" s="35"/>
      <c r="N74" s="63">
        <v>226</v>
      </c>
      <c r="O74" s="58">
        <f t="shared" si="3"/>
        <v>8.2107175295186199E-2</v>
      </c>
      <c r="P74" s="58">
        <f t="shared" si="4"/>
        <v>0</v>
      </c>
      <c r="Q74" s="36">
        <f t="shared" si="5"/>
        <v>0</v>
      </c>
      <c r="R74" s="36">
        <f t="shared" si="21"/>
        <v>0</v>
      </c>
      <c r="S74" s="63">
        <v>59</v>
      </c>
      <c r="T74" s="37">
        <f t="shared" si="24"/>
        <v>67.8</v>
      </c>
      <c r="U74" s="9">
        <f t="shared" si="25"/>
        <v>2829.15</v>
      </c>
      <c r="V74" s="62">
        <v>1887064314.3299999</v>
      </c>
      <c r="W74" s="63">
        <v>15916</v>
      </c>
      <c r="X74" s="18">
        <f t="shared" si="8"/>
        <v>118563.98</v>
      </c>
      <c r="Y74" s="38">
        <f t="shared" si="9"/>
        <v>0.65526200000000001</v>
      </c>
      <c r="Z74" s="63">
        <v>85545</v>
      </c>
      <c r="AA74" s="38">
        <f t="shared" si="10"/>
        <v>0.77607700000000002</v>
      </c>
      <c r="AB74" s="38">
        <f t="shared" si="11"/>
        <v>0.30849399999999999</v>
      </c>
      <c r="AC74" s="39">
        <f t="shared" si="26"/>
        <v>0.30849399999999999</v>
      </c>
      <c r="AD74" s="39">
        <f t="shared" si="28"/>
        <v>0.30849399999999999</v>
      </c>
      <c r="AE74" s="63">
        <v>0</v>
      </c>
      <c r="AF74" s="40">
        <v>0</v>
      </c>
      <c r="AG74" s="9">
        <f t="shared" si="14"/>
        <v>0</v>
      </c>
      <c r="AH74" s="11">
        <f t="shared" si="15"/>
        <v>0</v>
      </c>
      <c r="AI74" s="11">
        <f t="shared" si="16"/>
        <v>10058741</v>
      </c>
      <c r="AJ74" s="11">
        <f t="shared" si="17"/>
        <v>10058741</v>
      </c>
      <c r="AK74" s="36">
        <v>9684435</v>
      </c>
      <c r="AL74" s="36">
        <f t="shared" si="22"/>
        <v>374306</v>
      </c>
      <c r="AM74" s="59">
        <f t="shared" si="27"/>
        <v>10058741</v>
      </c>
      <c r="AN74" s="59">
        <f t="shared" si="19"/>
        <v>374306</v>
      </c>
      <c r="AO74" s="60">
        <f t="shared" si="20"/>
        <v>9699781.5460000001</v>
      </c>
      <c r="AP74" s="36"/>
      <c r="AQ74" s="22"/>
      <c r="AS74" s="22"/>
      <c r="AT74" s="22"/>
      <c r="AX74" s="22"/>
      <c r="AY74" s="22"/>
      <c r="AZ74" s="22"/>
      <c r="BA74" s="22"/>
      <c r="BB74" s="22"/>
    </row>
    <row r="75" spans="1:54" x14ac:dyDescent="0.25">
      <c r="A75" s="8" t="s">
        <v>153</v>
      </c>
      <c r="B75" s="8"/>
      <c r="C75" s="26"/>
      <c r="D75" s="26"/>
      <c r="E75" s="26"/>
      <c r="F75" s="1">
        <v>9</v>
      </c>
      <c r="G75" s="61">
        <v>272.06220943618359</v>
      </c>
      <c r="H75" s="8">
        <v>49</v>
      </c>
      <c r="I75" s="3" t="s">
        <v>182</v>
      </c>
      <c r="J75" s="13">
        <f t="shared" si="2"/>
        <v>0</v>
      </c>
      <c r="K75" s="62">
        <v>5545.56</v>
      </c>
      <c r="L75" s="36"/>
      <c r="M75" s="35"/>
      <c r="N75" s="63">
        <v>2075</v>
      </c>
      <c r="O75" s="58">
        <f t="shared" si="3"/>
        <v>0.3741732124438289</v>
      </c>
      <c r="P75" s="58">
        <f t="shared" si="4"/>
        <v>0</v>
      </c>
      <c r="Q75" s="36">
        <f t="shared" si="5"/>
        <v>0</v>
      </c>
      <c r="R75" s="36">
        <f t="shared" si="21"/>
        <v>0</v>
      </c>
      <c r="S75" s="63">
        <v>104</v>
      </c>
      <c r="T75" s="37">
        <f t="shared" si="24"/>
        <v>622.5</v>
      </c>
      <c r="U75" s="9">
        <f t="shared" si="25"/>
        <v>6183.6600000000008</v>
      </c>
      <c r="V75" s="62">
        <v>4104531839</v>
      </c>
      <c r="W75" s="63">
        <v>44323</v>
      </c>
      <c r="X75" s="18">
        <f t="shared" si="8"/>
        <v>92605.01</v>
      </c>
      <c r="Y75" s="38">
        <f t="shared" si="9"/>
        <v>0.51179600000000003</v>
      </c>
      <c r="Z75" s="63">
        <v>67377</v>
      </c>
      <c r="AA75" s="38">
        <f t="shared" si="10"/>
        <v>0.61125399999999996</v>
      </c>
      <c r="AB75" s="38">
        <f t="shared" si="11"/>
        <v>0.45836700000000002</v>
      </c>
      <c r="AC75" s="39">
        <f t="shared" si="26"/>
        <v>0.45836700000000002</v>
      </c>
      <c r="AD75" s="39">
        <f t="shared" si="28"/>
        <v>0.45836700000000002</v>
      </c>
      <c r="AE75" s="63">
        <v>0</v>
      </c>
      <c r="AF75" s="40">
        <v>0</v>
      </c>
      <c r="AG75" s="9">
        <f t="shared" si="14"/>
        <v>0</v>
      </c>
      <c r="AH75" s="11">
        <f t="shared" si="15"/>
        <v>0</v>
      </c>
      <c r="AI75" s="11">
        <f t="shared" si="16"/>
        <v>32666295</v>
      </c>
      <c r="AJ75" s="11">
        <f t="shared" si="17"/>
        <v>32666295</v>
      </c>
      <c r="AK75" s="36">
        <v>28585010</v>
      </c>
      <c r="AL75" s="36">
        <f t="shared" si="22"/>
        <v>4081285</v>
      </c>
      <c r="AM75" s="59">
        <f t="shared" si="27"/>
        <v>32666295</v>
      </c>
      <c r="AN75" s="59">
        <f t="shared" si="19"/>
        <v>4081285</v>
      </c>
      <c r="AO75" s="60">
        <f t="shared" si="20"/>
        <v>28752342.684999999</v>
      </c>
      <c r="AP75" s="36"/>
      <c r="AQ75" s="22"/>
      <c r="AS75" s="22"/>
      <c r="AT75" s="22"/>
      <c r="AX75" s="22"/>
      <c r="AY75" s="22"/>
      <c r="AZ75" s="22"/>
      <c r="BA75" s="22"/>
      <c r="BB75" s="22"/>
    </row>
    <row r="76" spans="1:54" x14ac:dyDescent="0.25">
      <c r="A76" s="8" t="s">
        <v>125</v>
      </c>
      <c r="B76" s="8"/>
      <c r="C76" s="26"/>
      <c r="D76" s="26"/>
      <c r="E76" s="26"/>
      <c r="F76" s="1">
        <v>2</v>
      </c>
      <c r="G76" s="57">
        <v>177.61811161383341</v>
      </c>
      <c r="H76" s="8">
        <v>50</v>
      </c>
      <c r="I76" s="3" t="s">
        <v>183</v>
      </c>
      <c r="J76" s="13">
        <f t="shared" si="2"/>
        <v>0</v>
      </c>
      <c r="K76" s="62">
        <v>727.8</v>
      </c>
      <c r="L76" s="36"/>
      <c r="M76" s="35"/>
      <c r="N76" s="63">
        <v>77</v>
      </c>
      <c r="O76" s="58">
        <f t="shared" si="3"/>
        <v>0.10579829623522946</v>
      </c>
      <c r="P76" s="58">
        <f t="shared" si="4"/>
        <v>0</v>
      </c>
      <c r="Q76" s="36">
        <f t="shared" si="5"/>
        <v>0</v>
      </c>
      <c r="R76" s="36">
        <f t="shared" si="21"/>
        <v>0</v>
      </c>
      <c r="S76" s="63">
        <v>16</v>
      </c>
      <c r="T76" s="37">
        <f t="shared" si="24"/>
        <v>23.1</v>
      </c>
      <c r="U76" s="9">
        <f t="shared" si="25"/>
        <v>753.3</v>
      </c>
      <c r="V76" s="62">
        <v>1506493518.3299999</v>
      </c>
      <c r="W76" s="63">
        <v>6586</v>
      </c>
      <c r="X76" s="18">
        <f t="shared" si="8"/>
        <v>228741.8</v>
      </c>
      <c r="Y76" s="38">
        <f t="shared" si="9"/>
        <v>1.2641770000000001</v>
      </c>
      <c r="Z76" s="63">
        <v>86376</v>
      </c>
      <c r="AA76" s="38">
        <f t="shared" si="10"/>
        <v>0.78361599999999998</v>
      </c>
      <c r="AB76" s="38">
        <f t="shared" si="11"/>
        <v>-0.120009</v>
      </c>
      <c r="AC76" s="39">
        <f t="shared" si="26"/>
        <v>0.01</v>
      </c>
      <c r="AD76" s="39">
        <f t="shared" si="28"/>
        <v>0.01</v>
      </c>
      <c r="AE76" s="63">
        <v>402</v>
      </c>
      <c r="AF76" s="40">
        <v>6</v>
      </c>
      <c r="AG76" s="9">
        <f t="shared" si="14"/>
        <v>46.15</v>
      </c>
      <c r="AH76" s="11">
        <f t="shared" si="15"/>
        <v>18552</v>
      </c>
      <c r="AI76" s="11">
        <f t="shared" si="16"/>
        <v>86818</v>
      </c>
      <c r="AJ76" s="11">
        <f t="shared" si="17"/>
        <v>105370</v>
      </c>
      <c r="AK76" s="36">
        <v>105052</v>
      </c>
      <c r="AL76" s="36">
        <f t="shared" si="22"/>
        <v>318</v>
      </c>
      <c r="AM76" s="59">
        <f t="shared" si="27"/>
        <v>105370</v>
      </c>
      <c r="AN76" s="59">
        <f t="shared" si="19"/>
        <v>318</v>
      </c>
      <c r="AO76" s="60">
        <f t="shared" si="20"/>
        <v>105065.038</v>
      </c>
      <c r="AP76" s="36"/>
      <c r="AQ76" s="22"/>
      <c r="AS76" s="22"/>
      <c r="AT76" s="22"/>
      <c r="AX76" s="22"/>
      <c r="AY76" s="22"/>
      <c r="AZ76" s="22"/>
      <c r="BA76" s="22"/>
      <c r="BB76" s="22"/>
    </row>
    <row r="77" spans="1:54" x14ac:dyDescent="0.25">
      <c r="A77" s="8" t="s">
        <v>131</v>
      </c>
      <c r="B77" s="8"/>
      <c r="C77" s="26"/>
      <c r="D77" s="26"/>
      <c r="E77" s="26"/>
      <c r="F77" s="1">
        <v>2</v>
      </c>
      <c r="G77" s="57">
        <v>173.30195420535688</v>
      </c>
      <c r="H77" s="8">
        <v>51</v>
      </c>
      <c r="I77" s="3" t="s">
        <v>184</v>
      </c>
      <c r="J77" s="13">
        <f t="shared" si="2"/>
        <v>0</v>
      </c>
      <c r="K77" s="62">
        <v>9978.01</v>
      </c>
      <c r="L77" s="36"/>
      <c r="M77" s="35"/>
      <c r="N77" s="63">
        <v>995</v>
      </c>
      <c r="O77" s="58">
        <f t="shared" si="3"/>
        <v>9.9719282702663156E-2</v>
      </c>
      <c r="P77" s="58">
        <f t="shared" si="4"/>
        <v>0</v>
      </c>
      <c r="Q77" s="36">
        <f t="shared" si="5"/>
        <v>0</v>
      </c>
      <c r="R77" s="36">
        <f t="shared" si="21"/>
        <v>0</v>
      </c>
      <c r="S77" s="63">
        <v>258</v>
      </c>
      <c r="T77" s="37">
        <f t="shared" si="24"/>
        <v>298.5</v>
      </c>
      <c r="U77" s="9">
        <f t="shared" si="25"/>
        <v>10315.210000000001</v>
      </c>
      <c r="V77" s="62">
        <v>15961564210.67</v>
      </c>
      <c r="W77" s="63">
        <v>61523</v>
      </c>
      <c r="X77" s="18">
        <f t="shared" si="8"/>
        <v>259440.6</v>
      </c>
      <c r="Y77" s="38">
        <f t="shared" si="9"/>
        <v>1.4338390000000001</v>
      </c>
      <c r="Z77" s="63">
        <v>122306</v>
      </c>
      <c r="AA77" s="38">
        <f t="shared" si="10"/>
        <v>1.109578</v>
      </c>
      <c r="AB77" s="38">
        <f t="shared" si="11"/>
        <v>-0.336561</v>
      </c>
      <c r="AC77" s="39">
        <f t="shared" si="26"/>
        <v>0.01</v>
      </c>
      <c r="AD77" s="39">
        <f t="shared" si="28"/>
        <v>0.01</v>
      </c>
      <c r="AE77" s="63">
        <v>0</v>
      </c>
      <c r="AF77" s="40">
        <v>0</v>
      </c>
      <c r="AG77" s="9">
        <f t="shared" si="14"/>
        <v>0</v>
      </c>
      <c r="AH77" s="11">
        <f t="shared" si="15"/>
        <v>0</v>
      </c>
      <c r="AI77" s="11">
        <f t="shared" si="16"/>
        <v>1188828</v>
      </c>
      <c r="AJ77" s="11">
        <f t="shared" si="17"/>
        <v>1188828</v>
      </c>
      <c r="AK77" s="36">
        <v>1087165</v>
      </c>
      <c r="AL77" s="36">
        <f t="shared" si="22"/>
        <v>101663</v>
      </c>
      <c r="AM77" s="59">
        <f t="shared" si="27"/>
        <v>1188828</v>
      </c>
      <c r="AN77" s="59">
        <f t="shared" si="19"/>
        <v>101663</v>
      </c>
      <c r="AO77" s="60">
        <f t="shared" si="20"/>
        <v>1091333.183</v>
      </c>
      <c r="AP77" s="36"/>
      <c r="AQ77" s="22"/>
      <c r="AS77" s="22"/>
      <c r="AT77" s="22"/>
      <c r="AX77" s="22"/>
      <c r="AY77" s="22"/>
      <c r="AZ77" s="22"/>
      <c r="BA77" s="22"/>
      <c r="BB77" s="22"/>
    </row>
    <row r="78" spans="1:54" x14ac:dyDescent="0.25">
      <c r="A78" s="8" t="s">
        <v>131</v>
      </c>
      <c r="B78" s="8"/>
      <c r="C78" s="26"/>
      <c r="D78" s="26"/>
      <c r="E78" s="26"/>
      <c r="F78" s="1">
        <v>3</v>
      </c>
      <c r="G78" s="57">
        <v>183.35213792864948</v>
      </c>
      <c r="H78" s="8">
        <v>52</v>
      </c>
      <c r="I78" s="3" t="s">
        <v>185</v>
      </c>
      <c r="J78" s="13">
        <f t="shared" si="2"/>
        <v>0</v>
      </c>
      <c r="K78" s="62">
        <v>4107.7299999999996</v>
      </c>
      <c r="L78" s="36"/>
      <c r="M78" s="35"/>
      <c r="N78" s="63">
        <v>374</v>
      </c>
      <c r="O78" s="58">
        <f t="shared" si="3"/>
        <v>9.104785368074339E-2</v>
      </c>
      <c r="P78" s="58">
        <f t="shared" si="4"/>
        <v>0</v>
      </c>
      <c r="Q78" s="36">
        <f t="shared" si="5"/>
        <v>0</v>
      </c>
      <c r="R78" s="36">
        <f t="shared" si="21"/>
        <v>0</v>
      </c>
      <c r="S78" s="63">
        <v>149</v>
      </c>
      <c r="T78" s="37">
        <f t="shared" si="24"/>
        <v>112.2</v>
      </c>
      <c r="U78" s="9">
        <f t="shared" si="25"/>
        <v>4242.28</v>
      </c>
      <c r="V78" s="62">
        <v>5219679161</v>
      </c>
      <c r="W78" s="63">
        <v>25629</v>
      </c>
      <c r="X78" s="18">
        <f t="shared" si="8"/>
        <v>203663.01</v>
      </c>
      <c r="Y78" s="38">
        <f t="shared" si="9"/>
        <v>1.125575</v>
      </c>
      <c r="Z78" s="63">
        <v>91712</v>
      </c>
      <c r="AA78" s="38">
        <f t="shared" si="10"/>
        <v>0.83202500000000001</v>
      </c>
      <c r="AB78" s="38">
        <f t="shared" si="11"/>
        <v>-3.7510000000000002E-2</v>
      </c>
      <c r="AC78" s="39">
        <f t="shared" si="26"/>
        <v>0.01</v>
      </c>
      <c r="AD78" s="39">
        <f t="shared" si="28"/>
        <v>0.01</v>
      </c>
      <c r="AE78" s="63">
        <v>0</v>
      </c>
      <c r="AF78" s="40">
        <v>0</v>
      </c>
      <c r="AG78" s="9">
        <f t="shared" si="14"/>
        <v>0</v>
      </c>
      <c r="AH78" s="11">
        <f t="shared" si="15"/>
        <v>0</v>
      </c>
      <c r="AI78" s="11">
        <f t="shared" si="16"/>
        <v>488923</v>
      </c>
      <c r="AJ78" s="11">
        <f t="shared" si="17"/>
        <v>488923</v>
      </c>
      <c r="AK78" s="36">
        <v>1095080</v>
      </c>
      <c r="AL78" s="36">
        <f t="shared" si="22"/>
        <v>-606157</v>
      </c>
      <c r="AM78" s="59">
        <f t="shared" si="27"/>
        <v>488923</v>
      </c>
      <c r="AN78" s="59">
        <f t="shared" si="19"/>
        <v>-606157</v>
      </c>
      <c r="AO78" s="60">
        <f t="shared" si="20"/>
        <v>943540.75</v>
      </c>
      <c r="AP78" s="36"/>
      <c r="AQ78" s="22"/>
      <c r="AS78" s="22"/>
      <c r="AT78" s="22"/>
      <c r="AX78" s="22"/>
      <c r="AY78" s="22"/>
      <c r="AZ78" s="22"/>
      <c r="BA78" s="22"/>
      <c r="BB78" s="22"/>
    </row>
    <row r="79" spans="1:54" x14ac:dyDescent="0.25">
      <c r="A79" s="8" t="s">
        <v>129</v>
      </c>
      <c r="B79" s="8"/>
      <c r="C79" s="26"/>
      <c r="D79" s="26"/>
      <c r="E79" s="26"/>
      <c r="F79" s="1">
        <v>5</v>
      </c>
      <c r="G79" s="57">
        <v>223.18460421627378</v>
      </c>
      <c r="H79" s="8">
        <v>53</v>
      </c>
      <c r="I79" s="3" t="s">
        <v>186</v>
      </c>
      <c r="J79" s="13">
        <f t="shared" si="2"/>
        <v>0</v>
      </c>
      <c r="K79" s="62">
        <v>247.03</v>
      </c>
      <c r="L79" s="36"/>
      <c r="M79" s="35"/>
      <c r="N79" s="63">
        <v>41</v>
      </c>
      <c r="O79" s="58">
        <f t="shared" si="3"/>
        <v>0.16597174432255191</v>
      </c>
      <c r="P79" s="58">
        <f t="shared" si="4"/>
        <v>0</v>
      </c>
      <c r="Q79" s="36">
        <f t="shared" si="5"/>
        <v>0</v>
      </c>
      <c r="R79" s="36">
        <f t="shared" si="21"/>
        <v>0</v>
      </c>
      <c r="S79" s="63">
        <v>0</v>
      </c>
      <c r="T79" s="37">
        <f t="shared" si="24"/>
        <v>12.3</v>
      </c>
      <c r="U79" s="9">
        <f t="shared" si="25"/>
        <v>259.33</v>
      </c>
      <c r="V79" s="62">
        <v>295303041.32999998</v>
      </c>
      <c r="W79" s="63">
        <v>1975</v>
      </c>
      <c r="X79" s="18">
        <f t="shared" si="8"/>
        <v>149520.53</v>
      </c>
      <c r="Y79" s="38">
        <f t="shared" si="9"/>
        <v>0.82634799999999997</v>
      </c>
      <c r="Z79" s="63">
        <v>87708</v>
      </c>
      <c r="AA79" s="38">
        <f t="shared" si="10"/>
        <v>0.79569999999999996</v>
      </c>
      <c r="AB79" s="38">
        <f t="shared" si="11"/>
        <v>0.18284600000000001</v>
      </c>
      <c r="AC79" s="39">
        <f t="shared" si="26"/>
        <v>0.18284600000000001</v>
      </c>
      <c r="AD79" s="39">
        <f t="shared" si="28"/>
        <v>0.18284600000000001</v>
      </c>
      <c r="AE79" s="63">
        <v>0</v>
      </c>
      <c r="AF79" s="40">
        <v>0</v>
      </c>
      <c r="AG79" s="9">
        <f t="shared" si="14"/>
        <v>0</v>
      </c>
      <c r="AH79" s="11">
        <f t="shared" si="15"/>
        <v>0</v>
      </c>
      <c r="AI79" s="11">
        <f t="shared" si="16"/>
        <v>546486</v>
      </c>
      <c r="AJ79" s="11">
        <f t="shared" si="17"/>
        <v>546486</v>
      </c>
      <c r="AK79" s="36">
        <v>923278</v>
      </c>
      <c r="AL79" s="36">
        <f t="shared" si="22"/>
        <v>-376792</v>
      </c>
      <c r="AM79" s="59">
        <f t="shared" si="27"/>
        <v>546486</v>
      </c>
      <c r="AN79" s="59">
        <f t="shared" si="19"/>
        <v>-376792</v>
      </c>
      <c r="AO79" s="60">
        <f t="shared" si="20"/>
        <v>829080</v>
      </c>
      <c r="AP79" s="36"/>
      <c r="AQ79" s="22"/>
      <c r="AS79" s="22"/>
      <c r="AT79" s="22"/>
      <c r="AX79" s="22"/>
      <c r="AY79" s="22"/>
      <c r="AZ79" s="22"/>
      <c r="BA79" s="22"/>
      <c r="BB79" s="22"/>
    </row>
    <row r="80" spans="1:54" x14ac:dyDescent="0.25">
      <c r="A80" s="8" t="s">
        <v>131</v>
      </c>
      <c r="B80" s="8"/>
      <c r="C80" s="26"/>
      <c r="D80" s="26"/>
      <c r="E80" s="26"/>
      <c r="F80" s="1">
        <v>3</v>
      </c>
      <c r="G80" s="57">
        <v>209.29089407630926</v>
      </c>
      <c r="H80" s="8">
        <v>54</v>
      </c>
      <c r="I80" s="3" t="s">
        <v>187</v>
      </c>
      <c r="J80" s="13">
        <f t="shared" si="2"/>
        <v>0</v>
      </c>
      <c r="K80" s="62">
        <v>6041.48</v>
      </c>
      <c r="L80" s="36"/>
      <c r="M80" s="35"/>
      <c r="N80" s="63">
        <v>500</v>
      </c>
      <c r="O80" s="58">
        <f t="shared" si="3"/>
        <v>8.2761177724663501E-2</v>
      </c>
      <c r="P80" s="58">
        <f t="shared" si="4"/>
        <v>0</v>
      </c>
      <c r="Q80" s="36">
        <f t="shared" si="5"/>
        <v>0</v>
      </c>
      <c r="R80" s="36">
        <f t="shared" si="21"/>
        <v>0</v>
      </c>
      <c r="S80" s="63">
        <v>125</v>
      </c>
      <c r="T80" s="37">
        <f t="shared" si="24"/>
        <v>150</v>
      </c>
      <c r="U80" s="9">
        <f t="shared" si="25"/>
        <v>6210.23</v>
      </c>
      <c r="V80" s="62">
        <v>5866122489</v>
      </c>
      <c r="W80" s="63">
        <v>34678</v>
      </c>
      <c r="X80" s="18">
        <f t="shared" si="8"/>
        <v>169159.77</v>
      </c>
      <c r="Y80" s="38">
        <f t="shared" si="9"/>
        <v>0.93488800000000005</v>
      </c>
      <c r="Z80" s="63">
        <v>109018</v>
      </c>
      <c r="AA80" s="38">
        <f t="shared" si="10"/>
        <v>0.98902699999999999</v>
      </c>
      <c r="AB80" s="38">
        <f t="shared" si="11"/>
        <v>4.8869999999999997E-2</v>
      </c>
      <c r="AC80" s="39">
        <f t="shared" si="26"/>
        <v>4.8869999999999997E-2</v>
      </c>
      <c r="AD80" s="39">
        <f t="shared" si="28"/>
        <v>4.8869999999999997E-2</v>
      </c>
      <c r="AE80" s="63">
        <v>0</v>
      </c>
      <c r="AF80" s="40">
        <v>0</v>
      </c>
      <c r="AG80" s="9">
        <f t="shared" si="14"/>
        <v>0</v>
      </c>
      <c r="AH80" s="11">
        <f t="shared" si="15"/>
        <v>0</v>
      </c>
      <c r="AI80" s="11">
        <f t="shared" si="16"/>
        <v>3497768</v>
      </c>
      <c r="AJ80" s="11">
        <f t="shared" si="17"/>
        <v>3497768</v>
      </c>
      <c r="AK80" s="36">
        <v>6654380</v>
      </c>
      <c r="AL80" s="36">
        <f t="shared" si="22"/>
        <v>-3156612</v>
      </c>
      <c r="AM80" s="59">
        <f t="shared" si="27"/>
        <v>3497768</v>
      </c>
      <c r="AN80" s="59">
        <f t="shared" si="19"/>
        <v>-3156612</v>
      </c>
      <c r="AO80" s="60">
        <f t="shared" si="20"/>
        <v>5865227</v>
      </c>
      <c r="AP80" s="36"/>
      <c r="AQ80" s="22"/>
      <c r="AS80" s="22"/>
      <c r="AT80" s="22"/>
      <c r="AX80" s="22"/>
      <c r="AY80" s="22"/>
      <c r="AZ80" s="22"/>
      <c r="BA80" s="22"/>
      <c r="BB80" s="22"/>
    </row>
    <row r="81" spans="1:54" x14ac:dyDescent="0.25">
      <c r="A81" s="8" t="s">
        <v>129</v>
      </c>
      <c r="B81" s="8"/>
      <c r="C81" s="26"/>
      <c r="D81" s="26"/>
      <c r="E81" s="26"/>
      <c r="F81" s="1">
        <v>2</v>
      </c>
      <c r="G81" s="57">
        <v>201.09149574221237</v>
      </c>
      <c r="H81" s="8">
        <v>55</v>
      </c>
      <c r="I81" s="3" t="s">
        <v>188</v>
      </c>
      <c r="J81" s="13">
        <f t="shared" si="2"/>
        <v>0</v>
      </c>
      <c r="K81" s="62">
        <v>350.66</v>
      </c>
      <c r="L81" s="36"/>
      <c r="M81" s="35"/>
      <c r="N81" s="63">
        <v>38</v>
      </c>
      <c r="O81" s="58">
        <f t="shared" si="3"/>
        <v>0.10836707922203843</v>
      </c>
      <c r="P81" s="58">
        <f t="shared" si="4"/>
        <v>0</v>
      </c>
      <c r="Q81" s="36">
        <f t="shared" si="5"/>
        <v>0</v>
      </c>
      <c r="R81" s="36">
        <f t="shared" si="21"/>
        <v>0</v>
      </c>
      <c r="S81" s="63">
        <v>2</v>
      </c>
      <c r="T81" s="37">
        <f t="shared" si="24"/>
        <v>11.4</v>
      </c>
      <c r="U81" s="9">
        <f t="shared" si="25"/>
        <v>362.36</v>
      </c>
      <c r="V81" s="62">
        <v>745052090.66999996</v>
      </c>
      <c r="W81" s="63">
        <v>2904</v>
      </c>
      <c r="X81" s="18">
        <f t="shared" si="8"/>
        <v>256560.64000000001</v>
      </c>
      <c r="Y81" s="38">
        <f t="shared" si="9"/>
        <v>1.4179219999999999</v>
      </c>
      <c r="Z81" s="63">
        <v>92361</v>
      </c>
      <c r="AA81" s="38">
        <f t="shared" si="10"/>
        <v>0.83791199999999999</v>
      </c>
      <c r="AB81" s="38">
        <f t="shared" si="11"/>
        <v>-0.243919</v>
      </c>
      <c r="AC81" s="39">
        <f t="shared" si="26"/>
        <v>0.01</v>
      </c>
      <c r="AD81" s="39">
        <f t="shared" si="28"/>
        <v>0.01</v>
      </c>
      <c r="AE81" s="63">
        <v>360</v>
      </c>
      <c r="AF81" s="40">
        <v>13</v>
      </c>
      <c r="AG81" s="9">
        <f t="shared" si="14"/>
        <v>100</v>
      </c>
      <c r="AH81" s="11">
        <f t="shared" si="15"/>
        <v>36000</v>
      </c>
      <c r="AI81" s="11">
        <f t="shared" si="16"/>
        <v>41762</v>
      </c>
      <c r="AJ81" s="11">
        <f t="shared" si="17"/>
        <v>77762</v>
      </c>
      <c r="AK81" s="36">
        <v>82025</v>
      </c>
      <c r="AL81" s="36">
        <f t="shared" si="22"/>
        <v>-4263</v>
      </c>
      <c r="AM81" s="59">
        <f t="shared" si="27"/>
        <v>77762</v>
      </c>
      <c r="AN81" s="59">
        <f t="shared" si="19"/>
        <v>-4263</v>
      </c>
      <c r="AO81" s="60">
        <f t="shared" si="20"/>
        <v>80959.25</v>
      </c>
      <c r="AP81" s="36"/>
      <c r="AQ81" s="22"/>
      <c r="AS81" s="22"/>
      <c r="AT81" s="22"/>
      <c r="AX81" s="22"/>
      <c r="AY81" s="22"/>
      <c r="AZ81" s="22"/>
      <c r="BA81" s="22"/>
      <c r="BB81" s="22"/>
    </row>
    <row r="82" spans="1:54" x14ac:dyDescent="0.25">
      <c r="A82" s="8" t="s">
        <v>131</v>
      </c>
      <c r="B82" s="8"/>
      <c r="C82" s="26"/>
      <c r="D82" s="26"/>
      <c r="E82" s="26"/>
      <c r="F82" s="1">
        <v>5</v>
      </c>
      <c r="G82" s="57">
        <v>207.42425468524436</v>
      </c>
      <c r="H82" s="8">
        <v>56</v>
      </c>
      <c r="I82" s="3" t="s">
        <v>189</v>
      </c>
      <c r="J82" s="13">
        <f t="shared" si="2"/>
        <v>0</v>
      </c>
      <c r="K82" s="62">
        <v>1827.28</v>
      </c>
      <c r="L82" s="36"/>
      <c r="M82" s="35"/>
      <c r="N82" s="63">
        <v>103</v>
      </c>
      <c r="O82" s="58">
        <f t="shared" si="3"/>
        <v>5.636793485399063E-2</v>
      </c>
      <c r="P82" s="58">
        <f t="shared" si="4"/>
        <v>0</v>
      </c>
      <c r="Q82" s="36">
        <f t="shared" si="5"/>
        <v>0</v>
      </c>
      <c r="R82" s="36">
        <f t="shared" si="21"/>
        <v>0</v>
      </c>
      <c r="S82" s="63">
        <v>4</v>
      </c>
      <c r="T82" s="37">
        <f t="shared" si="24"/>
        <v>30.9</v>
      </c>
      <c r="U82" s="9">
        <f t="shared" si="25"/>
        <v>1858.78</v>
      </c>
      <c r="V82" s="62">
        <v>1417984725.6700001</v>
      </c>
      <c r="W82" s="63">
        <v>11298</v>
      </c>
      <c r="X82" s="18">
        <f t="shared" si="8"/>
        <v>125507.59</v>
      </c>
      <c r="Y82" s="38">
        <f t="shared" si="9"/>
        <v>0.69363699999999995</v>
      </c>
      <c r="Z82" s="63">
        <v>102671</v>
      </c>
      <c r="AA82" s="38">
        <f t="shared" si="10"/>
        <v>0.931446</v>
      </c>
      <c r="AB82" s="38">
        <f t="shared" si="11"/>
        <v>0.23502000000000001</v>
      </c>
      <c r="AC82" s="39">
        <f t="shared" si="26"/>
        <v>0.23502000000000001</v>
      </c>
      <c r="AD82" s="39">
        <f t="shared" si="28"/>
        <v>0.23502000000000001</v>
      </c>
      <c r="AE82" s="63">
        <v>0</v>
      </c>
      <c r="AF82" s="40">
        <v>0</v>
      </c>
      <c r="AG82" s="9">
        <f t="shared" si="14"/>
        <v>0</v>
      </c>
      <c r="AH82" s="11">
        <f t="shared" si="15"/>
        <v>0</v>
      </c>
      <c r="AI82" s="11">
        <f t="shared" si="16"/>
        <v>5034702</v>
      </c>
      <c r="AJ82" s="11">
        <f t="shared" si="17"/>
        <v>5034702</v>
      </c>
      <c r="AK82" s="36">
        <v>5510220</v>
      </c>
      <c r="AL82" s="36">
        <f t="shared" si="22"/>
        <v>-475518</v>
      </c>
      <c r="AM82" s="59">
        <f t="shared" si="27"/>
        <v>5034702</v>
      </c>
      <c r="AN82" s="59">
        <f t="shared" si="19"/>
        <v>-475518</v>
      </c>
      <c r="AO82" s="60">
        <f t="shared" si="20"/>
        <v>5391340.5</v>
      </c>
      <c r="AP82" s="36"/>
      <c r="AQ82" s="22"/>
      <c r="AS82" s="22"/>
      <c r="AT82" s="22"/>
      <c r="AX82" s="22"/>
      <c r="AY82" s="22"/>
      <c r="AZ82" s="22"/>
      <c r="BA82" s="22"/>
      <c r="BB82" s="22"/>
    </row>
    <row r="83" spans="1:54" x14ac:dyDescent="0.25">
      <c r="A83" s="8" t="s">
        <v>131</v>
      </c>
      <c r="B83" s="8"/>
      <c r="C83" s="26"/>
      <c r="D83" s="26"/>
      <c r="E83" s="26"/>
      <c r="F83" s="1">
        <v>1</v>
      </c>
      <c r="G83" s="57">
        <v>23.391404472085778</v>
      </c>
      <c r="H83" s="8">
        <v>57</v>
      </c>
      <c r="I83" s="3" t="s">
        <v>190</v>
      </c>
      <c r="J83" s="13">
        <f t="shared" si="2"/>
        <v>0</v>
      </c>
      <c r="K83" s="62">
        <v>8877.61</v>
      </c>
      <c r="L83" s="36"/>
      <c r="M83" s="35"/>
      <c r="N83" s="63">
        <v>1323</v>
      </c>
      <c r="O83" s="58">
        <f t="shared" si="3"/>
        <v>0.14902659612215449</v>
      </c>
      <c r="P83" s="58">
        <f t="shared" si="4"/>
        <v>0</v>
      </c>
      <c r="Q83" s="36">
        <f t="shared" si="5"/>
        <v>0</v>
      </c>
      <c r="R83" s="36">
        <f t="shared" si="21"/>
        <v>0</v>
      </c>
      <c r="S83" s="63">
        <v>418</v>
      </c>
      <c r="T83" s="37">
        <f t="shared" si="24"/>
        <v>396.9</v>
      </c>
      <c r="U83" s="9">
        <f t="shared" si="25"/>
        <v>9337.2100000000009</v>
      </c>
      <c r="V83" s="62">
        <v>48313382645</v>
      </c>
      <c r="W83" s="63">
        <v>62695</v>
      </c>
      <c r="X83" s="18">
        <f t="shared" si="8"/>
        <v>770609.82</v>
      </c>
      <c r="Y83" s="38">
        <f t="shared" si="9"/>
        <v>4.2588939999999997</v>
      </c>
      <c r="Z83" s="63">
        <v>128153</v>
      </c>
      <c r="AA83" s="38">
        <f t="shared" si="10"/>
        <v>1.162623</v>
      </c>
      <c r="AB83" s="38">
        <f t="shared" si="11"/>
        <v>-2.3300130000000001</v>
      </c>
      <c r="AC83" s="39">
        <f t="shared" si="26"/>
        <v>0.01</v>
      </c>
      <c r="AD83" s="39">
        <f t="shared" si="28"/>
        <v>0.01</v>
      </c>
      <c r="AE83" s="63">
        <v>0</v>
      </c>
      <c r="AF83" s="40">
        <v>0</v>
      </c>
      <c r="AG83" s="9">
        <f t="shared" si="14"/>
        <v>0</v>
      </c>
      <c r="AH83" s="11">
        <f t="shared" si="15"/>
        <v>0</v>
      </c>
      <c r="AI83" s="11">
        <f t="shared" si="16"/>
        <v>1076113</v>
      </c>
      <c r="AJ83" s="11">
        <f t="shared" si="17"/>
        <v>1076113</v>
      </c>
      <c r="AK83" s="36">
        <v>136859</v>
      </c>
      <c r="AL83" s="36">
        <f t="shared" si="22"/>
        <v>939254</v>
      </c>
      <c r="AM83" s="59">
        <f t="shared" si="27"/>
        <v>1076113</v>
      </c>
      <c r="AN83" s="59">
        <f t="shared" si="19"/>
        <v>939254</v>
      </c>
      <c r="AO83" s="60">
        <f t="shared" si="20"/>
        <v>175368.41399999999</v>
      </c>
      <c r="AP83" s="36"/>
      <c r="AQ83" s="22"/>
      <c r="AS83" s="22"/>
      <c r="AT83" s="22"/>
      <c r="AX83" s="22"/>
      <c r="AY83" s="22"/>
      <c r="AZ83" s="22"/>
      <c r="BA83" s="22"/>
      <c r="BB83" s="22"/>
    </row>
    <row r="84" spans="1:54" x14ac:dyDescent="0.25">
      <c r="A84" s="8" t="s">
        <v>153</v>
      </c>
      <c r="B84" s="8"/>
      <c r="C84" s="26"/>
      <c r="D84" s="26"/>
      <c r="E84" s="26"/>
      <c r="F84" s="1">
        <v>9</v>
      </c>
      <c r="G84" s="61">
        <v>288.67889595758743</v>
      </c>
      <c r="H84" s="8">
        <v>58</v>
      </c>
      <c r="I84" s="3" t="s">
        <v>191</v>
      </c>
      <c r="J84" s="13">
        <f t="shared" si="2"/>
        <v>0</v>
      </c>
      <c r="K84" s="62">
        <v>1684.22</v>
      </c>
      <c r="L84" s="36"/>
      <c r="M84" s="35"/>
      <c r="N84" s="63">
        <v>654</v>
      </c>
      <c r="O84" s="58">
        <f t="shared" si="3"/>
        <v>0.38831031575447389</v>
      </c>
      <c r="P84" s="58">
        <f t="shared" si="4"/>
        <v>0</v>
      </c>
      <c r="Q84" s="36">
        <f t="shared" si="5"/>
        <v>0</v>
      </c>
      <c r="R84" s="36">
        <f t="shared" si="21"/>
        <v>0</v>
      </c>
      <c r="S84" s="63">
        <v>21</v>
      </c>
      <c r="T84" s="37">
        <f t="shared" si="24"/>
        <v>196.2</v>
      </c>
      <c r="U84" s="9">
        <f t="shared" si="25"/>
        <v>1883.5700000000002</v>
      </c>
      <c r="V84" s="62">
        <v>971410390.33000004</v>
      </c>
      <c r="W84" s="63">
        <v>11830</v>
      </c>
      <c r="X84" s="18">
        <f t="shared" si="8"/>
        <v>82114.149999999994</v>
      </c>
      <c r="Y84" s="38">
        <f t="shared" si="9"/>
        <v>0.45381700000000003</v>
      </c>
      <c r="Z84" s="63">
        <v>59153</v>
      </c>
      <c r="AA84" s="38">
        <f t="shared" si="10"/>
        <v>0.53664500000000004</v>
      </c>
      <c r="AB84" s="38">
        <f t="shared" si="11"/>
        <v>0.52133499999999999</v>
      </c>
      <c r="AC84" s="39">
        <f t="shared" si="26"/>
        <v>0.52133499999999999</v>
      </c>
      <c r="AD84" s="39">
        <f t="shared" si="28"/>
        <v>0.52133499999999999</v>
      </c>
      <c r="AE84" s="63">
        <v>0</v>
      </c>
      <c r="AF84" s="40">
        <v>0</v>
      </c>
      <c r="AG84" s="9">
        <f t="shared" si="14"/>
        <v>0</v>
      </c>
      <c r="AH84" s="11">
        <f t="shared" si="15"/>
        <v>0</v>
      </c>
      <c r="AI84" s="11">
        <f t="shared" si="16"/>
        <v>11317215</v>
      </c>
      <c r="AJ84" s="11">
        <f t="shared" si="17"/>
        <v>11317215</v>
      </c>
      <c r="AK84" s="36">
        <v>10775767</v>
      </c>
      <c r="AL84" s="36">
        <f t="shared" si="22"/>
        <v>541448</v>
      </c>
      <c r="AM84" s="59">
        <f t="shared" si="27"/>
        <v>11317215</v>
      </c>
      <c r="AN84" s="59">
        <f t="shared" si="19"/>
        <v>541448</v>
      </c>
      <c r="AO84" s="60">
        <f t="shared" si="20"/>
        <v>10797966.368000001</v>
      </c>
      <c r="AP84" s="36"/>
      <c r="AQ84" s="22"/>
      <c r="AS84" s="22"/>
      <c r="AT84" s="22"/>
      <c r="AX84" s="22"/>
      <c r="AY84" s="22"/>
      <c r="AZ84" s="22"/>
      <c r="BA84" s="22"/>
      <c r="BB84" s="22"/>
    </row>
    <row r="85" spans="1:54" x14ac:dyDescent="0.25">
      <c r="A85" s="8" t="s">
        <v>140</v>
      </c>
      <c r="B85" s="8"/>
      <c r="C85" s="26">
        <v>1</v>
      </c>
      <c r="D85" s="26"/>
      <c r="E85" s="26"/>
      <c r="F85" s="1">
        <v>8</v>
      </c>
      <c r="G85" s="61">
        <v>236.59854401982864</v>
      </c>
      <c r="H85" s="8">
        <v>59</v>
      </c>
      <c r="I85" s="3" t="s">
        <v>192</v>
      </c>
      <c r="J85" s="13">
        <f t="shared" si="2"/>
        <v>0</v>
      </c>
      <c r="K85" s="62">
        <v>4785.9799999999996</v>
      </c>
      <c r="L85" s="36"/>
      <c r="M85" s="35"/>
      <c r="N85" s="63">
        <v>2160</v>
      </c>
      <c r="O85" s="58">
        <f t="shared" si="3"/>
        <v>0.45131822531644517</v>
      </c>
      <c r="P85" s="58">
        <f t="shared" si="4"/>
        <v>0</v>
      </c>
      <c r="Q85" s="36">
        <f t="shared" si="5"/>
        <v>0</v>
      </c>
      <c r="R85" s="36">
        <f t="shared" si="21"/>
        <v>0</v>
      </c>
      <c r="S85" s="63">
        <v>136</v>
      </c>
      <c r="T85" s="37">
        <f t="shared" si="24"/>
        <v>648</v>
      </c>
      <c r="U85" s="9">
        <f t="shared" si="25"/>
        <v>5454.3799999999992</v>
      </c>
      <c r="V85" s="62">
        <v>5205102470.3299999</v>
      </c>
      <c r="W85" s="63">
        <v>39692</v>
      </c>
      <c r="X85" s="18">
        <f t="shared" si="8"/>
        <v>131137.32</v>
      </c>
      <c r="Y85" s="38">
        <f t="shared" si="9"/>
        <v>0.72475100000000003</v>
      </c>
      <c r="Z85" s="63">
        <v>62137</v>
      </c>
      <c r="AA85" s="38">
        <f t="shared" si="10"/>
        <v>0.56371599999999999</v>
      </c>
      <c r="AB85" s="38">
        <f t="shared" si="11"/>
        <v>0.32356000000000001</v>
      </c>
      <c r="AC85" s="39">
        <f t="shared" si="26"/>
        <v>0.32356000000000001</v>
      </c>
      <c r="AD85" s="39">
        <f t="shared" si="28"/>
        <v>0.32356000000000001</v>
      </c>
      <c r="AE85" s="63">
        <v>0</v>
      </c>
      <c r="AF85" s="40">
        <v>0</v>
      </c>
      <c r="AG85" s="9">
        <f t="shared" si="14"/>
        <v>0</v>
      </c>
      <c r="AH85" s="11">
        <f t="shared" si="15"/>
        <v>0</v>
      </c>
      <c r="AI85" s="11">
        <f t="shared" si="16"/>
        <v>20339541</v>
      </c>
      <c r="AJ85" s="11">
        <f t="shared" si="17"/>
        <v>20339541</v>
      </c>
      <c r="AK85" s="36">
        <v>25040045</v>
      </c>
      <c r="AL85" s="36">
        <f t="shared" si="22"/>
        <v>-4700504</v>
      </c>
      <c r="AM85" s="59">
        <f t="shared" si="27"/>
        <v>25040045</v>
      </c>
      <c r="AN85" s="59">
        <f t="shared" si="19"/>
        <v>0</v>
      </c>
      <c r="AO85" s="60">
        <f t="shared" si="20"/>
        <v>25040045</v>
      </c>
      <c r="AP85" s="36"/>
      <c r="AQ85" s="22"/>
      <c r="AS85" s="22"/>
      <c r="AT85" s="22"/>
      <c r="AX85" s="22"/>
      <c r="AY85" s="22"/>
      <c r="AZ85" s="22"/>
      <c r="BA85" s="22"/>
      <c r="BB85" s="22"/>
    </row>
    <row r="86" spans="1:54" x14ac:dyDescent="0.25">
      <c r="A86" s="8" t="s">
        <v>131</v>
      </c>
      <c r="B86" s="8"/>
      <c r="C86" s="26"/>
      <c r="D86" s="26"/>
      <c r="E86" s="26"/>
      <c r="F86" s="1">
        <v>2</v>
      </c>
      <c r="G86" s="57">
        <v>182.0811947745994</v>
      </c>
      <c r="H86" s="8">
        <v>60</v>
      </c>
      <c r="I86" s="3" t="s">
        <v>193</v>
      </c>
      <c r="J86" s="13">
        <f t="shared" si="2"/>
        <v>0</v>
      </c>
      <c r="K86" s="62">
        <v>3410.9</v>
      </c>
      <c r="L86" s="36"/>
      <c r="M86" s="35"/>
      <c r="N86" s="63">
        <v>295</v>
      </c>
      <c r="O86" s="58">
        <f t="shared" si="3"/>
        <v>8.6487437333255146E-2</v>
      </c>
      <c r="P86" s="58">
        <f t="shared" si="4"/>
        <v>0</v>
      </c>
      <c r="Q86" s="36">
        <f t="shared" si="5"/>
        <v>0</v>
      </c>
      <c r="R86" s="36">
        <f t="shared" si="21"/>
        <v>0</v>
      </c>
      <c r="S86" s="63">
        <v>62</v>
      </c>
      <c r="T86" s="37">
        <f t="shared" si="24"/>
        <v>88.5</v>
      </c>
      <c r="U86" s="9">
        <f t="shared" si="25"/>
        <v>3508.7000000000003</v>
      </c>
      <c r="V86" s="62">
        <v>4420131798.3299999</v>
      </c>
      <c r="W86" s="63">
        <v>22350</v>
      </c>
      <c r="X86" s="18">
        <f t="shared" si="8"/>
        <v>197768.76</v>
      </c>
      <c r="Y86" s="38">
        <f t="shared" si="9"/>
        <v>1.093</v>
      </c>
      <c r="Z86" s="63">
        <v>99132</v>
      </c>
      <c r="AA86" s="38">
        <f t="shared" si="10"/>
        <v>0.89934000000000003</v>
      </c>
      <c r="AB86" s="38">
        <f t="shared" si="11"/>
        <v>-3.4902000000000002E-2</v>
      </c>
      <c r="AC86" s="39">
        <f t="shared" si="26"/>
        <v>0.01</v>
      </c>
      <c r="AD86" s="39">
        <f t="shared" si="28"/>
        <v>0.01</v>
      </c>
      <c r="AE86" s="63">
        <v>0</v>
      </c>
      <c r="AF86" s="40">
        <v>0</v>
      </c>
      <c r="AG86" s="9">
        <f t="shared" si="14"/>
        <v>0</v>
      </c>
      <c r="AH86" s="11">
        <f t="shared" si="15"/>
        <v>0</v>
      </c>
      <c r="AI86" s="11">
        <f t="shared" si="16"/>
        <v>404378</v>
      </c>
      <c r="AJ86" s="11">
        <f t="shared" si="17"/>
        <v>404378</v>
      </c>
      <c r="AK86" s="36">
        <v>2740394</v>
      </c>
      <c r="AL86" s="36">
        <f t="shared" si="22"/>
        <v>-2336016</v>
      </c>
      <c r="AM86" s="59">
        <f t="shared" si="27"/>
        <v>404378</v>
      </c>
      <c r="AN86" s="59">
        <f t="shared" si="19"/>
        <v>-2336016</v>
      </c>
      <c r="AO86" s="60">
        <f t="shared" si="20"/>
        <v>2156390</v>
      </c>
      <c r="AP86" s="36"/>
      <c r="AQ86" s="22"/>
      <c r="AS86" s="22"/>
      <c r="AT86" s="22"/>
      <c r="AX86" s="22"/>
      <c r="AY86" s="22"/>
      <c r="AZ86" s="22"/>
      <c r="BA86" s="22"/>
      <c r="BB86" s="22"/>
    </row>
    <row r="87" spans="1:54" x14ac:dyDescent="0.25">
      <c r="A87" s="8" t="s">
        <v>125</v>
      </c>
      <c r="B87" s="8"/>
      <c r="C87" s="26"/>
      <c r="D87" s="26"/>
      <c r="E87" s="26"/>
      <c r="F87" s="1">
        <v>4</v>
      </c>
      <c r="G87" s="57">
        <v>216.84506739331732</v>
      </c>
      <c r="H87" s="8">
        <v>61</v>
      </c>
      <c r="I87" s="3" t="s">
        <v>194</v>
      </c>
      <c r="J87" s="13">
        <f t="shared" si="2"/>
        <v>0</v>
      </c>
      <c r="K87" s="62">
        <v>1227.6099999999999</v>
      </c>
      <c r="L87" s="36"/>
      <c r="M87" s="35"/>
      <c r="N87" s="63">
        <v>114</v>
      </c>
      <c r="O87" s="58">
        <f t="shared" si="3"/>
        <v>9.2863368659427681E-2</v>
      </c>
      <c r="P87" s="58">
        <f t="shared" si="4"/>
        <v>0</v>
      </c>
      <c r="Q87" s="36">
        <f t="shared" si="5"/>
        <v>0</v>
      </c>
      <c r="R87" s="36">
        <f t="shared" si="21"/>
        <v>0</v>
      </c>
      <c r="S87" s="63">
        <v>7</v>
      </c>
      <c r="T87" s="37">
        <f t="shared" si="24"/>
        <v>34.200000000000003</v>
      </c>
      <c r="U87" s="9">
        <f t="shared" si="25"/>
        <v>1262.8599999999999</v>
      </c>
      <c r="V87" s="62">
        <v>1258838887.6700001</v>
      </c>
      <c r="W87" s="63">
        <v>8292</v>
      </c>
      <c r="X87" s="18">
        <f t="shared" si="8"/>
        <v>151813.66</v>
      </c>
      <c r="Y87" s="38">
        <f t="shared" si="9"/>
        <v>0.83902200000000005</v>
      </c>
      <c r="Z87" s="63">
        <v>99866</v>
      </c>
      <c r="AA87" s="38">
        <f t="shared" si="10"/>
        <v>0.905999</v>
      </c>
      <c r="AB87" s="38">
        <f t="shared" si="11"/>
        <v>0.14088500000000001</v>
      </c>
      <c r="AC87" s="39">
        <f t="shared" si="26"/>
        <v>0.14088500000000001</v>
      </c>
      <c r="AD87" s="39">
        <f t="shared" si="28"/>
        <v>0.14088500000000001</v>
      </c>
      <c r="AE87" s="63">
        <v>1236</v>
      </c>
      <c r="AF87" s="40">
        <v>13</v>
      </c>
      <c r="AG87" s="9">
        <f t="shared" si="14"/>
        <v>100</v>
      </c>
      <c r="AH87" s="11">
        <f t="shared" si="15"/>
        <v>123600</v>
      </c>
      <c r="AI87" s="11">
        <f t="shared" si="16"/>
        <v>2050505</v>
      </c>
      <c r="AJ87" s="11">
        <f t="shared" si="17"/>
        <v>2174105</v>
      </c>
      <c r="AK87" s="36">
        <v>1971482</v>
      </c>
      <c r="AL87" s="36">
        <f t="shared" si="22"/>
        <v>202623</v>
      </c>
      <c r="AM87" s="59">
        <f t="shared" si="27"/>
        <v>2174105</v>
      </c>
      <c r="AN87" s="59">
        <f t="shared" si="19"/>
        <v>202623</v>
      </c>
      <c r="AO87" s="60">
        <f t="shared" si="20"/>
        <v>1979789.5430000001</v>
      </c>
      <c r="AP87" s="36"/>
      <c r="AQ87" s="22"/>
      <c r="AS87" s="22"/>
      <c r="AT87" s="22"/>
      <c r="AX87" s="22"/>
      <c r="AY87" s="22"/>
      <c r="AZ87" s="22"/>
      <c r="BA87" s="22"/>
      <c r="BB87" s="22"/>
    </row>
    <row r="88" spans="1:54" x14ac:dyDescent="0.25">
      <c r="A88" s="8" t="s">
        <v>140</v>
      </c>
      <c r="B88" s="8"/>
      <c r="C88" s="26">
        <v>1</v>
      </c>
      <c r="D88" s="26">
        <v>1</v>
      </c>
      <c r="E88" s="26"/>
      <c r="F88" s="1">
        <v>9</v>
      </c>
      <c r="G88" s="61">
        <v>284.49778722286788</v>
      </c>
      <c r="H88" s="8">
        <v>62</v>
      </c>
      <c r="I88" s="3" t="s">
        <v>195</v>
      </c>
      <c r="J88" s="13">
        <f t="shared" si="2"/>
        <v>0</v>
      </c>
      <c r="K88" s="62">
        <v>6305.23</v>
      </c>
      <c r="L88" s="36"/>
      <c r="M88" s="35"/>
      <c r="N88" s="63">
        <v>2574</v>
      </c>
      <c r="O88" s="58">
        <f t="shared" si="3"/>
        <v>0.40823253077207339</v>
      </c>
      <c r="P88" s="58">
        <f t="shared" si="4"/>
        <v>0</v>
      </c>
      <c r="Q88" s="36">
        <f t="shared" si="5"/>
        <v>0</v>
      </c>
      <c r="R88" s="36">
        <f t="shared" si="21"/>
        <v>0</v>
      </c>
      <c r="S88" s="63">
        <v>381</v>
      </c>
      <c r="T88" s="37">
        <f t="shared" si="24"/>
        <v>772.2</v>
      </c>
      <c r="U88" s="9">
        <f t="shared" si="25"/>
        <v>7134.579999999999</v>
      </c>
      <c r="V88" s="62">
        <v>5523082813.3299999</v>
      </c>
      <c r="W88" s="63">
        <v>61218</v>
      </c>
      <c r="X88" s="18">
        <f t="shared" si="8"/>
        <v>90219.92</v>
      </c>
      <c r="Y88" s="38">
        <f t="shared" si="9"/>
        <v>0.498614</v>
      </c>
      <c r="Z88" s="63">
        <v>70791</v>
      </c>
      <c r="AA88" s="38">
        <f t="shared" si="10"/>
        <v>0.64222599999999996</v>
      </c>
      <c r="AB88" s="38">
        <f t="shared" si="11"/>
        <v>0.45830199999999999</v>
      </c>
      <c r="AC88" s="39">
        <f t="shared" si="26"/>
        <v>0.45830199999999999</v>
      </c>
      <c r="AD88" s="39">
        <f t="shared" si="28"/>
        <v>0.45830199999999999</v>
      </c>
      <c r="AE88" s="63">
        <v>0</v>
      </c>
      <c r="AF88" s="40">
        <v>0</v>
      </c>
      <c r="AG88" s="9">
        <f t="shared" si="14"/>
        <v>0</v>
      </c>
      <c r="AH88" s="11">
        <f t="shared" si="15"/>
        <v>0</v>
      </c>
      <c r="AI88" s="11">
        <f t="shared" si="16"/>
        <v>37684356</v>
      </c>
      <c r="AJ88" s="11">
        <f t="shared" si="17"/>
        <v>37684356</v>
      </c>
      <c r="AK88" s="36">
        <v>26945481</v>
      </c>
      <c r="AL88" s="36">
        <f t="shared" si="22"/>
        <v>10738875</v>
      </c>
      <c r="AM88" s="59">
        <f t="shared" si="27"/>
        <v>37684356</v>
      </c>
      <c r="AN88" s="59">
        <f t="shared" si="19"/>
        <v>10738875</v>
      </c>
      <c r="AO88" s="60">
        <f t="shared" si="20"/>
        <v>27385774.875</v>
      </c>
      <c r="AP88" s="36"/>
      <c r="AQ88" s="22"/>
      <c r="AS88" s="22"/>
      <c r="AT88" s="22"/>
      <c r="AX88" s="22"/>
      <c r="AY88" s="22"/>
      <c r="AZ88" s="22"/>
      <c r="BA88" s="22"/>
      <c r="BB88" s="22"/>
    </row>
    <row r="89" spans="1:54" x14ac:dyDescent="0.25">
      <c r="A89" s="8" t="s">
        <v>129</v>
      </c>
      <c r="B89" s="8"/>
      <c r="C89" s="26"/>
      <c r="D89" s="26"/>
      <c r="E89" s="26"/>
      <c r="F89" s="1">
        <v>7</v>
      </c>
      <c r="G89" s="61">
        <v>254.31112094860242</v>
      </c>
      <c r="H89" s="8">
        <v>63</v>
      </c>
      <c r="I89" s="3" t="s">
        <v>196</v>
      </c>
      <c r="J89" s="13">
        <f t="shared" si="2"/>
        <v>0</v>
      </c>
      <c r="K89" s="62">
        <v>149.30000000000001</v>
      </c>
      <c r="L89" s="36"/>
      <c r="M89" s="35"/>
      <c r="N89" s="63">
        <v>38</v>
      </c>
      <c r="O89" s="58">
        <f t="shared" si="3"/>
        <v>0.25452109845947757</v>
      </c>
      <c r="P89" s="58">
        <f t="shared" si="4"/>
        <v>0</v>
      </c>
      <c r="Q89" s="36">
        <f t="shared" si="5"/>
        <v>0</v>
      </c>
      <c r="R89" s="36">
        <f t="shared" si="21"/>
        <v>0</v>
      </c>
      <c r="S89" s="63">
        <v>0</v>
      </c>
      <c r="T89" s="37">
        <f t="shared" si="24"/>
        <v>11.4</v>
      </c>
      <c r="U89" s="9">
        <f t="shared" si="25"/>
        <v>160.70000000000002</v>
      </c>
      <c r="V89" s="62">
        <v>190261024</v>
      </c>
      <c r="W89" s="63">
        <v>1849</v>
      </c>
      <c r="X89" s="18">
        <f t="shared" si="8"/>
        <v>102899.42</v>
      </c>
      <c r="Y89" s="38">
        <f t="shared" si="9"/>
        <v>0.56869000000000003</v>
      </c>
      <c r="Z89" s="63">
        <v>76625</v>
      </c>
      <c r="AA89" s="38">
        <f t="shared" si="10"/>
        <v>0.69515300000000002</v>
      </c>
      <c r="AB89" s="38">
        <f t="shared" si="11"/>
        <v>0.39337100000000003</v>
      </c>
      <c r="AC89" s="39">
        <f t="shared" si="26"/>
        <v>0.39337100000000003</v>
      </c>
      <c r="AD89" s="39">
        <f t="shared" si="28"/>
        <v>0.39337100000000003</v>
      </c>
      <c r="AE89" s="63">
        <v>67</v>
      </c>
      <c r="AF89" s="40">
        <v>6</v>
      </c>
      <c r="AG89" s="9">
        <f t="shared" si="14"/>
        <v>46.15</v>
      </c>
      <c r="AH89" s="11">
        <f t="shared" si="15"/>
        <v>3092</v>
      </c>
      <c r="AI89" s="11">
        <f t="shared" si="16"/>
        <v>728550</v>
      </c>
      <c r="AJ89" s="11">
        <f t="shared" si="17"/>
        <v>731642</v>
      </c>
      <c r="AK89" s="36">
        <v>1312383</v>
      </c>
      <c r="AL89" s="36">
        <f t="shared" si="22"/>
        <v>-580741</v>
      </c>
      <c r="AM89" s="59">
        <f t="shared" si="27"/>
        <v>731642</v>
      </c>
      <c r="AN89" s="59">
        <f t="shared" si="19"/>
        <v>-580741</v>
      </c>
      <c r="AO89" s="60">
        <f t="shared" si="20"/>
        <v>1167197.75</v>
      </c>
      <c r="AP89" s="36"/>
      <c r="AQ89" s="22"/>
      <c r="AS89" s="22"/>
      <c r="AT89" s="22"/>
      <c r="AX89" s="22"/>
      <c r="AY89" s="22"/>
      <c r="AZ89" s="22"/>
      <c r="BA89" s="22"/>
      <c r="BB89" s="22"/>
    </row>
    <row r="90" spans="1:54" x14ac:dyDescent="0.25">
      <c r="A90" s="8" t="s">
        <v>145</v>
      </c>
      <c r="B90" s="8">
        <v>1</v>
      </c>
      <c r="C90" s="26">
        <v>1</v>
      </c>
      <c r="D90" s="26">
        <v>0</v>
      </c>
      <c r="E90" s="26">
        <v>1</v>
      </c>
      <c r="F90" s="1">
        <v>10</v>
      </c>
      <c r="G90" s="61">
        <v>490.47579487884548</v>
      </c>
      <c r="H90" s="8">
        <v>64</v>
      </c>
      <c r="I90" s="3" t="s">
        <v>197</v>
      </c>
      <c r="J90" s="13">
        <f t="shared" si="2"/>
        <v>0</v>
      </c>
      <c r="K90" s="62">
        <v>20503.59</v>
      </c>
      <c r="L90" s="36"/>
      <c r="M90" s="35"/>
      <c r="N90" s="63">
        <v>17315</v>
      </c>
      <c r="O90" s="58">
        <f t="shared" si="3"/>
        <v>0.84448625826013879</v>
      </c>
      <c r="P90" s="58">
        <f t="shared" si="4"/>
        <v>9.4486258260138789E-2</v>
      </c>
      <c r="Q90" s="36">
        <f t="shared" si="5"/>
        <v>1937.307499999999</v>
      </c>
      <c r="R90" s="36">
        <f t="shared" si="21"/>
        <v>96.865374999999958</v>
      </c>
      <c r="S90" s="63">
        <v>4108</v>
      </c>
      <c r="T90" s="37">
        <f t="shared" si="24"/>
        <v>5194.5</v>
      </c>
      <c r="U90" s="9">
        <f t="shared" si="25"/>
        <v>26411.155375000002</v>
      </c>
      <c r="V90" s="62">
        <v>6808174408</v>
      </c>
      <c r="W90" s="63">
        <v>124006</v>
      </c>
      <c r="X90" s="18">
        <f t="shared" si="8"/>
        <v>54901.98</v>
      </c>
      <c r="Y90" s="38">
        <f t="shared" si="9"/>
        <v>0.30342400000000003</v>
      </c>
      <c r="Z90" s="63">
        <v>30630</v>
      </c>
      <c r="AA90" s="38">
        <f t="shared" si="10"/>
        <v>0.27788000000000002</v>
      </c>
      <c r="AB90" s="38">
        <f t="shared" si="11"/>
        <v>0.70423899999999995</v>
      </c>
      <c r="AC90" s="39">
        <f t="shared" si="26"/>
        <v>0.70423899999999995</v>
      </c>
      <c r="AD90" s="39">
        <f>IF(G90&gt;300,+AC90+$AD$16,AC90)</f>
        <v>0.76423899999999989</v>
      </c>
      <c r="AE90" s="63">
        <v>0</v>
      </c>
      <c r="AF90" s="40">
        <v>0</v>
      </c>
      <c r="AG90" s="9">
        <f t="shared" si="14"/>
        <v>0</v>
      </c>
      <c r="AH90" s="11">
        <f t="shared" si="15"/>
        <v>0</v>
      </c>
      <c r="AI90" s="11">
        <f t="shared" si="16"/>
        <v>232625613</v>
      </c>
      <c r="AJ90" s="11">
        <f t="shared" si="17"/>
        <v>232625613</v>
      </c>
      <c r="AK90" s="36">
        <v>200518244</v>
      </c>
      <c r="AL90" s="36">
        <f t="shared" si="22"/>
        <v>32107369</v>
      </c>
      <c r="AM90" s="59">
        <f t="shared" si="27"/>
        <v>232625613</v>
      </c>
      <c r="AN90" s="59">
        <f t="shared" si="19"/>
        <v>32107369</v>
      </c>
      <c r="AO90" s="60">
        <f t="shared" si="20"/>
        <v>201834646.12900001</v>
      </c>
      <c r="AP90" s="36"/>
      <c r="AQ90" s="22"/>
      <c r="AS90" s="22"/>
      <c r="AT90" s="22"/>
      <c r="AX90" s="22"/>
      <c r="AY90" s="22"/>
      <c r="AZ90" s="22"/>
      <c r="BA90" s="22"/>
      <c r="BB90" s="22"/>
    </row>
    <row r="91" spans="1:54" x14ac:dyDescent="0.25">
      <c r="A91" s="8" t="s">
        <v>129</v>
      </c>
      <c r="B91" s="8"/>
      <c r="C91" s="26"/>
      <c r="D91" s="26"/>
      <c r="E91" s="26"/>
      <c r="F91" s="1">
        <v>6</v>
      </c>
      <c r="G91" s="57">
        <v>219.4613443455377</v>
      </c>
      <c r="H91" s="8">
        <v>65</v>
      </c>
      <c r="I91" s="3" t="s">
        <v>198</v>
      </c>
      <c r="J91" s="13">
        <f t="shared" ref="J91:J154" si="29">AT91</f>
        <v>0</v>
      </c>
      <c r="K91" s="62">
        <v>258.39</v>
      </c>
      <c r="L91" s="36"/>
      <c r="M91" s="35"/>
      <c r="N91" s="63">
        <v>21</v>
      </c>
      <c r="O91" s="58">
        <f t="shared" ref="O91:O154" si="30">N91/K91</f>
        <v>8.1272495065598513E-2</v>
      </c>
      <c r="P91" s="58">
        <f t="shared" ref="P91:P154" si="31">IF(O91&gt;0.75,+O91-0.75,0)</f>
        <v>0</v>
      </c>
      <c r="Q91" s="36">
        <f t="shared" ref="Q91:Q154" si="32">P91*K91</f>
        <v>0</v>
      </c>
      <c r="R91" s="36">
        <f t="shared" si="21"/>
        <v>0</v>
      </c>
      <c r="S91" s="63">
        <v>0</v>
      </c>
      <c r="T91" s="37">
        <f t="shared" ref="T91:T122" si="33">ROUND(N91*$T$2,2)</f>
        <v>6.3</v>
      </c>
      <c r="U91" s="9">
        <f t="shared" ref="U91:U122" si="34">K91+T91+0.15*S91+0.05*Q91</f>
        <v>264.69</v>
      </c>
      <c r="V91" s="62">
        <v>282594109</v>
      </c>
      <c r="W91" s="63">
        <v>2127</v>
      </c>
      <c r="X91" s="18">
        <f t="shared" ref="X91:X154" si="35">ROUND(V91/W91,2)</f>
        <v>132860.42000000001</v>
      </c>
      <c r="Y91" s="38">
        <f t="shared" ref="Y91:Y154" si="36">(ROUND(X91/$Y$21,6))</f>
        <v>0.73427399999999998</v>
      </c>
      <c r="Z91" s="63">
        <v>91964</v>
      </c>
      <c r="AA91" s="38">
        <f t="shared" ref="AA91:AA154" si="37">(ROUND(Z91/$AA$21,6))</f>
        <v>0.83431100000000002</v>
      </c>
      <c r="AB91" s="38">
        <f t="shared" ref="AB91:AB154" si="38">ROUND(1-((Y91*$T$4)+(AA91*$T$5)),6)</f>
        <v>0.23571500000000001</v>
      </c>
      <c r="AC91" s="39">
        <f t="shared" ref="AC91:AC122" si="39">IF(C91=1,MAX($T$7,AB91),MAX($T$6,AB91))</f>
        <v>0.23571500000000001</v>
      </c>
      <c r="AD91" s="39">
        <f t="shared" ref="AD91:AD113" si="40">IF(G91&gt;300,+AC91+$AD$17,AC91)</f>
        <v>0.23571500000000001</v>
      </c>
      <c r="AE91" s="63">
        <v>0</v>
      </c>
      <c r="AF91" s="40">
        <v>0</v>
      </c>
      <c r="AG91" s="9">
        <f t="shared" ref="AG91:AG154" si="41">ROUND((AF91/13)*100,2)</f>
        <v>0</v>
      </c>
      <c r="AH91" s="11">
        <f t="shared" ref="AH91:AH154" si="42">ROUND(AE91*AG91,0)</f>
        <v>0</v>
      </c>
      <c r="AI91" s="11">
        <f t="shared" ref="AI91:AI154" si="43">ROUND(U91*AD91*$AI$21,0)</f>
        <v>719061</v>
      </c>
      <c r="AJ91" s="11">
        <f t="shared" ref="AJ91:AJ154" si="44">IF(AI91=0, 0,AH91+AI91)</f>
        <v>719061</v>
      </c>
      <c r="AK91" s="36">
        <v>1327652</v>
      </c>
      <c r="AL91" s="36">
        <f t="shared" si="22"/>
        <v>-608591</v>
      </c>
      <c r="AM91" s="59">
        <f t="shared" ref="AM91:AM122" si="45">IF(AND(C91=1,AK91&gt;AJ91),AK91,AJ91)</f>
        <v>719061</v>
      </c>
      <c r="AN91" s="59">
        <f t="shared" ref="AN91:AN154" si="46">AM91-AK91</f>
        <v>-608591</v>
      </c>
      <c r="AO91" s="60">
        <f t="shared" ref="AO91:AO154" si="47">IF(AN91&gt;0,($AO$21*AN91)+AK91,($AO$24*AN91)+AK91)</f>
        <v>1175504.25</v>
      </c>
      <c r="AP91" s="36"/>
      <c r="AQ91" s="22"/>
      <c r="AS91" s="22"/>
      <c r="AT91" s="22"/>
      <c r="AX91" s="22"/>
      <c r="AY91" s="22"/>
      <c r="AZ91" s="22"/>
      <c r="BA91" s="22"/>
      <c r="BB91" s="22"/>
    </row>
    <row r="92" spans="1:54" x14ac:dyDescent="0.25">
      <c r="A92" s="8" t="s">
        <v>125</v>
      </c>
      <c r="B92" s="8"/>
      <c r="C92" s="26"/>
      <c r="D92" s="26"/>
      <c r="E92" s="26"/>
      <c r="F92" s="1">
        <v>5</v>
      </c>
      <c r="G92" s="57">
        <v>209.72707158344167</v>
      </c>
      <c r="H92" s="8">
        <v>66</v>
      </c>
      <c r="I92" s="3" t="s">
        <v>199</v>
      </c>
      <c r="J92" s="13">
        <f t="shared" si="29"/>
        <v>0</v>
      </c>
      <c r="K92" s="62">
        <v>807.85</v>
      </c>
      <c r="L92" s="36"/>
      <c r="M92" s="35"/>
      <c r="N92" s="63">
        <v>70</v>
      </c>
      <c r="O92" s="58">
        <f t="shared" si="30"/>
        <v>8.6649749334653706E-2</v>
      </c>
      <c r="P92" s="58">
        <f t="shared" si="31"/>
        <v>0</v>
      </c>
      <c r="Q92" s="36">
        <f t="shared" si="32"/>
        <v>0</v>
      </c>
      <c r="R92" s="36">
        <f t="shared" ref="R92:R155" si="48">Q92*0.05</f>
        <v>0</v>
      </c>
      <c r="S92" s="63">
        <v>5</v>
      </c>
      <c r="T92" s="37">
        <f t="shared" si="33"/>
        <v>21</v>
      </c>
      <c r="U92" s="9">
        <f t="shared" si="34"/>
        <v>829.6</v>
      </c>
      <c r="V92" s="62">
        <v>764170034</v>
      </c>
      <c r="W92" s="63">
        <v>5493</v>
      </c>
      <c r="X92" s="18">
        <f t="shared" si="35"/>
        <v>139117.06</v>
      </c>
      <c r="Y92" s="38">
        <f t="shared" si="36"/>
        <v>0.76885199999999998</v>
      </c>
      <c r="Z92" s="63">
        <v>91875</v>
      </c>
      <c r="AA92" s="38">
        <f t="shared" si="37"/>
        <v>0.83350299999999999</v>
      </c>
      <c r="AB92" s="38">
        <f t="shared" si="38"/>
        <v>0.211753</v>
      </c>
      <c r="AC92" s="39">
        <f t="shared" si="39"/>
        <v>0.211753</v>
      </c>
      <c r="AD92" s="39">
        <f t="shared" si="40"/>
        <v>0.211753</v>
      </c>
      <c r="AE92" s="63">
        <v>808</v>
      </c>
      <c r="AF92" s="40">
        <v>13</v>
      </c>
      <c r="AG92" s="9">
        <f t="shared" si="41"/>
        <v>100</v>
      </c>
      <c r="AH92" s="11">
        <f t="shared" si="42"/>
        <v>80800</v>
      </c>
      <c r="AI92" s="11">
        <f t="shared" si="43"/>
        <v>2024600</v>
      </c>
      <c r="AJ92" s="11">
        <f t="shared" si="44"/>
        <v>2105400</v>
      </c>
      <c r="AK92" s="36">
        <v>2708774</v>
      </c>
      <c r="AL92" s="36">
        <f t="shared" si="22"/>
        <v>-603374</v>
      </c>
      <c r="AM92" s="59">
        <f t="shared" si="45"/>
        <v>2105400</v>
      </c>
      <c r="AN92" s="59">
        <f t="shared" si="46"/>
        <v>-603374</v>
      </c>
      <c r="AO92" s="60">
        <f t="shared" si="47"/>
        <v>2557930.5</v>
      </c>
      <c r="AP92" s="36"/>
      <c r="AQ92" s="22"/>
      <c r="AS92" s="22"/>
      <c r="AT92" s="22"/>
      <c r="AX92" s="22"/>
      <c r="AY92" s="22"/>
      <c r="AZ92" s="22"/>
      <c r="BA92" s="22"/>
      <c r="BB92" s="22"/>
    </row>
    <row r="93" spans="1:54" x14ac:dyDescent="0.25">
      <c r="A93" s="8" t="s">
        <v>125</v>
      </c>
      <c r="B93" s="8"/>
      <c r="C93" s="26"/>
      <c r="D93" s="26"/>
      <c r="E93" s="26"/>
      <c r="F93" s="1">
        <v>4</v>
      </c>
      <c r="G93" s="57">
        <v>228.66864328727956</v>
      </c>
      <c r="H93" s="8">
        <v>67</v>
      </c>
      <c r="I93" s="3" t="s">
        <v>200</v>
      </c>
      <c r="J93" s="13">
        <f t="shared" si="29"/>
        <v>0</v>
      </c>
      <c r="K93" s="62">
        <v>1501.79</v>
      </c>
      <c r="L93" s="36"/>
      <c r="M93" s="35"/>
      <c r="N93" s="63">
        <v>131</v>
      </c>
      <c r="O93" s="58">
        <f t="shared" si="30"/>
        <v>8.7229239773869857E-2</v>
      </c>
      <c r="P93" s="58">
        <f t="shared" si="31"/>
        <v>0</v>
      </c>
      <c r="Q93" s="36">
        <f t="shared" si="32"/>
        <v>0</v>
      </c>
      <c r="R93" s="36">
        <f t="shared" si="48"/>
        <v>0</v>
      </c>
      <c r="S93" s="63">
        <v>4</v>
      </c>
      <c r="T93" s="37">
        <f t="shared" si="33"/>
        <v>39.299999999999997</v>
      </c>
      <c r="U93" s="9">
        <f t="shared" si="34"/>
        <v>1541.6899999999998</v>
      </c>
      <c r="V93" s="62">
        <v>1095639083</v>
      </c>
      <c r="W93" s="63">
        <v>9552</v>
      </c>
      <c r="X93" s="18">
        <f t="shared" si="35"/>
        <v>114702.58</v>
      </c>
      <c r="Y93" s="38">
        <f t="shared" si="36"/>
        <v>0.63392199999999999</v>
      </c>
      <c r="Z93" s="63">
        <v>105104</v>
      </c>
      <c r="AA93" s="38">
        <f t="shared" si="37"/>
        <v>0.95351900000000001</v>
      </c>
      <c r="AB93" s="38">
        <f t="shared" si="38"/>
        <v>0.27019900000000002</v>
      </c>
      <c r="AC93" s="39">
        <f t="shared" si="39"/>
        <v>0.27019900000000002</v>
      </c>
      <c r="AD93" s="39">
        <f t="shared" si="40"/>
        <v>0.27019900000000002</v>
      </c>
      <c r="AE93" s="63">
        <v>834</v>
      </c>
      <c r="AF93" s="40">
        <v>6</v>
      </c>
      <c r="AG93" s="9">
        <f t="shared" si="41"/>
        <v>46.15</v>
      </c>
      <c r="AH93" s="11">
        <f t="shared" si="42"/>
        <v>38489</v>
      </c>
      <c r="AI93" s="11">
        <f t="shared" si="43"/>
        <v>4800890</v>
      </c>
      <c r="AJ93" s="11">
        <f t="shared" si="44"/>
        <v>4839379</v>
      </c>
      <c r="AK93" s="36">
        <v>6875123</v>
      </c>
      <c r="AL93" s="36">
        <f t="shared" ref="AL93:AL156" si="49">AJ93-AK93</f>
        <v>-2035744</v>
      </c>
      <c r="AM93" s="59">
        <f t="shared" si="45"/>
        <v>4839379</v>
      </c>
      <c r="AN93" s="59">
        <f t="shared" si="46"/>
        <v>-2035744</v>
      </c>
      <c r="AO93" s="60">
        <f t="shared" si="47"/>
        <v>6366187</v>
      </c>
      <c r="AP93" s="36"/>
      <c r="AQ93" s="22"/>
      <c r="AS93" s="22"/>
      <c r="AT93" s="22"/>
      <c r="AX93" s="22"/>
      <c r="AY93" s="22"/>
      <c r="AZ93" s="22"/>
      <c r="BA93" s="22"/>
      <c r="BB93" s="22"/>
    </row>
    <row r="94" spans="1:54" x14ac:dyDescent="0.25">
      <c r="A94" s="8" t="s">
        <v>129</v>
      </c>
      <c r="B94" s="8"/>
      <c r="C94" s="26"/>
      <c r="D94" s="26"/>
      <c r="E94" s="26"/>
      <c r="F94" s="1">
        <v>2</v>
      </c>
      <c r="G94" s="57">
        <v>187.18074655240972</v>
      </c>
      <c r="H94" s="8">
        <v>68</v>
      </c>
      <c r="I94" s="3" t="s">
        <v>201</v>
      </c>
      <c r="J94" s="13">
        <f t="shared" si="29"/>
        <v>0</v>
      </c>
      <c r="K94" s="62">
        <v>274.56</v>
      </c>
      <c r="L94" s="36"/>
      <c r="M94" s="35"/>
      <c r="N94" s="63">
        <v>49</v>
      </c>
      <c r="O94" s="58">
        <f t="shared" si="30"/>
        <v>0.17846736596736595</v>
      </c>
      <c r="P94" s="58">
        <f t="shared" si="31"/>
        <v>0</v>
      </c>
      <c r="Q94" s="36">
        <f t="shared" si="32"/>
        <v>0</v>
      </c>
      <c r="R94" s="36">
        <f t="shared" si="48"/>
        <v>0</v>
      </c>
      <c r="S94" s="63">
        <v>1</v>
      </c>
      <c r="T94" s="37">
        <f t="shared" si="33"/>
        <v>14.7</v>
      </c>
      <c r="U94" s="9">
        <f t="shared" si="34"/>
        <v>289.40999999999997</v>
      </c>
      <c r="V94" s="62">
        <v>836804917.66999996</v>
      </c>
      <c r="W94" s="63">
        <v>2869</v>
      </c>
      <c r="X94" s="18">
        <f t="shared" si="35"/>
        <v>291671.28999999998</v>
      </c>
      <c r="Y94" s="38">
        <f t="shared" si="36"/>
        <v>1.6119669999999999</v>
      </c>
      <c r="Z94" s="63">
        <v>60714</v>
      </c>
      <c r="AA94" s="38">
        <f t="shared" si="37"/>
        <v>0.55080600000000002</v>
      </c>
      <c r="AB94" s="38">
        <f t="shared" si="38"/>
        <v>-0.29361900000000002</v>
      </c>
      <c r="AC94" s="39">
        <f t="shared" si="39"/>
        <v>0.01</v>
      </c>
      <c r="AD94" s="39">
        <f t="shared" si="40"/>
        <v>0.01</v>
      </c>
      <c r="AE94" s="63">
        <v>55</v>
      </c>
      <c r="AF94" s="40">
        <v>4</v>
      </c>
      <c r="AG94" s="9">
        <f t="shared" si="41"/>
        <v>30.77</v>
      </c>
      <c r="AH94" s="11">
        <f t="shared" si="42"/>
        <v>1692</v>
      </c>
      <c r="AI94" s="11">
        <f t="shared" si="43"/>
        <v>33355</v>
      </c>
      <c r="AJ94" s="11">
        <f t="shared" si="44"/>
        <v>35047</v>
      </c>
      <c r="AK94" s="36">
        <v>25634</v>
      </c>
      <c r="AL94" s="36">
        <f t="shared" si="49"/>
        <v>9413</v>
      </c>
      <c r="AM94" s="59">
        <f t="shared" si="45"/>
        <v>35047</v>
      </c>
      <c r="AN94" s="59">
        <f t="shared" si="46"/>
        <v>9413</v>
      </c>
      <c r="AO94" s="60">
        <f t="shared" si="47"/>
        <v>26019.933000000001</v>
      </c>
      <c r="AP94" s="36"/>
      <c r="AQ94" s="22"/>
      <c r="AS94" s="22"/>
      <c r="AT94" s="22"/>
      <c r="AX94" s="22"/>
      <c r="AY94" s="22"/>
      <c r="AZ94" s="22"/>
      <c r="BA94" s="22"/>
      <c r="BB94" s="22"/>
    </row>
    <row r="95" spans="1:54" x14ac:dyDescent="0.25">
      <c r="A95" s="8" t="s">
        <v>140</v>
      </c>
      <c r="B95" s="8"/>
      <c r="C95" s="26">
        <v>1</v>
      </c>
      <c r="D95" s="26">
        <v>1</v>
      </c>
      <c r="E95" s="26"/>
      <c r="F95" s="1">
        <v>10</v>
      </c>
      <c r="G95" s="61">
        <v>293.70251101929875</v>
      </c>
      <c r="H95" s="8">
        <v>69</v>
      </c>
      <c r="I95" s="3" t="s">
        <v>202</v>
      </c>
      <c r="J95" s="13">
        <f t="shared" si="29"/>
        <v>0</v>
      </c>
      <c r="K95" s="62">
        <v>2333.15</v>
      </c>
      <c r="L95" s="36"/>
      <c r="M95" s="35"/>
      <c r="N95" s="63">
        <v>947</v>
      </c>
      <c r="O95" s="58">
        <f t="shared" si="30"/>
        <v>0.40588903413839655</v>
      </c>
      <c r="P95" s="58">
        <f t="shared" si="31"/>
        <v>0</v>
      </c>
      <c r="Q95" s="36">
        <f t="shared" si="32"/>
        <v>0</v>
      </c>
      <c r="R95" s="36">
        <f t="shared" si="48"/>
        <v>0</v>
      </c>
      <c r="S95" s="63">
        <v>50</v>
      </c>
      <c r="T95" s="37">
        <f t="shared" si="33"/>
        <v>284.10000000000002</v>
      </c>
      <c r="U95" s="9">
        <f t="shared" si="34"/>
        <v>2624.75</v>
      </c>
      <c r="V95" s="62">
        <v>1662951345.6700001</v>
      </c>
      <c r="W95" s="63">
        <v>17131</v>
      </c>
      <c r="X95" s="18">
        <f t="shared" si="35"/>
        <v>97072.639999999999</v>
      </c>
      <c r="Y95" s="38">
        <f t="shared" si="36"/>
        <v>0.53648700000000005</v>
      </c>
      <c r="Z95" s="63">
        <v>55764</v>
      </c>
      <c r="AA95" s="38">
        <f t="shared" si="37"/>
        <v>0.50589899999999999</v>
      </c>
      <c r="AB95" s="38">
        <f t="shared" si="38"/>
        <v>0.47268900000000003</v>
      </c>
      <c r="AC95" s="39">
        <f t="shared" si="39"/>
        <v>0.47268900000000003</v>
      </c>
      <c r="AD95" s="39">
        <f t="shared" si="40"/>
        <v>0.47268900000000003</v>
      </c>
      <c r="AE95" s="63">
        <v>0</v>
      </c>
      <c r="AF95" s="40">
        <v>0</v>
      </c>
      <c r="AG95" s="9">
        <f t="shared" si="41"/>
        <v>0</v>
      </c>
      <c r="AH95" s="11">
        <f t="shared" si="42"/>
        <v>0</v>
      </c>
      <c r="AI95" s="11">
        <f t="shared" si="43"/>
        <v>14298957</v>
      </c>
      <c r="AJ95" s="11">
        <f t="shared" si="44"/>
        <v>14298957</v>
      </c>
      <c r="AK95" s="36">
        <v>15574402</v>
      </c>
      <c r="AL95" s="36">
        <f t="shared" si="49"/>
        <v>-1275445</v>
      </c>
      <c r="AM95" s="59">
        <f t="shared" si="45"/>
        <v>15574402</v>
      </c>
      <c r="AN95" s="59">
        <f t="shared" si="46"/>
        <v>0</v>
      </c>
      <c r="AO95" s="60">
        <f t="shared" si="47"/>
        <v>15574402</v>
      </c>
      <c r="AP95" s="36"/>
      <c r="AQ95" s="22"/>
      <c r="AS95" s="22"/>
      <c r="AT95" s="22"/>
      <c r="AX95" s="22"/>
      <c r="AY95" s="22"/>
      <c r="AZ95" s="22"/>
      <c r="BA95" s="22"/>
      <c r="BB95" s="22"/>
    </row>
    <row r="96" spans="1:54" x14ac:dyDescent="0.25">
      <c r="A96" s="8" t="s">
        <v>125</v>
      </c>
      <c r="B96" s="8"/>
      <c r="C96" s="26"/>
      <c r="D96" s="26"/>
      <c r="E96" s="26"/>
      <c r="F96" s="1">
        <v>3</v>
      </c>
      <c r="G96" s="57">
        <v>188.38656115849309</v>
      </c>
      <c r="H96" s="8">
        <v>70</v>
      </c>
      <c r="I96" s="3" t="s">
        <v>203</v>
      </c>
      <c r="J96" s="13">
        <f t="shared" si="29"/>
        <v>0</v>
      </c>
      <c r="K96" s="62">
        <v>853.9</v>
      </c>
      <c r="L96" s="36"/>
      <c r="M96" s="35"/>
      <c r="N96" s="63">
        <v>37</v>
      </c>
      <c r="O96" s="58">
        <f t="shared" si="30"/>
        <v>4.3330600772924228E-2</v>
      </c>
      <c r="P96" s="58">
        <f t="shared" si="31"/>
        <v>0</v>
      </c>
      <c r="Q96" s="36">
        <f t="shared" si="32"/>
        <v>0</v>
      </c>
      <c r="R96" s="36">
        <f t="shared" si="48"/>
        <v>0</v>
      </c>
      <c r="S96" s="63">
        <v>4</v>
      </c>
      <c r="T96" s="37">
        <f t="shared" si="33"/>
        <v>11.1</v>
      </c>
      <c r="U96" s="9">
        <f t="shared" si="34"/>
        <v>865.6</v>
      </c>
      <c r="V96" s="62">
        <v>1034686065.67</v>
      </c>
      <c r="W96" s="63">
        <v>6455</v>
      </c>
      <c r="X96" s="18">
        <f t="shared" si="35"/>
        <v>160292.19</v>
      </c>
      <c r="Y96" s="38">
        <f t="shared" si="36"/>
        <v>0.88588</v>
      </c>
      <c r="Z96" s="63">
        <v>112137</v>
      </c>
      <c r="AA96" s="38">
        <f t="shared" si="37"/>
        <v>1.017323</v>
      </c>
      <c r="AB96" s="38">
        <f t="shared" si="38"/>
        <v>7.4687000000000003E-2</v>
      </c>
      <c r="AC96" s="39">
        <f t="shared" si="39"/>
        <v>7.4687000000000003E-2</v>
      </c>
      <c r="AD96" s="39">
        <f t="shared" si="40"/>
        <v>7.4687000000000003E-2</v>
      </c>
      <c r="AE96" s="63">
        <v>861</v>
      </c>
      <c r="AF96" s="40">
        <v>13</v>
      </c>
      <c r="AG96" s="9">
        <f t="shared" si="41"/>
        <v>100</v>
      </c>
      <c r="AH96" s="11">
        <f t="shared" si="42"/>
        <v>86100</v>
      </c>
      <c r="AI96" s="11">
        <f t="shared" si="43"/>
        <v>745080</v>
      </c>
      <c r="AJ96" s="11">
        <f t="shared" si="44"/>
        <v>831180</v>
      </c>
      <c r="AK96" s="36">
        <v>2173420</v>
      </c>
      <c r="AL96" s="36">
        <f t="shared" si="49"/>
        <v>-1342240</v>
      </c>
      <c r="AM96" s="59">
        <f t="shared" si="45"/>
        <v>831180</v>
      </c>
      <c r="AN96" s="59">
        <f t="shared" si="46"/>
        <v>-1342240</v>
      </c>
      <c r="AO96" s="60">
        <f t="shared" si="47"/>
        <v>1837860</v>
      </c>
      <c r="AP96" s="36"/>
      <c r="AQ96" s="22"/>
      <c r="AS96" s="22"/>
      <c r="AT96" s="22"/>
      <c r="AX96" s="22"/>
      <c r="AY96" s="22"/>
      <c r="AZ96" s="22"/>
      <c r="BA96" s="22"/>
      <c r="BB96" s="22"/>
    </row>
    <row r="97" spans="1:54" x14ac:dyDescent="0.25">
      <c r="A97" s="8" t="s">
        <v>129</v>
      </c>
      <c r="B97" s="8"/>
      <c r="C97" s="26"/>
      <c r="D97" s="26"/>
      <c r="E97" s="26"/>
      <c r="F97" s="1">
        <v>7</v>
      </c>
      <c r="G97" s="57">
        <v>233.48346265873474</v>
      </c>
      <c r="H97" s="8">
        <v>71</v>
      </c>
      <c r="I97" s="3" t="s">
        <v>204</v>
      </c>
      <c r="J97" s="13">
        <f t="shared" si="29"/>
        <v>0</v>
      </c>
      <c r="K97" s="62">
        <v>963.23</v>
      </c>
      <c r="L97" s="36"/>
      <c r="M97" s="35"/>
      <c r="N97" s="63">
        <v>191</v>
      </c>
      <c r="O97" s="58">
        <f t="shared" si="30"/>
        <v>0.19829116618045534</v>
      </c>
      <c r="P97" s="58">
        <f t="shared" si="31"/>
        <v>0</v>
      </c>
      <c r="Q97" s="36">
        <f t="shared" si="32"/>
        <v>0</v>
      </c>
      <c r="R97" s="36">
        <f t="shared" si="48"/>
        <v>0</v>
      </c>
      <c r="S97" s="63">
        <v>8</v>
      </c>
      <c r="T97" s="37">
        <f t="shared" si="33"/>
        <v>57.3</v>
      </c>
      <c r="U97" s="9">
        <f t="shared" si="34"/>
        <v>1021.73</v>
      </c>
      <c r="V97" s="62">
        <v>872424765.66999996</v>
      </c>
      <c r="W97" s="63">
        <v>7259</v>
      </c>
      <c r="X97" s="18">
        <f t="shared" si="35"/>
        <v>120185.25</v>
      </c>
      <c r="Y97" s="38">
        <f t="shared" si="36"/>
        <v>0.66422199999999998</v>
      </c>
      <c r="Z97" s="63">
        <v>89375</v>
      </c>
      <c r="AA97" s="38">
        <f t="shared" si="37"/>
        <v>0.81082299999999996</v>
      </c>
      <c r="AB97" s="38">
        <f t="shared" si="38"/>
        <v>0.291798</v>
      </c>
      <c r="AC97" s="39">
        <f t="shared" si="39"/>
        <v>0.291798</v>
      </c>
      <c r="AD97" s="39">
        <f t="shared" si="40"/>
        <v>0.291798</v>
      </c>
      <c r="AE97" s="63">
        <v>0</v>
      </c>
      <c r="AF97" s="40">
        <v>0</v>
      </c>
      <c r="AG97" s="9">
        <f t="shared" si="41"/>
        <v>0</v>
      </c>
      <c r="AH97" s="11">
        <f t="shared" si="42"/>
        <v>0</v>
      </c>
      <c r="AI97" s="11">
        <f t="shared" si="43"/>
        <v>3436049</v>
      </c>
      <c r="AJ97" s="11">
        <f t="shared" si="44"/>
        <v>3436049</v>
      </c>
      <c r="AK97" s="36">
        <v>5410404</v>
      </c>
      <c r="AL97" s="36">
        <f t="shared" si="49"/>
        <v>-1974355</v>
      </c>
      <c r="AM97" s="59">
        <f t="shared" si="45"/>
        <v>3436049</v>
      </c>
      <c r="AN97" s="59">
        <f t="shared" si="46"/>
        <v>-1974355</v>
      </c>
      <c r="AO97" s="60">
        <f t="shared" si="47"/>
        <v>4916815.25</v>
      </c>
      <c r="AP97" s="36"/>
      <c r="AQ97" s="22"/>
      <c r="AS97" s="22"/>
      <c r="AT97" s="22"/>
      <c r="AX97" s="22"/>
      <c r="AY97" s="22"/>
      <c r="AZ97" s="22"/>
      <c r="BA97" s="22"/>
      <c r="BB97" s="22"/>
    </row>
    <row r="98" spans="1:54" x14ac:dyDescent="0.25">
      <c r="A98" s="8" t="s">
        <v>135</v>
      </c>
      <c r="B98" s="8"/>
      <c r="C98" s="26"/>
      <c r="D98" s="26"/>
      <c r="E98" s="26"/>
      <c r="F98" s="1">
        <v>7</v>
      </c>
      <c r="G98" s="57">
        <v>241.29307159798293</v>
      </c>
      <c r="H98" s="8">
        <v>72</v>
      </c>
      <c r="I98" s="3" t="s">
        <v>205</v>
      </c>
      <c r="J98" s="13">
        <f t="shared" si="29"/>
        <v>0</v>
      </c>
      <c r="K98" s="62">
        <v>2395.5500000000002</v>
      </c>
      <c r="L98" s="36"/>
      <c r="M98" s="35"/>
      <c r="N98" s="63">
        <v>508</v>
      </c>
      <c r="O98" s="58">
        <f t="shared" si="30"/>
        <v>0.21205986099225646</v>
      </c>
      <c r="P98" s="58">
        <f t="shared" si="31"/>
        <v>0</v>
      </c>
      <c r="Q98" s="36">
        <f t="shared" si="32"/>
        <v>0</v>
      </c>
      <c r="R98" s="36">
        <f t="shared" si="48"/>
        <v>0</v>
      </c>
      <c r="S98" s="63">
        <v>28</v>
      </c>
      <c r="T98" s="37">
        <f t="shared" si="33"/>
        <v>152.4</v>
      </c>
      <c r="U98" s="9">
        <f t="shared" si="34"/>
        <v>2552.15</v>
      </c>
      <c r="V98" s="62">
        <v>1559098847.6700001</v>
      </c>
      <c r="W98" s="63">
        <v>15025</v>
      </c>
      <c r="X98" s="18">
        <f t="shared" si="35"/>
        <v>103766.98</v>
      </c>
      <c r="Y98" s="38">
        <f t="shared" si="36"/>
        <v>0.57348399999999999</v>
      </c>
      <c r="Z98" s="63">
        <v>84825</v>
      </c>
      <c r="AA98" s="38">
        <f t="shared" si="37"/>
        <v>0.76954500000000003</v>
      </c>
      <c r="AB98" s="38">
        <f t="shared" si="38"/>
        <v>0.36769800000000002</v>
      </c>
      <c r="AC98" s="39">
        <f t="shared" si="39"/>
        <v>0.36769800000000002</v>
      </c>
      <c r="AD98" s="39">
        <f t="shared" si="40"/>
        <v>0.36769800000000002</v>
      </c>
      <c r="AE98" s="63">
        <v>0</v>
      </c>
      <c r="AF98" s="40">
        <v>0</v>
      </c>
      <c r="AG98" s="9">
        <f t="shared" si="41"/>
        <v>0</v>
      </c>
      <c r="AH98" s="11">
        <f t="shared" si="42"/>
        <v>0</v>
      </c>
      <c r="AI98" s="11">
        <f t="shared" si="43"/>
        <v>10815296</v>
      </c>
      <c r="AJ98" s="11">
        <f t="shared" si="44"/>
        <v>10815296</v>
      </c>
      <c r="AK98" s="36">
        <v>11977384</v>
      </c>
      <c r="AL98" s="36">
        <f t="shared" si="49"/>
        <v>-1162088</v>
      </c>
      <c r="AM98" s="59">
        <f t="shared" si="45"/>
        <v>10815296</v>
      </c>
      <c r="AN98" s="59">
        <f t="shared" si="46"/>
        <v>-1162088</v>
      </c>
      <c r="AO98" s="60">
        <f t="shared" si="47"/>
        <v>11686862</v>
      </c>
      <c r="AP98" s="36"/>
      <c r="AQ98" s="22"/>
      <c r="AS98" s="22"/>
      <c r="AT98" s="22"/>
      <c r="AX98" s="22"/>
      <c r="AY98" s="22"/>
      <c r="AZ98" s="22"/>
      <c r="BA98" s="22"/>
      <c r="BB98" s="22"/>
    </row>
    <row r="99" spans="1:54" x14ac:dyDescent="0.25">
      <c r="A99" s="8" t="s">
        <v>129</v>
      </c>
      <c r="B99" s="8"/>
      <c r="C99" s="26"/>
      <c r="D99" s="26"/>
      <c r="E99" s="26"/>
      <c r="F99" s="1">
        <v>7</v>
      </c>
      <c r="G99" s="57">
        <v>231.44289711582618</v>
      </c>
      <c r="H99" s="8">
        <v>73</v>
      </c>
      <c r="I99" s="3" t="s">
        <v>206</v>
      </c>
      <c r="J99" s="13">
        <f t="shared" si="29"/>
        <v>0</v>
      </c>
      <c r="K99" s="62">
        <v>553.54</v>
      </c>
      <c r="L99" s="36"/>
      <c r="M99" s="35"/>
      <c r="N99" s="63">
        <v>120</v>
      </c>
      <c r="O99" s="58">
        <f t="shared" si="30"/>
        <v>0.21678650142717781</v>
      </c>
      <c r="P99" s="58">
        <f t="shared" si="31"/>
        <v>0</v>
      </c>
      <c r="Q99" s="36">
        <f t="shared" si="32"/>
        <v>0</v>
      </c>
      <c r="R99" s="36">
        <f t="shared" si="48"/>
        <v>0</v>
      </c>
      <c r="S99" s="63">
        <v>6</v>
      </c>
      <c r="T99" s="37">
        <f t="shared" si="33"/>
        <v>36</v>
      </c>
      <c r="U99" s="9">
        <f t="shared" si="34"/>
        <v>590.43999999999994</v>
      </c>
      <c r="V99" s="62">
        <v>535833518.67000002</v>
      </c>
      <c r="W99" s="63">
        <v>4310</v>
      </c>
      <c r="X99" s="18">
        <f t="shared" si="35"/>
        <v>124323.32</v>
      </c>
      <c r="Y99" s="38">
        <f t="shared" si="36"/>
        <v>0.68709200000000004</v>
      </c>
      <c r="Z99" s="63">
        <v>81200</v>
      </c>
      <c r="AA99" s="38">
        <f t="shared" si="37"/>
        <v>0.73665800000000004</v>
      </c>
      <c r="AB99" s="38">
        <f t="shared" si="38"/>
        <v>0.29803800000000003</v>
      </c>
      <c r="AC99" s="39">
        <f t="shared" si="39"/>
        <v>0.29803800000000003</v>
      </c>
      <c r="AD99" s="39">
        <f t="shared" si="40"/>
        <v>0.29803800000000003</v>
      </c>
      <c r="AE99" s="63">
        <v>0</v>
      </c>
      <c r="AF99" s="40">
        <v>0</v>
      </c>
      <c r="AG99" s="9">
        <f t="shared" si="41"/>
        <v>0</v>
      </c>
      <c r="AH99" s="11">
        <f t="shared" si="42"/>
        <v>0</v>
      </c>
      <c r="AI99" s="11">
        <f t="shared" si="43"/>
        <v>2028095</v>
      </c>
      <c r="AJ99" s="11">
        <f t="shared" si="44"/>
        <v>2028095</v>
      </c>
      <c r="AK99" s="36">
        <v>3518715</v>
      </c>
      <c r="AL99" s="36">
        <f t="shared" si="49"/>
        <v>-1490620</v>
      </c>
      <c r="AM99" s="59">
        <f t="shared" si="45"/>
        <v>2028095</v>
      </c>
      <c r="AN99" s="59">
        <f t="shared" si="46"/>
        <v>-1490620</v>
      </c>
      <c r="AO99" s="60">
        <f t="shared" si="47"/>
        <v>3146060</v>
      </c>
      <c r="AP99" s="36"/>
      <c r="AQ99" s="22"/>
      <c r="AS99" s="22"/>
      <c r="AT99" s="22"/>
      <c r="AX99" s="22"/>
      <c r="AY99" s="22"/>
      <c r="AZ99" s="22"/>
      <c r="BA99" s="22"/>
      <c r="BB99" s="22"/>
    </row>
    <row r="100" spans="1:54" x14ac:dyDescent="0.25">
      <c r="A100" s="8" t="s">
        <v>129</v>
      </c>
      <c r="B100" s="8"/>
      <c r="C100" s="26"/>
      <c r="D100" s="26"/>
      <c r="E100" s="26"/>
      <c r="F100" s="1">
        <v>4</v>
      </c>
      <c r="G100" s="57">
        <v>207.13101128255985</v>
      </c>
      <c r="H100" s="8">
        <v>74</v>
      </c>
      <c r="I100" s="3" t="s">
        <v>207</v>
      </c>
      <c r="J100" s="13">
        <f t="shared" si="29"/>
        <v>0</v>
      </c>
      <c r="K100" s="62">
        <v>902</v>
      </c>
      <c r="L100" s="36"/>
      <c r="M100" s="35"/>
      <c r="N100" s="63">
        <v>102</v>
      </c>
      <c r="O100" s="58">
        <f t="shared" si="30"/>
        <v>0.1130820399113082</v>
      </c>
      <c r="P100" s="58">
        <f t="shared" si="31"/>
        <v>0</v>
      </c>
      <c r="Q100" s="36">
        <f t="shared" si="32"/>
        <v>0</v>
      </c>
      <c r="R100" s="36">
        <f t="shared" si="48"/>
        <v>0</v>
      </c>
      <c r="S100" s="63">
        <v>2</v>
      </c>
      <c r="T100" s="37">
        <f t="shared" si="33"/>
        <v>30.6</v>
      </c>
      <c r="U100" s="9">
        <f t="shared" si="34"/>
        <v>932.9</v>
      </c>
      <c r="V100" s="62">
        <v>1452713486</v>
      </c>
      <c r="W100" s="63">
        <v>8212</v>
      </c>
      <c r="X100" s="18">
        <f t="shared" si="35"/>
        <v>176901.3</v>
      </c>
      <c r="Y100" s="38">
        <f t="shared" si="36"/>
        <v>0.97767199999999999</v>
      </c>
      <c r="Z100" s="63">
        <v>82361</v>
      </c>
      <c r="AA100" s="38">
        <f t="shared" si="37"/>
        <v>0.74719100000000005</v>
      </c>
      <c r="AB100" s="38">
        <f t="shared" si="38"/>
        <v>9.1471999999999998E-2</v>
      </c>
      <c r="AC100" s="39">
        <f t="shared" si="39"/>
        <v>9.1471999999999998E-2</v>
      </c>
      <c r="AD100" s="39">
        <f t="shared" si="40"/>
        <v>9.1471999999999998E-2</v>
      </c>
      <c r="AE100" s="63">
        <v>0</v>
      </c>
      <c r="AF100" s="40">
        <v>0</v>
      </c>
      <c r="AG100" s="9">
        <f t="shared" si="41"/>
        <v>0</v>
      </c>
      <c r="AH100" s="11">
        <f t="shared" si="42"/>
        <v>0</v>
      </c>
      <c r="AI100" s="11">
        <f t="shared" si="43"/>
        <v>983477</v>
      </c>
      <c r="AJ100" s="11">
        <f t="shared" si="44"/>
        <v>983477</v>
      </c>
      <c r="AK100" s="36">
        <v>1446598</v>
      </c>
      <c r="AL100" s="36">
        <f t="shared" si="49"/>
        <v>-463121</v>
      </c>
      <c r="AM100" s="59">
        <f t="shared" si="45"/>
        <v>983477</v>
      </c>
      <c r="AN100" s="59">
        <f t="shared" si="46"/>
        <v>-463121</v>
      </c>
      <c r="AO100" s="60">
        <f t="shared" si="47"/>
        <v>1330817.75</v>
      </c>
      <c r="AP100" s="36"/>
      <c r="AQ100" s="22"/>
      <c r="AS100" s="22"/>
      <c r="AT100" s="22"/>
      <c r="AX100" s="22"/>
      <c r="AY100" s="22"/>
      <c r="AZ100" s="22"/>
      <c r="BA100" s="22"/>
      <c r="BB100" s="22"/>
    </row>
    <row r="101" spans="1:54" x14ac:dyDescent="0.25">
      <c r="A101" s="8" t="s">
        <v>125</v>
      </c>
      <c r="B101" s="8"/>
      <c r="C101" s="26"/>
      <c r="D101" s="26"/>
      <c r="E101" s="26"/>
      <c r="F101" s="1">
        <v>1</v>
      </c>
      <c r="G101" s="57">
        <v>142.95029545183326</v>
      </c>
      <c r="H101" s="8">
        <v>75</v>
      </c>
      <c r="I101" s="3" t="s">
        <v>208</v>
      </c>
      <c r="J101" s="13">
        <f t="shared" si="29"/>
        <v>0</v>
      </c>
      <c r="K101" s="62">
        <v>262.3</v>
      </c>
      <c r="L101" s="36"/>
      <c r="M101" s="35"/>
      <c r="N101" s="63">
        <v>25</v>
      </c>
      <c r="O101" s="58">
        <f t="shared" si="30"/>
        <v>9.5310712924132665E-2</v>
      </c>
      <c r="P101" s="58">
        <f t="shared" si="31"/>
        <v>0</v>
      </c>
      <c r="Q101" s="36">
        <f t="shared" si="32"/>
        <v>0</v>
      </c>
      <c r="R101" s="36">
        <f t="shared" si="48"/>
        <v>0</v>
      </c>
      <c r="S101" s="63">
        <v>5</v>
      </c>
      <c r="T101" s="37">
        <f t="shared" si="33"/>
        <v>7.5</v>
      </c>
      <c r="U101" s="9">
        <f t="shared" si="34"/>
        <v>270.55</v>
      </c>
      <c r="V101" s="62">
        <v>712147369.33000004</v>
      </c>
      <c r="W101" s="63">
        <v>2374</v>
      </c>
      <c r="X101" s="18">
        <f t="shared" si="35"/>
        <v>299977.83</v>
      </c>
      <c r="Y101" s="38">
        <f t="shared" si="36"/>
        <v>1.6578740000000001</v>
      </c>
      <c r="Z101" s="63">
        <v>81650</v>
      </c>
      <c r="AA101" s="38">
        <f t="shared" si="37"/>
        <v>0.74074099999999998</v>
      </c>
      <c r="AB101" s="38">
        <f t="shared" si="38"/>
        <v>-0.38273400000000002</v>
      </c>
      <c r="AC101" s="39">
        <f t="shared" si="39"/>
        <v>0.01</v>
      </c>
      <c r="AD101" s="39">
        <f t="shared" si="40"/>
        <v>0.01</v>
      </c>
      <c r="AE101" s="63">
        <v>260</v>
      </c>
      <c r="AF101" s="40">
        <v>13</v>
      </c>
      <c r="AG101" s="9">
        <f t="shared" si="41"/>
        <v>100</v>
      </c>
      <c r="AH101" s="11">
        <f t="shared" si="42"/>
        <v>26000</v>
      </c>
      <c r="AI101" s="11">
        <f t="shared" si="43"/>
        <v>31181</v>
      </c>
      <c r="AJ101" s="11">
        <f t="shared" si="44"/>
        <v>57181</v>
      </c>
      <c r="AK101" s="36">
        <v>63069</v>
      </c>
      <c r="AL101" s="36">
        <f t="shared" si="49"/>
        <v>-5888</v>
      </c>
      <c r="AM101" s="59">
        <f t="shared" si="45"/>
        <v>57181</v>
      </c>
      <c r="AN101" s="59">
        <f t="shared" si="46"/>
        <v>-5888</v>
      </c>
      <c r="AO101" s="60">
        <f t="shared" si="47"/>
        <v>61597</v>
      </c>
      <c r="AP101" s="36"/>
      <c r="AQ101" s="22"/>
      <c r="AS101" s="22"/>
      <c r="AT101" s="22"/>
      <c r="AX101" s="22"/>
      <c r="AY101" s="22"/>
      <c r="AZ101" s="22"/>
      <c r="BA101" s="22"/>
      <c r="BB101" s="22"/>
    </row>
    <row r="102" spans="1:54" x14ac:dyDescent="0.25">
      <c r="A102" s="8" t="s">
        <v>131</v>
      </c>
      <c r="B102" s="8"/>
      <c r="C102" s="26"/>
      <c r="D102" s="26"/>
      <c r="E102" s="26"/>
      <c r="F102" s="1">
        <v>2</v>
      </c>
      <c r="G102" s="57">
        <v>174.30632494208467</v>
      </c>
      <c r="H102" s="8">
        <v>76</v>
      </c>
      <c r="I102" s="3" t="s">
        <v>209</v>
      </c>
      <c r="J102" s="13">
        <f t="shared" si="29"/>
        <v>0</v>
      </c>
      <c r="K102" s="62">
        <v>2831.95</v>
      </c>
      <c r="L102" s="36"/>
      <c r="M102" s="35"/>
      <c r="N102" s="63">
        <v>125</v>
      </c>
      <c r="O102" s="58">
        <f t="shared" si="30"/>
        <v>4.4139197372834976E-2</v>
      </c>
      <c r="P102" s="58">
        <f t="shared" si="31"/>
        <v>0</v>
      </c>
      <c r="Q102" s="36">
        <f t="shared" si="32"/>
        <v>0</v>
      </c>
      <c r="R102" s="36">
        <f t="shared" si="48"/>
        <v>0</v>
      </c>
      <c r="S102" s="63">
        <v>28</v>
      </c>
      <c r="T102" s="37">
        <f t="shared" si="33"/>
        <v>37.5</v>
      </c>
      <c r="U102" s="9">
        <f t="shared" si="34"/>
        <v>2873.6499999999996</v>
      </c>
      <c r="V102" s="62">
        <v>4168739834.3299999</v>
      </c>
      <c r="W102" s="63">
        <v>18223</v>
      </c>
      <c r="X102" s="18">
        <f t="shared" si="35"/>
        <v>228762.54</v>
      </c>
      <c r="Y102" s="38">
        <f t="shared" si="36"/>
        <v>1.264292</v>
      </c>
      <c r="Z102" s="63">
        <v>107183</v>
      </c>
      <c r="AA102" s="38">
        <f t="shared" si="37"/>
        <v>0.97238000000000002</v>
      </c>
      <c r="AB102" s="38">
        <f t="shared" si="38"/>
        <v>-0.17671799999999999</v>
      </c>
      <c r="AC102" s="39">
        <f t="shared" si="39"/>
        <v>0.01</v>
      </c>
      <c r="AD102" s="39">
        <f t="shared" si="40"/>
        <v>0.01</v>
      </c>
      <c r="AE102" s="63">
        <v>0</v>
      </c>
      <c r="AF102" s="40">
        <v>0</v>
      </c>
      <c r="AG102" s="9">
        <f t="shared" si="41"/>
        <v>0</v>
      </c>
      <c r="AH102" s="11">
        <f t="shared" si="42"/>
        <v>0</v>
      </c>
      <c r="AI102" s="11">
        <f t="shared" si="43"/>
        <v>331188</v>
      </c>
      <c r="AJ102" s="11">
        <f t="shared" si="44"/>
        <v>331188</v>
      </c>
      <c r="AK102" s="36">
        <v>446496</v>
      </c>
      <c r="AL102" s="36">
        <f t="shared" si="49"/>
        <v>-115308</v>
      </c>
      <c r="AM102" s="59">
        <f t="shared" si="45"/>
        <v>331188</v>
      </c>
      <c r="AN102" s="59">
        <f t="shared" si="46"/>
        <v>-115308</v>
      </c>
      <c r="AO102" s="60">
        <f t="shared" si="47"/>
        <v>417669</v>
      </c>
      <c r="AP102" s="36"/>
      <c r="AQ102" s="22"/>
      <c r="AS102" s="22"/>
      <c r="AT102" s="22"/>
      <c r="AX102" s="22"/>
      <c r="AY102" s="22"/>
      <c r="AZ102" s="22"/>
      <c r="BA102" s="22"/>
      <c r="BB102" s="22"/>
    </row>
    <row r="103" spans="1:54" x14ac:dyDescent="0.25">
      <c r="A103" s="8" t="s">
        <v>140</v>
      </c>
      <c r="B103" s="8"/>
      <c r="C103" s="26">
        <v>1</v>
      </c>
      <c r="D103" s="26">
        <v>1</v>
      </c>
      <c r="E103" s="26"/>
      <c r="F103" s="1">
        <v>9</v>
      </c>
      <c r="G103" s="61">
        <v>288.83689744091612</v>
      </c>
      <c r="H103" s="8">
        <v>77</v>
      </c>
      <c r="I103" s="3" t="s">
        <v>210</v>
      </c>
      <c r="J103" s="13">
        <f t="shared" si="29"/>
        <v>0</v>
      </c>
      <c r="K103" s="62">
        <v>7496.9</v>
      </c>
      <c r="L103" s="36"/>
      <c r="M103" s="35"/>
      <c r="N103" s="63">
        <v>4025</v>
      </c>
      <c r="O103" s="58">
        <f t="shared" si="30"/>
        <v>0.53688858061332023</v>
      </c>
      <c r="P103" s="58">
        <f t="shared" si="31"/>
        <v>0</v>
      </c>
      <c r="Q103" s="36">
        <f t="shared" si="32"/>
        <v>0</v>
      </c>
      <c r="R103" s="36">
        <f t="shared" si="48"/>
        <v>0</v>
      </c>
      <c r="S103" s="63">
        <v>459</v>
      </c>
      <c r="T103" s="37">
        <f t="shared" si="33"/>
        <v>1207.5</v>
      </c>
      <c r="U103" s="9">
        <f t="shared" si="34"/>
        <v>8773.25</v>
      </c>
      <c r="V103" s="62">
        <v>5513404052</v>
      </c>
      <c r="W103" s="63">
        <v>58007</v>
      </c>
      <c r="X103" s="18">
        <f t="shared" si="35"/>
        <v>95047.22</v>
      </c>
      <c r="Y103" s="38">
        <f t="shared" si="36"/>
        <v>0.52529300000000001</v>
      </c>
      <c r="Z103" s="63">
        <v>63158</v>
      </c>
      <c r="AA103" s="38">
        <f t="shared" si="37"/>
        <v>0.57297900000000002</v>
      </c>
      <c r="AB103" s="38">
        <f t="shared" si="38"/>
        <v>0.460401</v>
      </c>
      <c r="AC103" s="39">
        <f t="shared" si="39"/>
        <v>0.460401</v>
      </c>
      <c r="AD103" s="39">
        <f t="shared" si="40"/>
        <v>0.460401</v>
      </c>
      <c r="AE103" s="63">
        <v>0</v>
      </c>
      <c r="AF103" s="40">
        <v>0</v>
      </c>
      <c r="AG103" s="9">
        <f t="shared" si="41"/>
        <v>0</v>
      </c>
      <c r="AH103" s="11">
        <f t="shared" si="42"/>
        <v>0</v>
      </c>
      <c r="AI103" s="11">
        <f t="shared" si="43"/>
        <v>46551931</v>
      </c>
      <c r="AJ103" s="11">
        <f t="shared" si="44"/>
        <v>46551931</v>
      </c>
      <c r="AK103" s="36">
        <v>34440424</v>
      </c>
      <c r="AL103" s="36">
        <f t="shared" si="49"/>
        <v>12111507</v>
      </c>
      <c r="AM103" s="59">
        <f t="shared" si="45"/>
        <v>46551931</v>
      </c>
      <c r="AN103" s="59">
        <f t="shared" si="46"/>
        <v>12111507</v>
      </c>
      <c r="AO103" s="60">
        <f t="shared" si="47"/>
        <v>34936995.787</v>
      </c>
      <c r="AP103" s="36"/>
      <c r="AQ103" s="22"/>
      <c r="AS103" s="22"/>
      <c r="AT103" s="22"/>
      <c r="AX103" s="22"/>
      <c r="AY103" s="22"/>
      <c r="AZ103" s="22"/>
      <c r="BA103" s="22"/>
      <c r="BB103" s="22"/>
    </row>
    <row r="104" spans="1:54" x14ac:dyDescent="0.25">
      <c r="A104" s="8" t="s">
        <v>125</v>
      </c>
      <c r="B104" s="8"/>
      <c r="C104" s="26"/>
      <c r="D104" s="26"/>
      <c r="E104" s="26"/>
      <c r="F104" s="1">
        <v>8</v>
      </c>
      <c r="G104" s="61">
        <v>267.10485420448759</v>
      </c>
      <c r="H104" s="8">
        <v>78</v>
      </c>
      <c r="I104" s="3" t="s">
        <v>211</v>
      </c>
      <c r="J104" s="13">
        <f t="shared" si="29"/>
        <v>0</v>
      </c>
      <c r="K104" s="62">
        <v>1722.17</v>
      </c>
      <c r="L104" s="36"/>
      <c r="M104" s="35"/>
      <c r="N104" s="63">
        <v>368</v>
      </c>
      <c r="O104" s="58">
        <f t="shared" si="30"/>
        <v>0.21368389880209271</v>
      </c>
      <c r="P104" s="58">
        <f t="shared" si="31"/>
        <v>0</v>
      </c>
      <c r="Q104" s="36">
        <f t="shared" si="32"/>
        <v>0</v>
      </c>
      <c r="R104" s="36">
        <f t="shared" si="48"/>
        <v>0</v>
      </c>
      <c r="S104" s="63">
        <v>66</v>
      </c>
      <c r="T104" s="37">
        <f t="shared" si="33"/>
        <v>110.4</v>
      </c>
      <c r="U104" s="9">
        <f t="shared" si="34"/>
        <v>1842.4700000000003</v>
      </c>
      <c r="V104" s="62">
        <v>1513449480.3299999</v>
      </c>
      <c r="W104" s="63">
        <v>13954</v>
      </c>
      <c r="X104" s="18">
        <f t="shared" si="35"/>
        <v>108459.9</v>
      </c>
      <c r="Y104" s="38">
        <f t="shared" si="36"/>
        <v>0.59941999999999995</v>
      </c>
      <c r="Z104" s="63">
        <v>60263</v>
      </c>
      <c r="AA104" s="38">
        <f t="shared" si="37"/>
        <v>0.54671499999999995</v>
      </c>
      <c r="AB104" s="38">
        <f t="shared" si="38"/>
        <v>0.41639199999999998</v>
      </c>
      <c r="AC104" s="39">
        <f t="shared" si="39"/>
        <v>0.41639199999999998</v>
      </c>
      <c r="AD104" s="39">
        <f t="shared" si="40"/>
        <v>0.41639199999999998</v>
      </c>
      <c r="AE104" s="63">
        <v>553</v>
      </c>
      <c r="AF104" s="40">
        <v>4</v>
      </c>
      <c r="AG104" s="9">
        <f t="shared" si="41"/>
        <v>30.77</v>
      </c>
      <c r="AH104" s="11">
        <f t="shared" si="42"/>
        <v>17016</v>
      </c>
      <c r="AI104" s="11">
        <f t="shared" si="43"/>
        <v>8841862</v>
      </c>
      <c r="AJ104" s="11">
        <f t="shared" si="44"/>
        <v>8858878</v>
      </c>
      <c r="AK104" s="36">
        <v>9947410</v>
      </c>
      <c r="AL104" s="36">
        <f t="shared" si="49"/>
        <v>-1088532</v>
      </c>
      <c r="AM104" s="59">
        <f t="shared" si="45"/>
        <v>8858878</v>
      </c>
      <c r="AN104" s="59">
        <f t="shared" si="46"/>
        <v>-1088532</v>
      </c>
      <c r="AO104" s="60">
        <f t="shared" si="47"/>
        <v>9675277</v>
      </c>
      <c r="AP104" s="36"/>
      <c r="AQ104" s="22"/>
      <c r="AS104" s="22"/>
      <c r="AT104" s="22"/>
      <c r="AX104" s="22"/>
      <c r="AY104" s="22"/>
      <c r="AZ104" s="22"/>
      <c r="BA104" s="22"/>
      <c r="BB104" s="22"/>
    </row>
    <row r="105" spans="1:54" x14ac:dyDescent="0.25">
      <c r="A105" s="8" t="s">
        <v>125</v>
      </c>
      <c r="B105" s="8"/>
      <c r="C105" s="26"/>
      <c r="D105" s="26"/>
      <c r="E105" s="26"/>
      <c r="F105" s="1">
        <v>4</v>
      </c>
      <c r="G105" s="57">
        <v>223.36141840906024</v>
      </c>
      <c r="H105" s="8">
        <v>79</v>
      </c>
      <c r="I105" s="3" t="s">
        <v>212</v>
      </c>
      <c r="J105" s="13">
        <f t="shared" si="29"/>
        <v>0</v>
      </c>
      <c r="K105" s="62">
        <v>1036.67</v>
      </c>
      <c r="L105" s="36"/>
      <c r="M105" s="35"/>
      <c r="N105" s="63">
        <v>112</v>
      </c>
      <c r="O105" s="58">
        <f t="shared" si="30"/>
        <v>0.10803823781917099</v>
      </c>
      <c r="P105" s="58">
        <f t="shared" si="31"/>
        <v>0</v>
      </c>
      <c r="Q105" s="36">
        <f t="shared" si="32"/>
        <v>0</v>
      </c>
      <c r="R105" s="36">
        <f t="shared" si="48"/>
        <v>0</v>
      </c>
      <c r="S105" s="63">
        <v>6</v>
      </c>
      <c r="T105" s="37">
        <f t="shared" si="33"/>
        <v>33.6</v>
      </c>
      <c r="U105" s="9">
        <f t="shared" si="34"/>
        <v>1071.17</v>
      </c>
      <c r="V105" s="62">
        <v>837777114.33000004</v>
      </c>
      <c r="W105" s="63">
        <v>6430</v>
      </c>
      <c r="X105" s="18">
        <f t="shared" si="35"/>
        <v>130291.93</v>
      </c>
      <c r="Y105" s="38">
        <f t="shared" si="36"/>
        <v>0.72007900000000002</v>
      </c>
      <c r="Z105" s="63">
        <v>108698</v>
      </c>
      <c r="AA105" s="38">
        <f t="shared" si="37"/>
        <v>0.986124</v>
      </c>
      <c r="AB105" s="38">
        <f t="shared" si="38"/>
        <v>0.20010800000000001</v>
      </c>
      <c r="AC105" s="39">
        <f t="shared" si="39"/>
        <v>0.20010800000000001</v>
      </c>
      <c r="AD105" s="39">
        <f t="shared" si="40"/>
        <v>0.20010800000000001</v>
      </c>
      <c r="AE105" s="63">
        <v>519</v>
      </c>
      <c r="AF105" s="40">
        <v>6</v>
      </c>
      <c r="AG105" s="9">
        <f t="shared" si="41"/>
        <v>46.15</v>
      </c>
      <c r="AH105" s="11">
        <f t="shared" si="42"/>
        <v>23952</v>
      </c>
      <c r="AI105" s="11">
        <f t="shared" si="43"/>
        <v>2470380</v>
      </c>
      <c r="AJ105" s="11">
        <f t="shared" si="44"/>
        <v>2494332</v>
      </c>
      <c r="AK105" s="36">
        <v>3154015</v>
      </c>
      <c r="AL105" s="36">
        <f t="shared" si="49"/>
        <v>-659683</v>
      </c>
      <c r="AM105" s="59">
        <f t="shared" si="45"/>
        <v>2494332</v>
      </c>
      <c r="AN105" s="59">
        <f t="shared" si="46"/>
        <v>-659683</v>
      </c>
      <c r="AO105" s="60">
        <f t="shared" si="47"/>
        <v>2989094.25</v>
      </c>
      <c r="AP105" s="36"/>
      <c r="AQ105" s="22"/>
      <c r="AS105" s="22"/>
      <c r="AT105" s="22"/>
      <c r="AX105" s="22"/>
      <c r="AY105" s="22"/>
      <c r="AZ105" s="22"/>
      <c r="BA105" s="22"/>
      <c r="BB105" s="22"/>
    </row>
    <row r="106" spans="1:54" x14ac:dyDescent="0.25">
      <c r="A106" s="8" t="s">
        <v>127</v>
      </c>
      <c r="B106" s="8">
        <v>1</v>
      </c>
      <c r="C106" s="26">
        <v>1</v>
      </c>
      <c r="D106" s="26">
        <v>0</v>
      </c>
      <c r="E106" s="26">
        <v>1</v>
      </c>
      <c r="F106" s="1">
        <v>10</v>
      </c>
      <c r="G106" s="61">
        <v>346.11010064125509</v>
      </c>
      <c r="H106" s="8">
        <v>80</v>
      </c>
      <c r="I106" s="3" t="s">
        <v>213</v>
      </c>
      <c r="J106" s="13">
        <f t="shared" si="29"/>
        <v>0</v>
      </c>
      <c r="K106" s="62">
        <v>8780.7000000000007</v>
      </c>
      <c r="L106" s="36"/>
      <c r="M106" s="35"/>
      <c r="N106" s="63">
        <v>6378</v>
      </c>
      <c r="O106" s="58">
        <f t="shared" si="30"/>
        <v>0.72636577949366221</v>
      </c>
      <c r="P106" s="58">
        <f t="shared" si="31"/>
        <v>0</v>
      </c>
      <c r="Q106" s="36">
        <f t="shared" si="32"/>
        <v>0</v>
      </c>
      <c r="R106" s="36">
        <f t="shared" si="48"/>
        <v>0</v>
      </c>
      <c r="S106" s="63">
        <v>1217</v>
      </c>
      <c r="T106" s="37">
        <f t="shared" si="33"/>
        <v>1913.4</v>
      </c>
      <c r="U106" s="9">
        <f t="shared" si="34"/>
        <v>10876.65</v>
      </c>
      <c r="V106" s="62">
        <v>4558303985.3299999</v>
      </c>
      <c r="W106" s="63">
        <v>59988</v>
      </c>
      <c r="X106" s="18">
        <f t="shared" si="35"/>
        <v>75986.929999999993</v>
      </c>
      <c r="Y106" s="38">
        <f t="shared" si="36"/>
        <v>0.41995399999999999</v>
      </c>
      <c r="Z106" s="63">
        <v>54588</v>
      </c>
      <c r="AA106" s="38">
        <f t="shared" si="37"/>
        <v>0.49523</v>
      </c>
      <c r="AB106" s="38">
        <f t="shared" si="38"/>
        <v>0.55746300000000004</v>
      </c>
      <c r="AC106" s="39">
        <f t="shared" si="39"/>
        <v>0.55746300000000004</v>
      </c>
      <c r="AD106" s="39">
        <f t="shared" si="40"/>
        <v>0.60746300000000009</v>
      </c>
      <c r="AE106" s="63">
        <v>0</v>
      </c>
      <c r="AF106" s="40">
        <v>0</v>
      </c>
      <c r="AG106" s="9">
        <f t="shared" si="41"/>
        <v>0</v>
      </c>
      <c r="AH106" s="11">
        <f t="shared" si="42"/>
        <v>0</v>
      </c>
      <c r="AI106" s="11">
        <f t="shared" si="43"/>
        <v>76147547</v>
      </c>
      <c r="AJ106" s="11">
        <f t="shared" si="44"/>
        <v>76147547</v>
      </c>
      <c r="AK106" s="36">
        <v>60258395</v>
      </c>
      <c r="AL106" s="36">
        <f t="shared" si="49"/>
        <v>15889152</v>
      </c>
      <c r="AM106" s="59">
        <f t="shared" si="45"/>
        <v>76147547</v>
      </c>
      <c r="AN106" s="59">
        <f t="shared" si="46"/>
        <v>15889152</v>
      </c>
      <c r="AO106" s="60">
        <f t="shared" si="47"/>
        <v>60909850.232000001</v>
      </c>
      <c r="AP106" s="36"/>
      <c r="AQ106" s="22"/>
      <c r="AS106" s="22"/>
      <c r="AT106" s="22"/>
      <c r="AX106" s="22"/>
      <c r="AY106" s="22"/>
      <c r="AZ106" s="22"/>
      <c r="BA106" s="22"/>
      <c r="BB106" s="22"/>
    </row>
    <row r="107" spans="1:54" x14ac:dyDescent="0.25">
      <c r="A107" s="8" t="s">
        <v>131</v>
      </c>
      <c r="B107" s="8"/>
      <c r="C107" s="26"/>
      <c r="D107" s="26"/>
      <c r="E107" s="26"/>
      <c r="F107" s="1">
        <v>3</v>
      </c>
      <c r="G107" s="57">
        <v>213.18053403058749</v>
      </c>
      <c r="H107" s="8">
        <v>81</v>
      </c>
      <c r="I107" s="3" t="s">
        <v>214</v>
      </c>
      <c r="J107" s="13">
        <f t="shared" si="29"/>
        <v>0</v>
      </c>
      <c r="K107" s="62">
        <v>1204.3699999999999</v>
      </c>
      <c r="L107" s="36"/>
      <c r="M107" s="35"/>
      <c r="N107" s="63">
        <v>84</v>
      </c>
      <c r="O107" s="58">
        <f t="shared" si="30"/>
        <v>6.9746008286490038E-2</v>
      </c>
      <c r="P107" s="58">
        <f t="shared" si="31"/>
        <v>0</v>
      </c>
      <c r="Q107" s="36">
        <f t="shared" si="32"/>
        <v>0</v>
      </c>
      <c r="R107" s="36">
        <f t="shared" si="48"/>
        <v>0</v>
      </c>
      <c r="S107" s="63">
        <v>17</v>
      </c>
      <c r="T107" s="37">
        <f t="shared" si="33"/>
        <v>25.2</v>
      </c>
      <c r="U107" s="9">
        <f t="shared" si="34"/>
        <v>1232.1199999999999</v>
      </c>
      <c r="V107" s="62">
        <v>1364549403.6700001</v>
      </c>
      <c r="W107" s="63">
        <v>7634</v>
      </c>
      <c r="X107" s="18">
        <f t="shared" si="35"/>
        <v>178746.32</v>
      </c>
      <c r="Y107" s="38">
        <f t="shared" si="36"/>
        <v>0.987869</v>
      </c>
      <c r="Z107" s="63">
        <v>97756</v>
      </c>
      <c r="AA107" s="38">
        <f t="shared" si="37"/>
        <v>0.88685700000000001</v>
      </c>
      <c r="AB107" s="38">
        <f t="shared" si="38"/>
        <v>4.2435E-2</v>
      </c>
      <c r="AC107" s="39">
        <f t="shared" si="39"/>
        <v>4.2435E-2</v>
      </c>
      <c r="AD107" s="39">
        <f t="shared" si="40"/>
        <v>4.2435E-2</v>
      </c>
      <c r="AE107" s="63">
        <v>1205</v>
      </c>
      <c r="AF107" s="40">
        <v>13</v>
      </c>
      <c r="AG107" s="9">
        <f t="shared" si="41"/>
        <v>100</v>
      </c>
      <c r="AH107" s="11">
        <f t="shared" si="42"/>
        <v>120500</v>
      </c>
      <c r="AI107" s="11">
        <f t="shared" si="43"/>
        <v>602585</v>
      </c>
      <c r="AJ107" s="11">
        <f t="shared" si="44"/>
        <v>723085</v>
      </c>
      <c r="AK107" s="36">
        <v>855086</v>
      </c>
      <c r="AL107" s="36">
        <f t="shared" si="49"/>
        <v>-132001</v>
      </c>
      <c r="AM107" s="59">
        <f t="shared" si="45"/>
        <v>723085</v>
      </c>
      <c r="AN107" s="59">
        <f t="shared" si="46"/>
        <v>-132001</v>
      </c>
      <c r="AO107" s="60">
        <f t="shared" si="47"/>
        <v>822085.75</v>
      </c>
      <c r="AP107" s="36"/>
      <c r="AQ107" s="22"/>
      <c r="AS107" s="22"/>
      <c r="AT107" s="22"/>
      <c r="AX107" s="22"/>
      <c r="AY107" s="22"/>
      <c r="AZ107" s="22"/>
      <c r="BA107" s="22"/>
      <c r="BB107" s="22"/>
    </row>
    <row r="108" spans="1:54" x14ac:dyDescent="0.25">
      <c r="A108" s="8" t="s">
        <v>125</v>
      </c>
      <c r="B108" s="8"/>
      <c r="C108" s="26"/>
      <c r="D108" s="26"/>
      <c r="E108" s="26"/>
      <c r="F108" s="1">
        <v>6</v>
      </c>
      <c r="G108" s="57">
        <v>236.70040039319878</v>
      </c>
      <c r="H108" s="8">
        <v>82</v>
      </c>
      <c r="I108" s="3" t="s">
        <v>215</v>
      </c>
      <c r="J108" s="13">
        <f t="shared" si="29"/>
        <v>0</v>
      </c>
      <c r="K108" s="62">
        <v>583.34</v>
      </c>
      <c r="L108" s="36"/>
      <c r="M108" s="35"/>
      <c r="N108" s="63">
        <v>61</v>
      </c>
      <c r="O108" s="58">
        <f t="shared" si="30"/>
        <v>0.10457023348304591</v>
      </c>
      <c r="P108" s="58">
        <f t="shared" si="31"/>
        <v>0</v>
      </c>
      <c r="Q108" s="36">
        <f t="shared" si="32"/>
        <v>0</v>
      </c>
      <c r="R108" s="36">
        <f t="shared" si="48"/>
        <v>0</v>
      </c>
      <c r="S108" s="63">
        <v>0</v>
      </c>
      <c r="T108" s="37">
        <f t="shared" si="33"/>
        <v>18.3</v>
      </c>
      <c r="U108" s="9">
        <f t="shared" si="34"/>
        <v>601.64</v>
      </c>
      <c r="V108" s="62">
        <v>587587717.33000004</v>
      </c>
      <c r="W108" s="63">
        <v>4407</v>
      </c>
      <c r="X108" s="18">
        <f t="shared" si="35"/>
        <v>133330.54999999999</v>
      </c>
      <c r="Y108" s="38">
        <f t="shared" si="36"/>
        <v>0.73687199999999997</v>
      </c>
      <c r="Z108" s="63">
        <v>102426</v>
      </c>
      <c r="AA108" s="38">
        <f t="shared" si="37"/>
        <v>0.92922400000000005</v>
      </c>
      <c r="AB108" s="38">
        <f t="shared" si="38"/>
        <v>0.20542199999999999</v>
      </c>
      <c r="AC108" s="39">
        <f t="shared" si="39"/>
        <v>0.20542199999999999</v>
      </c>
      <c r="AD108" s="39">
        <f t="shared" si="40"/>
        <v>0.20542199999999999</v>
      </c>
      <c r="AE108" s="63">
        <v>579</v>
      </c>
      <c r="AF108" s="40">
        <v>13</v>
      </c>
      <c r="AG108" s="9">
        <f t="shared" si="41"/>
        <v>100</v>
      </c>
      <c r="AH108" s="11">
        <f t="shared" si="42"/>
        <v>57900</v>
      </c>
      <c r="AI108" s="11">
        <f t="shared" si="43"/>
        <v>1424376</v>
      </c>
      <c r="AJ108" s="11">
        <f t="shared" si="44"/>
        <v>1482276</v>
      </c>
      <c r="AK108" s="36">
        <v>2099315</v>
      </c>
      <c r="AL108" s="36">
        <f t="shared" si="49"/>
        <v>-617039</v>
      </c>
      <c r="AM108" s="59">
        <f t="shared" si="45"/>
        <v>1482276</v>
      </c>
      <c r="AN108" s="59">
        <f t="shared" si="46"/>
        <v>-617039</v>
      </c>
      <c r="AO108" s="60">
        <f t="shared" si="47"/>
        <v>1945055.25</v>
      </c>
      <c r="AP108" s="36"/>
      <c r="AQ108" s="22"/>
      <c r="AS108" s="22"/>
      <c r="AT108" s="22"/>
      <c r="AX108" s="22"/>
      <c r="AY108" s="22"/>
      <c r="AZ108" s="22"/>
      <c r="BA108" s="22"/>
      <c r="BB108" s="22"/>
    </row>
    <row r="109" spans="1:54" x14ac:dyDescent="0.25">
      <c r="A109" s="8" t="s">
        <v>140</v>
      </c>
      <c r="B109" s="8"/>
      <c r="C109" s="26">
        <v>1</v>
      </c>
      <c r="D109" s="26">
        <v>1</v>
      </c>
      <c r="E109" s="26"/>
      <c r="F109" s="1">
        <v>9</v>
      </c>
      <c r="G109" s="61">
        <v>280.9857891454522</v>
      </c>
      <c r="H109" s="8">
        <v>83</v>
      </c>
      <c r="I109" s="3" t="s">
        <v>216</v>
      </c>
      <c r="J109" s="13">
        <f t="shared" si="29"/>
        <v>0</v>
      </c>
      <c r="K109" s="62">
        <v>4853.6400000000003</v>
      </c>
      <c r="L109" s="36"/>
      <c r="M109" s="35"/>
      <c r="N109" s="63">
        <v>2204</v>
      </c>
      <c r="O109" s="58">
        <f t="shared" si="30"/>
        <v>0.4540921864827222</v>
      </c>
      <c r="P109" s="58">
        <f t="shared" si="31"/>
        <v>0</v>
      </c>
      <c r="Q109" s="36">
        <f t="shared" si="32"/>
        <v>0</v>
      </c>
      <c r="R109" s="36">
        <f t="shared" si="48"/>
        <v>0</v>
      </c>
      <c r="S109" s="63">
        <v>180</v>
      </c>
      <c r="T109" s="37">
        <f t="shared" si="33"/>
        <v>661.2</v>
      </c>
      <c r="U109" s="9">
        <f t="shared" si="34"/>
        <v>5541.84</v>
      </c>
      <c r="V109" s="62">
        <v>4785587928</v>
      </c>
      <c r="W109" s="63">
        <v>46756</v>
      </c>
      <c r="X109" s="18">
        <f t="shared" si="35"/>
        <v>102352.38</v>
      </c>
      <c r="Y109" s="38">
        <f t="shared" si="36"/>
        <v>0.565666</v>
      </c>
      <c r="Z109" s="63">
        <v>63691</v>
      </c>
      <c r="AA109" s="38">
        <f t="shared" si="37"/>
        <v>0.57781400000000005</v>
      </c>
      <c r="AB109" s="38">
        <f t="shared" si="38"/>
        <v>0.43069000000000002</v>
      </c>
      <c r="AC109" s="39">
        <f t="shared" si="39"/>
        <v>0.43069000000000002</v>
      </c>
      <c r="AD109" s="39">
        <f t="shared" si="40"/>
        <v>0.43069000000000002</v>
      </c>
      <c r="AE109" s="63">
        <v>0</v>
      </c>
      <c r="AF109" s="40">
        <v>0</v>
      </c>
      <c r="AG109" s="9">
        <f t="shared" si="41"/>
        <v>0</v>
      </c>
      <c r="AH109" s="11">
        <f t="shared" si="42"/>
        <v>0</v>
      </c>
      <c r="AI109" s="11">
        <f t="shared" si="43"/>
        <v>27508044</v>
      </c>
      <c r="AJ109" s="11">
        <f t="shared" si="44"/>
        <v>27508044</v>
      </c>
      <c r="AK109" s="36">
        <v>19515825</v>
      </c>
      <c r="AL109" s="36">
        <f t="shared" si="49"/>
        <v>7992219</v>
      </c>
      <c r="AM109" s="59">
        <f t="shared" si="45"/>
        <v>27508044</v>
      </c>
      <c r="AN109" s="59">
        <f t="shared" si="46"/>
        <v>7992219</v>
      </c>
      <c r="AO109" s="60">
        <f t="shared" si="47"/>
        <v>19843505.978999998</v>
      </c>
      <c r="AP109" s="36"/>
      <c r="AQ109" s="22"/>
      <c r="AS109" s="22"/>
      <c r="AT109" s="22"/>
      <c r="AX109" s="22"/>
      <c r="AY109" s="22"/>
      <c r="AZ109" s="22"/>
      <c r="BA109" s="22"/>
      <c r="BB109" s="22"/>
    </row>
    <row r="110" spans="1:54" x14ac:dyDescent="0.25">
      <c r="A110" s="8" t="s">
        <v>135</v>
      </c>
      <c r="B110" s="8"/>
      <c r="C110" s="26"/>
      <c r="D110" s="26"/>
      <c r="E110" s="26"/>
      <c r="F110" s="1">
        <v>6</v>
      </c>
      <c r="G110" s="61">
        <v>221.42824215825448</v>
      </c>
      <c r="H110" s="8">
        <v>84</v>
      </c>
      <c r="I110" s="3" t="s">
        <v>217</v>
      </c>
      <c r="J110" s="13">
        <f t="shared" si="29"/>
        <v>0</v>
      </c>
      <c r="K110" s="62">
        <v>5822.32</v>
      </c>
      <c r="L110" s="36"/>
      <c r="M110" s="35"/>
      <c r="N110" s="63">
        <v>1076</v>
      </c>
      <c r="O110" s="58">
        <f t="shared" si="30"/>
        <v>0.1848060566921777</v>
      </c>
      <c r="P110" s="58">
        <f t="shared" si="31"/>
        <v>0</v>
      </c>
      <c r="Q110" s="36">
        <f t="shared" si="32"/>
        <v>0</v>
      </c>
      <c r="R110" s="36">
        <f t="shared" si="48"/>
        <v>0</v>
      </c>
      <c r="S110" s="63">
        <v>148</v>
      </c>
      <c r="T110" s="37">
        <f t="shared" si="33"/>
        <v>322.8</v>
      </c>
      <c r="U110" s="9">
        <f t="shared" si="34"/>
        <v>6167.32</v>
      </c>
      <c r="V110" s="62">
        <v>9320964030.3299999</v>
      </c>
      <c r="W110" s="63">
        <v>53592</v>
      </c>
      <c r="X110" s="18">
        <f t="shared" si="35"/>
        <v>173924.54</v>
      </c>
      <c r="Y110" s="38">
        <f t="shared" si="36"/>
        <v>0.96122099999999999</v>
      </c>
      <c r="Z110" s="63">
        <v>80247</v>
      </c>
      <c r="AA110" s="38">
        <f t="shared" si="37"/>
        <v>0.72801300000000002</v>
      </c>
      <c r="AB110" s="38">
        <f t="shared" si="38"/>
        <v>0.108741</v>
      </c>
      <c r="AC110" s="39">
        <f t="shared" si="39"/>
        <v>0.108741</v>
      </c>
      <c r="AD110" s="39">
        <f t="shared" si="40"/>
        <v>0.108741</v>
      </c>
      <c r="AE110" s="63">
        <v>0</v>
      </c>
      <c r="AF110" s="40">
        <v>0</v>
      </c>
      <c r="AG110" s="9">
        <f t="shared" si="41"/>
        <v>0</v>
      </c>
      <c r="AH110" s="11">
        <f t="shared" si="42"/>
        <v>0</v>
      </c>
      <c r="AI110" s="11">
        <f t="shared" si="43"/>
        <v>7729132</v>
      </c>
      <c r="AJ110" s="11">
        <f t="shared" si="44"/>
        <v>7729132</v>
      </c>
      <c r="AK110" s="36">
        <v>10849101</v>
      </c>
      <c r="AL110" s="36">
        <f t="shared" si="49"/>
        <v>-3119969</v>
      </c>
      <c r="AM110" s="59">
        <f t="shared" si="45"/>
        <v>7729132</v>
      </c>
      <c r="AN110" s="59">
        <f t="shared" si="46"/>
        <v>-3119969</v>
      </c>
      <c r="AO110" s="60">
        <f t="shared" si="47"/>
        <v>10069108.75</v>
      </c>
      <c r="AP110" s="36"/>
      <c r="AQ110" s="22"/>
      <c r="AS110" s="22"/>
      <c r="AT110" s="22"/>
      <c r="AX110" s="22"/>
      <c r="AY110" s="22"/>
      <c r="AZ110" s="22"/>
      <c r="BA110" s="22"/>
      <c r="BB110" s="22"/>
    </row>
    <row r="111" spans="1:54" x14ac:dyDescent="0.25">
      <c r="A111" s="8" t="s">
        <v>131</v>
      </c>
      <c r="B111" s="8"/>
      <c r="C111" s="26"/>
      <c r="D111" s="26"/>
      <c r="E111" s="26"/>
      <c r="F111" s="1">
        <v>3</v>
      </c>
      <c r="G111" s="57">
        <v>220.02101510663744</v>
      </c>
      <c r="H111" s="8">
        <v>85</v>
      </c>
      <c r="I111" s="3" t="s">
        <v>218</v>
      </c>
      <c r="J111" s="13">
        <f t="shared" si="29"/>
        <v>0</v>
      </c>
      <c r="K111" s="62">
        <v>3207.55</v>
      </c>
      <c r="L111" s="36"/>
      <c r="M111" s="35"/>
      <c r="N111" s="63">
        <v>253</v>
      </c>
      <c r="O111" s="58">
        <f t="shared" si="30"/>
        <v>7.8876400991410883E-2</v>
      </c>
      <c r="P111" s="58">
        <f t="shared" si="31"/>
        <v>0</v>
      </c>
      <c r="Q111" s="36">
        <f t="shared" si="32"/>
        <v>0</v>
      </c>
      <c r="R111" s="36">
        <f t="shared" si="48"/>
        <v>0</v>
      </c>
      <c r="S111" s="63">
        <v>27</v>
      </c>
      <c r="T111" s="37">
        <f t="shared" si="33"/>
        <v>75.900000000000006</v>
      </c>
      <c r="U111" s="9">
        <f t="shared" si="34"/>
        <v>3287.5000000000005</v>
      </c>
      <c r="V111" s="62">
        <v>3099666637</v>
      </c>
      <c r="W111" s="63">
        <v>19833</v>
      </c>
      <c r="X111" s="18">
        <f t="shared" si="35"/>
        <v>156288.34</v>
      </c>
      <c r="Y111" s="38">
        <f t="shared" si="36"/>
        <v>0.86375199999999996</v>
      </c>
      <c r="Z111" s="63">
        <v>110558</v>
      </c>
      <c r="AA111" s="38">
        <f t="shared" si="37"/>
        <v>1.0029980000000001</v>
      </c>
      <c r="AB111" s="38">
        <f t="shared" si="38"/>
        <v>9.4474000000000002E-2</v>
      </c>
      <c r="AC111" s="39">
        <f t="shared" si="39"/>
        <v>9.4474000000000002E-2</v>
      </c>
      <c r="AD111" s="39">
        <f t="shared" si="40"/>
        <v>9.4474000000000002E-2</v>
      </c>
      <c r="AE111" s="63">
        <v>0</v>
      </c>
      <c r="AF111" s="40">
        <v>0</v>
      </c>
      <c r="AG111" s="9">
        <f t="shared" si="41"/>
        <v>0</v>
      </c>
      <c r="AH111" s="11">
        <f t="shared" si="42"/>
        <v>0</v>
      </c>
      <c r="AI111" s="11">
        <f t="shared" si="43"/>
        <v>3579472</v>
      </c>
      <c r="AJ111" s="11">
        <f t="shared" si="44"/>
        <v>3579472</v>
      </c>
      <c r="AK111" s="36">
        <v>6394518</v>
      </c>
      <c r="AL111" s="36">
        <f t="shared" si="49"/>
        <v>-2815046</v>
      </c>
      <c r="AM111" s="59">
        <f t="shared" si="45"/>
        <v>3579472</v>
      </c>
      <c r="AN111" s="59">
        <f t="shared" si="46"/>
        <v>-2815046</v>
      </c>
      <c r="AO111" s="60">
        <f t="shared" si="47"/>
        <v>5690756.5</v>
      </c>
      <c r="AP111" s="36"/>
      <c r="AQ111" s="22"/>
      <c r="AS111" s="22"/>
      <c r="AT111" s="22"/>
      <c r="AX111" s="22"/>
      <c r="AY111" s="22"/>
      <c r="AZ111" s="22"/>
      <c r="BA111" s="22"/>
      <c r="BB111" s="22"/>
    </row>
    <row r="112" spans="1:54" x14ac:dyDescent="0.25">
      <c r="A112" s="8" t="s">
        <v>153</v>
      </c>
      <c r="B112" s="8"/>
      <c r="C112" s="26"/>
      <c r="D112" s="26"/>
      <c r="E112" s="26"/>
      <c r="F112" s="1">
        <v>8</v>
      </c>
      <c r="G112" s="61">
        <v>266.10336984741417</v>
      </c>
      <c r="H112" s="8">
        <v>86</v>
      </c>
      <c r="I112" s="3" t="s">
        <v>219</v>
      </c>
      <c r="J112" s="13">
        <f t="shared" si="29"/>
        <v>0</v>
      </c>
      <c r="K112" s="62">
        <v>2373.9299999999998</v>
      </c>
      <c r="L112" s="36"/>
      <c r="M112" s="35"/>
      <c r="N112" s="63">
        <v>876</v>
      </c>
      <c r="O112" s="58">
        <f t="shared" si="30"/>
        <v>0.36900835323703735</v>
      </c>
      <c r="P112" s="58">
        <f t="shared" si="31"/>
        <v>0</v>
      </c>
      <c r="Q112" s="36">
        <f t="shared" si="32"/>
        <v>0</v>
      </c>
      <c r="R112" s="36">
        <f t="shared" si="48"/>
        <v>0</v>
      </c>
      <c r="S112" s="63">
        <v>91</v>
      </c>
      <c r="T112" s="37">
        <f t="shared" si="33"/>
        <v>262.8</v>
      </c>
      <c r="U112" s="9">
        <f t="shared" si="34"/>
        <v>2650.38</v>
      </c>
      <c r="V112" s="62">
        <v>1834953231.3299999</v>
      </c>
      <c r="W112" s="63">
        <v>19396</v>
      </c>
      <c r="X112" s="18">
        <f t="shared" si="35"/>
        <v>94604.72</v>
      </c>
      <c r="Y112" s="38">
        <f t="shared" si="36"/>
        <v>0.52284799999999998</v>
      </c>
      <c r="Z112" s="63">
        <v>70036</v>
      </c>
      <c r="AA112" s="38">
        <f t="shared" si="37"/>
        <v>0.63537699999999997</v>
      </c>
      <c r="AB112" s="38">
        <f t="shared" si="38"/>
        <v>0.44339299999999998</v>
      </c>
      <c r="AC112" s="39">
        <f t="shared" si="39"/>
        <v>0.44339299999999998</v>
      </c>
      <c r="AD112" s="39">
        <f t="shared" si="40"/>
        <v>0.44339299999999998</v>
      </c>
      <c r="AE112" s="63">
        <v>0</v>
      </c>
      <c r="AF112" s="40">
        <v>0</v>
      </c>
      <c r="AG112" s="9">
        <f t="shared" si="41"/>
        <v>0</v>
      </c>
      <c r="AH112" s="11">
        <f t="shared" si="42"/>
        <v>0</v>
      </c>
      <c r="AI112" s="11">
        <f t="shared" si="43"/>
        <v>13543718</v>
      </c>
      <c r="AJ112" s="11">
        <f t="shared" si="44"/>
        <v>13543718</v>
      </c>
      <c r="AK112" s="36">
        <v>12589621</v>
      </c>
      <c r="AL112" s="36">
        <f t="shared" si="49"/>
        <v>954097</v>
      </c>
      <c r="AM112" s="59">
        <f t="shared" si="45"/>
        <v>13543718</v>
      </c>
      <c r="AN112" s="59">
        <f t="shared" si="46"/>
        <v>954097</v>
      </c>
      <c r="AO112" s="60">
        <f t="shared" si="47"/>
        <v>12628738.977</v>
      </c>
      <c r="AP112" s="36"/>
      <c r="AQ112" s="22"/>
      <c r="AS112" s="22"/>
      <c r="AT112" s="22"/>
      <c r="AX112" s="22"/>
      <c r="AY112" s="22"/>
      <c r="AZ112" s="22"/>
      <c r="BA112" s="22"/>
      <c r="BB112" s="22"/>
    </row>
    <row r="113" spans="1:54" x14ac:dyDescent="0.25">
      <c r="A113" s="8" t="s">
        <v>129</v>
      </c>
      <c r="B113" s="8"/>
      <c r="C113" s="26"/>
      <c r="D113" s="26"/>
      <c r="E113" s="26"/>
      <c r="F113" s="1">
        <v>3</v>
      </c>
      <c r="G113" s="57">
        <v>214.90548223699065</v>
      </c>
      <c r="H113" s="8">
        <v>87</v>
      </c>
      <c r="I113" s="3" t="s">
        <v>220</v>
      </c>
      <c r="J113" s="13">
        <f t="shared" si="29"/>
        <v>0</v>
      </c>
      <c r="K113" s="62">
        <v>261.45</v>
      </c>
      <c r="L113" s="36"/>
      <c r="M113" s="35"/>
      <c r="N113" s="63">
        <v>31</v>
      </c>
      <c r="O113" s="58">
        <f t="shared" si="30"/>
        <v>0.11856951615987761</v>
      </c>
      <c r="P113" s="58">
        <f t="shared" si="31"/>
        <v>0</v>
      </c>
      <c r="Q113" s="36">
        <f t="shared" si="32"/>
        <v>0</v>
      </c>
      <c r="R113" s="36">
        <f t="shared" si="48"/>
        <v>0</v>
      </c>
      <c r="S113" s="63">
        <v>3</v>
      </c>
      <c r="T113" s="37">
        <f t="shared" si="33"/>
        <v>9.3000000000000007</v>
      </c>
      <c r="U113" s="9">
        <f t="shared" si="34"/>
        <v>271.2</v>
      </c>
      <c r="V113" s="62">
        <v>438088535</v>
      </c>
      <c r="W113" s="63">
        <v>2293</v>
      </c>
      <c r="X113" s="18">
        <f t="shared" si="35"/>
        <v>191054.75</v>
      </c>
      <c r="Y113" s="38">
        <f t="shared" si="36"/>
        <v>1.0558940000000001</v>
      </c>
      <c r="Z113" s="63">
        <v>83750</v>
      </c>
      <c r="AA113" s="38">
        <f t="shared" si="37"/>
        <v>0.75979200000000002</v>
      </c>
      <c r="AB113" s="38">
        <f t="shared" si="38"/>
        <v>3.2937000000000001E-2</v>
      </c>
      <c r="AC113" s="39">
        <f t="shared" si="39"/>
        <v>3.2937000000000001E-2</v>
      </c>
      <c r="AD113" s="39">
        <f t="shared" si="40"/>
        <v>3.2937000000000001E-2</v>
      </c>
      <c r="AE113" s="63">
        <v>265</v>
      </c>
      <c r="AF113" s="40">
        <v>13</v>
      </c>
      <c r="AG113" s="9">
        <f t="shared" si="41"/>
        <v>100</v>
      </c>
      <c r="AH113" s="11">
        <f t="shared" si="42"/>
        <v>26500</v>
      </c>
      <c r="AI113" s="11">
        <f t="shared" si="43"/>
        <v>102947</v>
      </c>
      <c r="AJ113" s="11">
        <f t="shared" si="44"/>
        <v>129447</v>
      </c>
      <c r="AK113" s="36">
        <v>102178</v>
      </c>
      <c r="AL113" s="36">
        <f t="shared" si="49"/>
        <v>27269</v>
      </c>
      <c r="AM113" s="59">
        <f t="shared" si="45"/>
        <v>129447</v>
      </c>
      <c r="AN113" s="59">
        <f t="shared" si="46"/>
        <v>27269</v>
      </c>
      <c r="AO113" s="60">
        <f t="shared" si="47"/>
        <v>103296.02899999999</v>
      </c>
      <c r="AP113" s="36"/>
      <c r="AQ113" s="22"/>
      <c r="AS113" s="22"/>
      <c r="AT113" s="22"/>
      <c r="AX113" s="22"/>
      <c r="AY113" s="22"/>
      <c r="AZ113" s="22"/>
      <c r="BA113" s="22"/>
      <c r="BB113" s="22"/>
    </row>
    <row r="114" spans="1:54" x14ac:dyDescent="0.25">
      <c r="A114" s="8" t="s">
        <v>140</v>
      </c>
      <c r="B114" s="8"/>
      <c r="C114" s="26">
        <v>1</v>
      </c>
      <c r="D114" s="26">
        <v>1</v>
      </c>
      <c r="E114" s="26"/>
      <c r="F114" s="1">
        <v>10</v>
      </c>
      <c r="G114" s="61">
        <v>319.99446529149969</v>
      </c>
      <c r="H114" s="8">
        <v>88</v>
      </c>
      <c r="I114" s="3" t="s">
        <v>221</v>
      </c>
      <c r="J114" s="13">
        <f t="shared" si="29"/>
        <v>0</v>
      </c>
      <c r="K114" s="62">
        <v>4504.12</v>
      </c>
      <c r="L114" s="36"/>
      <c r="M114" s="35"/>
      <c r="N114" s="63">
        <v>2145</v>
      </c>
      <c r="O114" s="58">
        <f t="shared" si="30"/>
        <v>0.47623065104837348</v>
      </c>
      <c r="P114" s="58">
        <f t="shared" si="31"/>
        <v>0</v>
      </c>
      <c r="Q114" s="36">
        <f t="shared" si="32"/>
        <v>0</v>
      </c>
      <c r="R114" s="36">
        <f t="shared" si="48"/>
        <v>0</v>
      </c>
      <c r="S114" s="63">
        <v>256</v>
      </c>
      <c r="T114" s="37">
        <f t="shared" si="33"/>
        <v>643.5</v>
      </c>
      <c r="U114" s="9">
        <f t="shared" si="34"/>
        <v>5186.0199999999995</v>
      </c>
      <c r="V114" s="62">
        <v>2275372628.6700001</v>
      </c>
      <c r="W114" s="63">
        <v>31538</v>
      </c>
      <c r="X114" s="18">
        <f t="shared" si="35"/>
        <v>72147.02</v>
      </c>
      <c r="Y114" s="38">
        <f t="shared" si="36"/>
        <v>0.39873199999999998</v>
      </c>
      <c r="Z114" s="63">
        <v>58078</v>
      </c>
      <c r="AA114" s="38">
        <f t="shared" si="37"/>
        <v>0.52689200000000003</v>
      </c>
      <c r="AB114" s="38">
        <f t="shared" si="38"/>
        <v>0.56281999999999999</v>
      </c>
      <c r="AC114" s="39">
        <f t="shared" si="39"/>
        <v>0.56281999999999999</v>
      </c>
      <c r="AD114" s="39">
        <f>IF(G114&gt;300,+AC114+$AD$18,AC114)</f>
        <v>0.60282000000000002</v>
      </c>
      <c r="AE114" s="63">
        <v>0</v>
      </c>
      <c r="AF114" s="40">
        <v>0</v>
      </c>
      <c r="AG114" s="9">
        <f t="shared" si="41"/>
        <v>0</v>
      </c>
      <c r="AH114" s="11">
        <f t="shared" si="42"/>
        <v>0</v>
      </c>
      <c r="AI114" s="11">
        <f t="shared" si="43"/>
        <v>36029877</v>
      </c>
      <c r="AJ114" s="11">
        <f t="shared" si="44"/>
        <v>36029877</v>
      </c>
      <c r="AK114" s="36">
        <v>30280380</v>
      </c>
      <c r="AL114" s="36">
        <f t="shared" si="49"/>
        <v>5749497</v>
      </c>
      <c r="AM114" s="59">
        <f t="shared" si="45"/>
        <v>36029877</v>
      </c>
      <c r="AN114" s="59">
        <f t="shared" si="46"/>
        <v>5749497</v>
      </c>
      <c r="AO114" s="60">
        <f t="shared" si="47"/>
        <v>30516109.377</v>
      </c>
      <c r="AP114" s="36"/>
      <c r="AQ114" s="22"/>
      <c r="AS114" s="22"/>
      <c r="AT114" s="22"/>
      <c r="AX114" s="22"/>
      <c r="AY114" s="22"/>
      <c r="AZ114" s="22"/>
      <c r="BA114" s="22"/>
      <c r="BB114" s="22"/>
    </row>
    <row r="115" spans="1:54" x14ac:dyDescent="0.25">
      <c r="A115" s="8" t="s">
        <v>145</v>
      </c>
      <c r="B115" s="8">
        <v>1</v>
      </c>
      <c r="C115" s="26">
        <v>1</v>
      </c>
      <c r="D115" s="26">
        <v>0</v>
      </c>
      <c r="E115" s="26">
        <v>1</v>
      </c>
      <c r="F115" s="1">
        <v>10</v>
      </c>
      <c r="G115" s="61">
        <v>416.16969353887447</v>
      </c>
      <c r="H115" s="8">
        <v>89</v>
      </c>
      <c r="I115" s="3" t="s">
        <v>222</v>
      </c>
      <c r="J115" s="13">
        <f t="shared" si="29"/>
        <v>0</v>
      </c>
      <c r="K115" s="62">
        <v>11426.14</v>
      </c>
      <c r="L115" s="36"/>
      <c r="M115" s="35"/>
      <c r="N115" s="63">
        <v>8805</v>
      </c>
      <c r="O115" s="58">
        <f t="shared" si="30"/>
        <v>0.77060144545752107</v>
      </c>
      <c r="P115" s="58">
        <f t="shared" si="31"/>
        <v>2.0601445457521073E-2</v>
      </c>
      <c r="Q115" s="36">
        <f t="shared" si="32"/>
        <v>235.39499999999981</v>
      </c>
      <c r="R115" s="36">
        <f t="shared" si="48"/>
        <v>11.769749999999991</v>
      </c>
      <c r="S115" s="63">
        <v>1663</v>
      </c>
      <c r="T115" s="37">
        <f t="shared" si="33"/>
        <v>2641.5</v>
      </c>
      <c r="U115" s="9">
        <f t="shared" si="34"/>
        <v>14328.85975</v>
      </c>
      <c r="V115" s="62">
        <v>3635635431.3299999</v>
      </c>
      <c r="W115" s="63">
        <v>72808</v>
      </c>
      <c r="X115" s="18">
        <f t="shared" si="35"/>
        <v>49934.559999999998</v>
      </c>
      <c r="Y115" s="38">
        <f t="shared" si="36"/>
        <v>0.27597100000000002</v>
      </c>
      <c r="Z115" s="63">
        <v>40457</v>
      </c>
      <c r="AA115" s="38">
        <f t="shared" si="37"/>
        <v>0.36703200000000002</v>
      </c>
      <c r="AB115" s="38">
        <f t="shared" si="38"/>
        <v>0.69671099999999997</v>
      </c>
      <c r="AC115" s="39">
        <f t="shared" si="39"/>
        <v>0.69671099999999997</v>
      </c>
      <c r="AD115" s="39">
        <f>IF(G115&gt;300,+AC115+$AD$16,AC115)</f>
        <v>0.75671099999999991</v>
      </c>
      <c r="AE115" s="63">
        <v>0</v>
      </c>
      <c r="AF115" s="40">
        <v>0</v>
      </c>
      <c r="AG115" s="9">
        <f t="shared" si="41"/>
        <v>0</v>
      </c>
      <c r="AH115" s="11">
        <f t="shared" si="42"/>
        <v>0</v>
      </c>
      <c r="AI115" s="11">
        <f t="shared" si="43"/>
        <v>124963337</v>
      </c>
      <c r="AJ115" s="11">
        <f t="shared" si="44"/>
        <v>124963337</v>
      </c>
      <c r="AK115" s="36">
        <v>86195269</v>
      </c>
      <c r="AL115" s="36">
        <f t="shared" si="49"/>
        <v>38768068</v>
      </c>
      <c r="AM115" s="59">
        <f t="shared" si="45"/>
        <v>124963337</v>
      </c>
      <c r="AN115" s="59">
        <f t="shared" si="46"/>
        <v>38768068</v>
      </c>
      <c r="AO115" s="60">
        <f t="shared" si="47"/>
        <v>87784759.788000003</v>
      </c>
      <c r="AP115" s="36"/>
      <c r="AQ115" s="22"/>
      <c r="AS115" s="22"/>
      <c r="AT115" s="22"/>
      <c r="AX115" s="22"/>
      <c r="AY115" s="22"/>
      <c r="AZ115" s="22"/>
      <c r="BA115" s="22"/>
      <c r="BB115" s="22"/>
    </row>
    <row r="116" spans="1:54" x14ac:dyDescent="0.25">
      <c r="A116" s="8" t="s">
        <v>167</v>
      </c>
      <c r="B116" s="8"/>
      <c r="C116" s="26"/>
      <c r="D116" s="26"/>
      <c r="E116" s="26"/>
      <c r="F116" s="1">
        <v>1</v>
      </c>
      <c r="G116" s="57">
        <v>41.628211540342221</v>
      </c>
      <c r="H116" s="8">
        <v>90</v>
      </c>
      <c r="I116" s="3" t="s">
        <v>223</v>
      </c>
      <c r="J116" s="13">
        <f t="shared" si="29"/>
        <v>0</v>
      </c>
      <c r="K116" s="62">
        <v>4278.07</v>
      </c>
      <c r="L116" s="36"/>
      <c r="M116" s="35"/>
      <c r="N116" s="63">
        <v>4</v>
      </c>
      <c r="O116" s="58">
        <f t="shared" si="30"/>
        <v>9.3500106356370983E-4</v>
      </c>
      <c r="P116" s="58">
        <f t="shared" si="31"/>
        <v>0</v>
      </c>
      <c r="Q116" s="36">
        <f t="shared" si="32"/>
        <v>0</v>
      </c>
      <c r="R116" s="36">
        <f t="shared" si="48"/>
        <v>0</v>
      </c>
      <c r="S116" s="63">
        <v>49</v>
      </c>
      <c r="T116" s="37">
        <f t="shared" si="33"/>
        <v>1.2</v>
      </c>
      <c r="U116" s="9">
        <f t="shared" si="34"/>
        <v>4286.62</v>
      </c>
      <c r="V116" s="62">
        <v>11987900630</v>
      </c>
      <c r="W116" s="63">
        <v>20387</v>
      </c>
      <c r="X116" s="18">
        <f t="shared" si="35"/>
        <v>588016.9</v>
      </c>
      <c r="Y116" s="38">
        <f t="shared" si="36"/>
        <v>3.2497660000000002</v>
      </c>
      <c r="Z116" s="63">
        <v>168311</v>
      </c>
      <c r="AA116" s="38">
        <f t="shared" si="37"/>
        <v>1.526942</v>
      </c>
      <c r="AB116" s="38">
        <f t="shared" si="38"/>
        <v>-1.7329190000000001</v>
      </c>
      <c r="AC116" s="39">
        <f t="shared" si="39"/>
        <v>0.01</v>
      </c>
      <c r="AD116" s="39">
        <f>IF(G116&gt;300,+AC116+$AD$17,AC116)</f>
        <v>0.01</v>
      </c>
      <c r="AE116" s="63">
        <v>0</v>
      </c>
      <c r="AF116" s="40">
        <v>0</v>
      </c>
      <c r="AG116" s="9">
        <f t="shared" si="41"/>
        <v>0</v>
      </c>
      <c r="AH116" s="11">
        <f t="shared" si="42"/>
        <v>0</v>
      </c>
      <c r="AI116" s="11">
        <f t="shared" si="43"/>
        <v>494033</v>
      </c>
      <c r="AJ116" s="11">
        <f t="shared" si="44"/>
        <v>494033</v>
      </c>
      <c r="AK116" s="36">
        <v>339590</v>
      </c>
      <c r="AL116" s="36">
        <f t="shared" si="49"/>
        <v>154443</v>
      </c>
      <c r="AM116" s="59">
        <f t="shared" si="45"/>
        <v>494033</v>
      </c>
      <c r="AN116" s="59">
        <f t="shared" si="46"/>
        <v>154443</v>
      </c>
      <c r="AO116" s="60">
        <f t="shared" si="47"/>
        <v>345922.163</v>
      </c>
      <c r="AP116" s="36"/>
      <c r="AQ116" s="22"/>
      <c r="AS116" s="22"/>
      <c r="AT116" s="22"/>
      <c r="AX116" s="22"/>
      <c r="AY116" s="22"/>
      <c r="AZ116" s="22"/>
      <c r="BA116" s="22"/>
      <c r="BB116" s="22"/>
    </row>
    <row r="117" spans="1:54" x14ac:dyDescent="0.25">
      <c r="A117" s="8" t="s">
        <v>131</v>
      </c>
      <c r="B117" s="8"/>
      <c r="C117" s="26"/>
      <c r="D117" s="26"/>
      <c r="E117" s="26"/>
      <c r="F117" s="1">
        <v>3</v>
      </c>
      <c r="G117" s="57">
        <v>216.45265051084482</v>
      </c>
      <c r="H117" s="8">
        <v>91</v>
      </c>
      <c r="I117" s="3" t="s">
        <v>224</v>
      </c>
      <c r="J117" s="13">
        <f t="shared" si="29"/>
        <v>0</v>
      </c>
      <c r="K117" s="62">
        <v>2249</v>
      </c>
      <c r="L117" s="36"/>
      <c r="M117" s="35"/>
      <c r="N117" s="63">
        <v>178</v>
      </c>
      <c r="O117" s="58">
        <f t="shared" si="30"/>
        <v>7.9146287238772789E-2</v>
      </c>
      <c r="P117" s="58">
        <f t="shared" si="31"/>
        <v>0</v>
      </c>
      <c r="Q117" s="36">
        <f t="shared" si="32"/>
        <v>0</v>
      </c>
      <c r="R117" s="36">
        <f t="shared" si="48"/>
        <v>0</v>
      </c>
      <c r="S117" s="63">
        <v>43</v>
      </c>
      <c r="T117" s="37">
        <f t="shared" si="33"/>
        <v>53.4</v>
      </c>
      <c r="U117" s="9">
        <f t="shared" si="34"/>
        <v>2308.85</v>
      </c>
      <c r="V117" s="62">
        <v>2322494033</v>
      </c>
      <c r="W117" s="63">
        <v>14126</v>
      </c>
      <c r="X117" s="18">
        <f t="shared" si="35"/>
        <v>164412.72</v>
      </c>
      <c r="Y117" s="38">
        <f t="shared" si="36"/>
        <v>0.90865200000000002</v>
      </c>
      <c r="Z117" s="63">
        <v>101273</v>
      </c>
      <c r="AA117" s="38">
        <f t="shared" si="37"/>
        <v>0.918763</v>
      </c>
      <c r="AB117" s="38">
        <f t="shared" si="38"/>
        <v>8.8315000000000005E-2</v>
      </c>
      <c r="AC117" s="39">
        <f t="shared" si="39"/>
        <v>8.8315000000000005E-2</v>
      </c>
      <c r="AD117" s="39">
        <f>IF(G117&gt;300,+AC117+$AD$17,AC117)</f>
        <v>8.8315000000000005E-2</v>
      </c>
      <c r="AE117" s="63">
        <v>0</v>
      </c>
      <c r="AF117" s="40">
        <v>0</v>
      </c>
      <c r="AG117" s="9">
        <f t="shared" si="41"/>
        <v>0</v>
      </c>
      <c r="AH117" s="11">
        <f t="shared" si="42"/>
        <v>0</v>
      </c>
      <c r="AI117" s="11">
        <f t="shared" si="43"/>
        <v>2350018</v>
      </c>
      <c r="AJ117" s="11">
        <f t="shared" si="44"/>
        <v>2350018</v>
      </c>
      <c r="AK117" s="36">
        <v>4338569</v>
      </c>
      <c r="AL117" s="36">
        <f t="shared" si="49"/>
        <v>-1988551</v>
      </c>
      <c r="AM117" s="59">
        <f t="shared" si="45"/>
        <v>2350018</v>
      </c>
      <c r="AN117" s="59">
        <f t="shared" si="46"/>
        <v>-1988551</v>
      </c>
      <c r="AO117" s="60">
        <f t="shared" si="47"/>
        <v>3841431.25</v>
      </c>
      <c r="AP117" s="36"/>
      <c r="AQ117" s="22"/>
      <c r="AS117" s="22"/>
      <c r="AT117" s="22"/>
      <c r="AX117" s="22"/>
      <c r="AY117" s="22"/>
      <c r="AZ117" s="22"/>
      <c r="BA117" s="22"/>
      <c r="BB117" s="22"/>
    </row>
    <row r="118" spans="1:54" x14ac:dyDescent="0.25">
      <c r="A118" s="8" t="s">
        <v>125</v>
      </c>
      <c r="B118" s="8"/>
      <c r="C118" s="26"/>
      <c r="D118" s="26"/>
      <c r="E118" s="26"/>
      <c r="F118" s="1">
        <v>5</v>
      </c>
      <c r="G118" s="57">
        <v>227.20606452492771</v>
      </c>
      <c r="H118" s="8">
        <v>92</v>
      </c>
      <c r="I118" s="3" t="s">
        <v>225</v>
      </c>
      <c r="J118" s="13">
        <f t="shared" si="29"/>
        <v>0</v>
      </c>
      <c r="K118" s="62">
        <v>983.66</v>
      </c>
      <c r="L118" s="36"/>
      <c r="M118" s="35"/>
      <c r="N118" s="63">
        <v>98</v>
      </c>
      <c r="O118" s="58">
        <f t="shared" si="30"/>
        <v>9.9627920216334917E-2</v>
      </c>
      <c r="P118" s="58">
        <f t="shared" si="31"/>
        <v>0</v>
      </c>
      <c r="Q118" s="36">
        <f t="shared" si="32"/>
        <v>0</v>
      </c>
      <c r="R118" s="36">
        <f t="shared" si="48"/>
        <v>0</v>
      </c>
      <c r="S118" s="63">
        <v>2</v>
      </c>
      <c r="T118" s="37">
        <f t="shared" si="33"/>
        <v>29.4</v>
      </c>
      <c r="U118" s="9">
        <f t="shared" si="34"/>
        <v>1013.3599999999999</v>
      </c>
      <c r="V118" s="62">
        <v>927940908.33000004</v>
      </c>
      <c r="W118" s="63">
        <v>6764</v>
      </c>
      <c r="X118" s="18">
        <f t="shared" si="35"/>
        <v>137188.19</v>
      </c>
      <c r="Y118" s="38">
        <f t="shared" si="36"/>
        <v>0.75819199999999998</v>
      </c>
      <c r="Z118" s="63">
        <v>87596</v>
      </c>
      <c r="AA118" s="38">
        <f t="shared" si="37"/>
        <v>0.79468399999999995</v>
      </c>
      <c r="AB118" s="38">
        <f t="shared" si="38"/>
        <v>0.23086000000000001</v>
      </c>
      <c r="AC118" s="39">
        <f t="shared" si="39"/>
        <v>0.23086000000000001</v>
      </c>
      <c r="AD118" s="39">
        <f>IF(G118&gt;300,+AC118+$AD$17,AC118)</f>
        <v>0.23086000000000001</v>
      </c>
      <c r="AE118" s="63">
        <v>509</v>
      </c>
      <c r="AF118" s="40">
        <v>6</v>
      </c>
      <c r="AG118" s="9">
        <f t="shared" si="41"/>
        <v>46.15</v>
      </c>
      <c r="AH118" s="11">
        <f t="shared" si="42"/>
        <v>23490</v>
      </c>
      <c r="AI118" s="11">
        <f t="shared" si="43"/>
        <v>2696208</v>
      </c>
      <c r="AJ118" s="11">
        <f t="shared" si="44"/>
        <v>2719698</v>
      </c>
      <c r="AK118" s="36">
        <v>3113169</v>
      </c>
      <c r="AL118" s="36">
        <f t="shared" si="49"/>
        <v>-393471</v>
      </c>
      <c r="AM118" s="59">
        <f t="shared" si="45"/>
        <v>2719698</v>
      </c>
      <c r="AN118" s="59">
        <f t="shared" si="46"/>
        <v>-393471</v>
      </c>
      <c r="AO118" s="60">
        <f t="shared" si="47"/>
        <v>3014801.25</v>
      </c>
      <c r="AP118" s="36"/>
      <c r="AQ118" s="22"/>
      <c r="AS118" s="22"/>
      <c r="AT118" s="22"/>
      <c r="AX118" s="22"/>
      <c r="AY118" s="22"/>
      <c r="AZ118" s="22"/>
      <c r="BA118" s="22"/>
      <c r="BB118" s="22"/>
    </row>
    <row r="119" spans="1:54" x14ac:dyDescent="0.25">
      <c r="A119" s="8" t="s">
        <v>145</v>
      </c>
      <c r="B119" s="8">
        <v>1</v>
      </c>
      <c r="C119" s="26">
        <v>1</v>
      </c>
      <c r="D119" s="26">
        <v>0</v>
      </c>
      <c r="E119" s="26">
        <v>1</v>
      </c>
      <c r="F119" s="1">
        <v>10</v>
      </c>
      <c r="G119" s="61">
        <v>389.18601706925409</v>
      </c>
      <c r="H119" s="8">
        <v>93</v>
      </c>
      <c r="I119" s="3" t="s">
        <v>226</v>
      </c>
      <c r="J119" s="13">
        <f t="shared" si="29"/>
        <v>0</v>
      </c>
      <c r="K119" s="62">
        <v>18962.47</v>
      </c>
      <c r="L119" s="36"/>
      <c r="M119" s="35"/>
      <c r="N119" s="63">
        <v>11176</v>
      </c>
      <c r="O119" s="58">
        <f t="shared" si="30"/>
        <v>0.58937469643986251</v>
      </c>
      <c r="P119" s="58">
        <f t="shared" si="31"/>
        <v>0</v>
      </c>
      <c r="Q119" s="36">
        <f t="shared" si="32"/>
        <v>0</v>
      </c>
      <c r="R119" s="36">
        <f t="shared" si="48"/>
        <v>0</v>
      </c>
      <c r="S119" s="63">
        <v>3364</v>
      </c>
      <c r="T119" s="37">
        <f t="shared" si="33"/>
        <v>3352.8</v>
      </c>
      <c r="U119" s="9">
        <f t="shared" si="34"/>
        <v>22819.87</v>
      </c>
      <c r="V119" s="62">
        <v>9895081935.3299999</v>
      </c>
      <c r="W119" s="63">
        <v>130322</v>
      </c>
      <c r="X119" s="18">
        <f t="shared" si="35"/>
        <v>75927.95</v>
      </c>
      <c r="Y119" s="38">
        <f t="shared" si="36"/>
        <v>0.419628</v>
      </c>
      <c r="Z119" s="63">
        <v>37192</v>
      </c>
      <c r="AA119" s="38">
        <f t="shared" si="37"/>
        <v>0.33741100000000002</v>
      </c>
      <c r="AB119" s="38">
        <f t="shared" si="38"/>
        <v>0.60503700000000005</v>
      </c>
      <c r="AC119" s="39">
        <f t="shared" si="39"/>
        <v>0.60503700000000005</v>
      </c>
      <c r="AD119" s="39">
        <f>IF(G119&gt;300,+AC119+$AD$16,AC119)</f>
        <v>0.6650370000000001</v>
      </c>
      <c r="AE119" s="63">
        <v>0</v>
      </c>
      <c r="AF119" s="40">
        <v>0</v>
      </c>
      <c r="AG119" s="9">
        <f t="shared" si="41"/>
        <v>0</v>
      </c>
      <c r="AH119" s="11">
        <f t="shared" si="42"/>
        <v>0</v>
      </c>
      <c r="AI119" s="11">
        <f t="shared" si="43"/>
        <v>174904067</v>
      </c>
      <c r="AJ119" s="11">
        <f t="shared" si="44"/>
        <v>174904067</v>
      </c>
      <c r="AK119" s="36">
        <v>154301977</v>
      </c>
      <c r="AL119" s="36">
        <f t="shared" si="49"/>
        <v>20602090</v>
      </c>
      <c r="AM119" s="59">
        <f t="shared" si="45"/>
        <v>174904067</v>
      </c>
      <c r="AN119" s="59">
        <f t="shared" si="46"/>
        <v>20602090</v>
      </c>
      <c r="AO119" s="60">
        <f t="shared" si="47"/>
        <v>155146662.69</v>
      </c>
      <c r="AP119" s="36"/>
      <c r="AQ119" s="22"/>
      <c r="AS119" s="22"/>
      <c r="AT119" s="22"/>
      <c r="AX119" s="22"/>
      <c r="AY119" s="22"/>
      <c r="AZ119" s="22"/>
      <c r="BA119" s="22"/>
      <c r="BB119" s="22"/>
    </row>
    <row r="120" spans="1:54" x14ac:dyDescent="0.25">
      <c r="A120" s="8" t="s">
        <v>135</v>
      </c>
      <c r="B120" s="8"/>
      <c r="C120" s="26"/>
      <c r="D120" s="26"/>
      <c r="E120" s="26"/>
      <c r="F120" s="1">
        <v>7</v>
      </c>
      <c r="G120" s="57">
        <v>249.09415480069222</v>
      </c>
      <c r="H120" s="8">
        <v>94</v>
      </c>
      <c r="I120" s="3" t="s">
        <v>227</v>
      </c>
      <c r="J120" s="13">
        <f t="shared" si="29"/>
        <v>0</v>
      </c>
      <c r="K120" s="62">
        <v>4213.6000000000004</v>
      </c>
      <c r="L120" s="36"/>
      <c r="M120" s="35"/>
      <c r="N120" s="63">
        <v>884</v>
      </c>
      <c r="O120" s="58">
        <f t="shared" si="30"/>
        <v>0.20979684830074044</v>
      </c>
      <c r="P120" s="58">
        <f t="shared" si="31"/>
        <v>0</v>
      </c>
      <c r="Q120" s="36">
        <f t="shared" si="32"/>
        <v>0</v>
      </c>
      <c r="R120" s="36">
        <f t="shared" si="48"/>
        <v>0</v>
      </c>
      <c r="S120" s="63">
        <v>222</v>
      </c>
      <c r="T120" s="37">
        <f t="shared" si="33"/>
        <v>265.2</v>
      </c>
      <c r="U120" s="9">
        <f t="shared" si="34"/>
        <v>4512.1000000000004</v>
      </c>
      <c r="V120" s="62">
        <v>3810120682.3299999</v>
      </c>
      <c r="W120" s="63">
        <v>30604</v>
      </c>
      <c r="X120" s="18">
        <f t="shared" si="35"/>
        <v>124497.47</v>
      </c>
      <c r="Y120" s="38">
        <f t="shared" si="36"/>
        <v>0.68805499999999997</v>
      </c>
      <c r="Z120" s="63">
        <v>79960</v>
      </c>
      <c r="AA120" s="38">
        <f t="shared" si="37"/>
        <v>0.72540899999999997</v>
      </c>
      <c r="AB120" s="38">
        <f t="shared" si="38"/>
        <v>0.30073899999999998</v>
      </c>
      <c r="AC120" s="39">
        <f t="shared" si="39"/>
        <v>0.30073899999999998</v>
      </c>
      <c r="AD120" s="39">
        <f t="shared" ref="AD120:AD129" si="50">IF(G120&gt;300,+AC120+$AD$17,AC120)</f>
        <v>0.30073899999999998</v>
      </c>
      <c r="AE120" s="63">
        <v>0</v>
      </c>
      <c r="AF120" s="40">
        <v>0</v>
      </c>
      <c r="AG120" s="9">
        <f t="shared" si="41"/>
        <v>0</v>
      </c>
      <c r="AH120" s="11">
        <f t="shared" si="42"/>
        <v>0</v>
      </c>
      <c r="AI120" s="11">
        <f t="shared" si="43"/>
        <v>15639015</v>
      </c>
      <c r="AJ120" s="11">
        <f t="shared" si="44"/>
        <v>15639015</v>
      </c>
      <c r="AK120" s="36">
        <v>12983806</v>
      </c>
      <c r="AL120" s="36">
        <f t="shared" si="49"/>
        <v>2655209</v>
      </c>
      <c r="AM120" s="59">
        <f t="shared" si="45"/>
        <v>15639015</v>
      </c>
      <c r="AN120" s="59">
        <f t="shared" si="46"/>
        <v>2655209</v>
      </c>
      <c r="AO120" s="60">
        <f t="shared" si="47"/>
        <v>13092669.569</v>
      </c>
      <c r="AP120" s="36"/>
      <c r="AQ120" s="22"/>
      <c r="AS120" s="22"/>
      <c r="AT120" s="22"/>
      <c r="AX120" s="22"/>
      <c r="AY120" s="22"/>
      <c r="AZ120" s="22"/>
      <c r="BA120" s="22"/>
      <c r="BB120" s="22"/>
    </row>
    <row r="121" spans="1:54" x14ac:dyDescent="0.25">
      <c r="A121" s="8" t="s">
        <v>145</v>
      </c>
      <c r="B121" s="8">
        <v>1</v>
      </c>
      <c r="C121" s="26">
        <v>1</v>
      </c>
      <c r="D121" s="26">
        <v>0</v>
      </c>
      <c r="E121" s="26">
        <v>1</v>
      </c>
      <c r="F121" s="1">
        <v>10</v>
      </c>
      <c r="G121" s="61">
        <v>360.60655129961924</v>
      </c>
      <c r="H121" s="8">
        <v>95</v>
      </c>
      <c r="I121" s="3" t="s">
        <v>228</v>
      </c>
      <c r="J121" s="13">
        <f t="shared" si="29"/>
        <v>0</v>
      </c>
      <c r="K121" s="62">
        <v>3687.73</v>
      </c>
      <c r="L121" s="36"/>
      <c r="M121" s="35"/>
      <c r="N121" s="63">
        <v>3088</v>
      </c>
      <c r="O121" s="58">
        <f t="shared" si="30"/>
        <v>0.8373714995403676</v>
      </c>
      <c r="P121" s="58">
        <f t="shared" si="31"/>
        <v>8.7371499540367603E-2</v>
      </c>
      <c r="Q121" s="36">
        <f t="shared" si="32"/>
        <v>322.20249999999982</v>
      </c>
      <c r="R121" s="36">
        <f t="shared" si="48"/>
        <v>16.110124999999993</v>
      </c>
      <c r="S121" s="63">
        <v>897</v>
      </c>
      <c r="T121" s="37">
        <f t="shared" si="33"/>
        <v>926.4</v>
      </c>
      <c r="U121" s="9">
        <f t="shared" si="34"/>
        <v>4764.7901250000004</v>
      </c>
      <c r="V121" s="62">
        <v>1845316897.6700001</v>
      </c>
      <c r="W121" s="63">
        <v>27179</v>
      </c>
      <c r="X121" s="18">
        <f t="shared" si="35"/>
        <v>67894.95</v>
      </c>
      <c r="Y121" s="38">
        <f t="shared" si="36"/>
        <v>0.37523200000000001</v>
      </c>
      <c r="Z121" s="63">
        <v>36250</v>
      </c>
      <c r="AA121" s="38">
        <f t="shared" si="37"/>
        <v>0.32886500000000002</v>
      </c>
      <c r="AB121" s="38">
        <f t="shared" si="38"/>
        <v>0.63867799999999997</v>
      </c>
      <c r="AC121" s="39">
        <f t="shared" si="39"/>
        <v>0.63867799999999997</v>
      </c>
      <c r="AD121" s="39">
        <f t="shared" si="50"/>
        <v>0.68867800000000001</v>
      </c>
      <c r="AE121" s="63">
        <v>0</v>
      </c>
      <c r="AF121" s="40">
        <v>0</v>
      </c>
      <c r="AG121" s="9">
        <f t="shared" si="41"/>
        <v>0</v>
      </c>
      <c r="AH121" s="11">
        <f t="shared" si="42"/>
        <v>0</v>
      </c>
      <c r="AI121" s="11">
        <f t="shared" si="43"/>
        <v>37818206</v>
      </c>
      <c r="AJ121" s="11">
        <f t="shared" si="44"/>
        <v>37818206</v>
      </c>
      <c r="AK121" s="36">
        <v>25806077</v>
      </c>
      <c r="AL121" s="36">
        <f t="shared" si="49"/>
        <v>12012129</v>
      </c>
      <c r="AM121" s="59">
        <f t="shared" si="45"/>
        <v>37818206</v>
      </c>
      <c r="AN121" s="59">
        <f t="shared" si="46"/>
        <v>12012129</v>
      </c>
      <c r="AO121" s="60">
        <f t="shared" si="47"/>
        <v>26298574.289000001</v>
      </c>
      <c r="AP121" s="36"/>
      <c r="AQ121" s="22"/>
      <c r="AS121" s="22"/>
      <c r="AT121" s="22"/>
      <c r="AX121" s="22"/>
      <c r="AY121" s="22"/>
      <c r="AZ121" s="22"/>
      <c r="BA121" s="22"/>
      <c r="BB121" s="22"/>
    </row>
    <row r="122" spans="1:54" x14ac:dyDescent="0.25">
      <c r="A122" s="8" t="s">
        <v>135</v>
      </c>
      <c r="B122" s="8"/>
      <c r="C122" s="26"/>
      <c r="D122" s="26"/>
      <c r="E122" s="26"/>
      <c r="F122" s="1">
        <v>5</v>
      </c>
      <c r="G122" s="57">
        <v>222.63946199414619</v>
      </c>
      <c r="H122" s="8">
        <v>96</v>
      </c>
      <c r="I122" s="3" t="s">
        <v>229</v>
      </c>
      <c r="J122" s="13">
        <f t="shared" si="29"/>
        <v>0</v>
      </c>
      <c r="K122" s="62">
        <v>4046.75</v>
      </c>
      <c r="L122" s="36"/>
      <c r="M122" s="35"/>
      <c r="N122" s="63">
        <v>972</v>
      </c>
      <c r="O122" s="58">
        <f t="shared" si="30"/>
        <v>0.24019274726632484</v>
      </c>
      <c r="P122" s="58">
        <f t="shared" si="31"/>
        <v>0</v>
      </c>
      <c r="Q122" s="36">
        <f t="shared" si="32"/>
        <v>0</v>
      </c>
      <c r="R122" s="36">
        <f t="shared" si="48"/>
        <v>0</v>
      </c>
      <c r="S122" s="63">
        <v>134</v>
      </c>
      <c r="T122" s="37">
        <f t="shared" si="33"/>
        <v>291.60000000000002</v>
      </c>
      <c r="U122" s="9">
        <f t="shared" si="34"/>
        <v>4358.4500000000007</v>
      </c>
      <c r="V122" s="62">
        <v>4115270919.3299999</v>
      </c>
      <c r="W122" s="63">
        <v>27276</v>
      </c>
      <c r="X122" s="18">
        <f t="shared" si="35"/>
        <v>150875.16</v>
      </c>
      <c r="Y122" s="38">
        <f t="shared" si="36"/>
        <v>0.83383499999999999</v>
      </c>
      <c r="Z122" s="63">
        <v>78343</v>
      </c>
      <c r="AA122" s="38">
        <f t="shared" si="37"/>
        <v>0.71073900000000001</v>
      </c>
      <c r="AB122" s="38">
        <f t="shared" si="38"/>
        <v>0.203094</v>
      </c>
      <c r="AC122" s="39">
        <f t="shared" si="39"/>
        <v>0.203094</v>
      </c>
      <c r="AD122" s="39">
        <f t="shared" si="50"/>
        <v>0.203094</v>
      </c>
      <c r="AE122" s="63">
        <v>0</v>
      </c>
      <c r="AF122" s="40">
        <v>0</v>
      </c>
      <c r="AG122" s="9">
        <f t="shared" si="41"/>
        <v>0</v>
      </c>
      <c r="AH122" s="11">
        <f t="shared" si="42"/>
        <v>0</v>
      </c>
      <c r="AI122" s="11">
        <f t="shared" si="43"/>
        <v>10201642</v>
      </c>
      <c r="AJ122" s="11">
        <f t="shared" si="44"/>
        <v>10201642</v>
      </c>
      <c r="AK122" s="36">
        <v>11832806</v>
      </c>
      <c r="AL122" s="36">
        <f t="shared" si="49"/>
        <v>-1631164</v>
      </c>
      <c r="AM122" s="59">
        <f t="shared" si="45"/>
        <v>10201642</v>
      </c>
      <c r="AN122" s="59">
        <f t="shared" si="46"/>
        <v>-1631164</v>
      </c>
      <c r="AO122" s="60">
        <f t="shared" si="47"/>
        <v>11425015</v>
      </c>
      <c r="AP122" s="36"/>
      <c r="AQ122" s="22"/>
      <c r="AS122" s="22"/>
      <c r="AT122" s="22"/>
      <c r="AX122" s="22"/>
      <c r="AY122" s="22"/>
      <c r="AZ122" s="22"/>
      <c r="BA122" s="22"/>
      <c r="BB122" s="22"/>
    </row>
    <row r="123" spans="1:54" x14ac:dyDescent="0.25">
      <c r="A123" s="8" t="s">
        <v>131</v>
      </c>
      <c r="B123" s="8"/>
      <c r="C123" s="26"/>
      <c r="D123" s="26"/>
      <c r="E123" s="26"/>
      <c r="F123" s="1">
        <v>3</v>
      </c>
      <c r="G123" s="57">
        <v>218.40424684914387</v>
      </c>
      <c r="H123" s="8">
        <v>97</v>
      </c>
      <c r="I123" s="3" t="s">
        <v>230</v>
      </c>
      <c r="J123" s="13">
        <f t="shared" si="29"/>
        <v>0</v>
      </c>
      <c r="K123" s="62">
        <v>4455.32</v>
      </c>
      <c r="L123" s="36"/>
      <c r="M123" s="35"/>
      <c r="N123" s="63">
        <v>341</v>
      </c>
      <c r="O123" s="58">
        <f t="shared" si="30"/>
        <v>7.6537712218202061E-2</v>
      </c>
      <c r="P123" s="58">
        <f t="shared" si="31"/>
        <v>0</v>
      </c>
      <c r="Q123" s="36">
        <f t="shared" si="32"/>
        <v>0</v>
      </c>
      <c r="R123" s="36">
        <f t="shared" si="48"/>
        <v>0</v>
      </c>
      <c r="S123" s="63">
        <v>16</v>
      </c>
      <c r="T123" s="37">
        <f t="shared" ref="T123:T154" si="51">ROUND(N123*$T$2,2)</f>
        <v>102.3</v>
      </c>
      <c r="U123" s="9">
        <f t="shared" ref="U123:U154" si="52">K123+T123+0.15*S123+0.05*Q123</f>
        <v>4560.0199999999995</v>
      </c>
      <c r="V123" s="62">
        <v>4561153208</v>
      </c>
      <c r="W123" s="63">
        <v>28022</v>
      </c>
      <c r="X123" s="18">
        <f t="shared" si="35"/>
        <v>162770.44</v>
      </c>
      <c r="Y123" s="38">
        <f t="shared" si="36"/>
        <v>0.89957600000000004</v>
      </c>
      <c r="Z123" s="63">
        <v>111022</v>
      </c>
      <c r="AA123" s="38">
        <f t="shared" si="37"/>
        <v>1.0072080000000001</v>
      </c>
      <c r="AB123" s="38">
        <f t="shared" si="38"/>
        <v>6.8134E-2</v>
      </c>
      <c r="AC123" s="39">
        <f t="shared" ref="AC123:AC154" si="53">IF(C123=1,MAX($T$7,AB123),MAX($T$6,AB123))</f>
        <v>6.8134E-2</v>
      </c>
      <c r="AD123" s="39">
        <f t="shared" si="50"/>
        <v>6.8134E-2</v>
      </c>
      <c r="AE123" s="63">
        <v>0</v>
      </c>
      <c r="AF123" s="40">
        <v>0</v>
      </c>
      <c r="AG123" s="9">
        <f t="shared" si="41"/>
        <v>0</v>
      </c>
      <c r="AH123" s="11">
        <f t="shared" si="42"/>
        <v>0</v>
      </c>
      <c r="AI123" s="11">
        <f t="shared" si="43"/>
        <v>3580730</v>
      </c>
      <c r="AJ123" s="11">
        <f t="shared" si="44"/>
        <v>3580730</v>
      </c>
      <c r="AK123" s="36">
        <v>4893944</v>
      </c>
      <c r="AL123" s="36">
        <f t="shared" si="49"/>
        <v>-1313214</v>
      </c>
      <c r="AM123" s="59">
        <f t="shared" ref="AM123:AM154" si="54">IF(AND(C123=1,AK123&gt;AJ123),AK123,AJ123)</f>
        <v>3580730</v>
      </c>
      <c r="AN123" s="59">
        <f t="shared" si="46"/>
        <v>-1313214</v>
      </c>
      <c r="AO123" s="60">
        <f t="shared" si="47"/>
        <v>4565640.5</v>
      </c>
      <c r="AP123" s="36"/>
      <c r="AQ123" s="22"/>
      <c r="AS123" s="22"/>
      <c r="AT123" s="22"/>
      <c r="AX123" s="22"/>
      <c r="AY123" s="22"/>
      <c r="AZ123" s="22"/>
      <c r="BA123" s="22"/>
      <c r="BB123" s="22"/>
    </row>
    <row r="124" spans="1:54" x14ac:dyDescent="0.25">
      <c r="A124" s="8" t="s">
        <v>129</v>
      </c>
      <c r="B124" s="8"/>
      <c r="C124" s="26"/>
      <c r="D124" s="26"/>
      <c r="E124" s="26"/>
      <c r="F124" s="1">
        <v>2</v>
      </c>
      <c r="G124" s="57">
        <v>210.30373638173828</v>
      </c>
      <c r="H124" s="8">
        <v>98</v>
      </c>
      <c r="I124" s="3" t="s">
        <v>231</v>
      </c>
      <c r="J124" s="13">
        <f t="shared" si="29"/>
        <v>0</v>
      </c>
      <c r="K124" s="62">
        <v>186.53</v>
      </c>
      <c r="L124" s="36"/>
      <c r="M124" s="35"/>
      <c r="N124" s="63">
        <v>41</v>
      </c>
      <c r="O124" s="58">
        <f t="shared" si="30"/>
        <v>0.21980378491395486</v>
      </c>
      <c r="P124" s="58">
        <f t="shared" si="31"/>
        <v>0</v>
      </c>
      <c r="Q124" s="36">
        <f t="shared" si="32"/>
        <v>0</v>
      </c>
      <c r="R124" s="36">
        <f t="shared" si="48"/>
        <v>0</v>
      </c>
      <c r="S124" s="63">
        <v>0</v>
      </c>
      <c r="T124" s="37">
        <f t="shared" si="51"/>
        <v>12.3</v>
      </c>
      <c r="U124" s="9">
        <f t="shared" si="52"/>
        <v>198.83</v>
      </c>
      <c r="V124" s="62">
        <v>393469598</v>
      </c>
      <c r="W124" s="63">
        <v>1643</v>
      </c>
      <c r="X124" s="18">
        <f t="shared" si="35"/>
        <v>239482.41</v>
      </c>
      <c r="Y124" s="38">
        <f t="shared" si="36"/>
        <v>1.323537</v>
      </c>
      <c r="Z124" s="63">
        <v>72875</v>
      </c>
      <c r="AA124" s="38">
        <f t="shared" si="37"/>
        <v>0.66113299999999997</v>
      </c>
      <c r="AB124" s="38">
        <f t="shared" si="38"/>
        <v>-0.124816</v>
      </c>
      <c r="AC124" s="39">
        <f t="shared" si="53"/>
        <v>0.01</v>
      </c>
      <c r="AD124" s="39">
        <f t="shared" si="50"/>
        <v>0.01</v>
      </c>
      <c r="AE124" s="63">
        <v>88</v>
      </c>
      <c r="AF124" s="40">
        <v>6</v>
      </c>
      <c r="AG124" s="9">
        <f t="shared" si="41"/>
        <v>46.15</v>
      </c>
      <c r="AH124" s="11">
        <f t="shared" si="42"/>
        <v>4061</v>
      </c>
      <c r="AI124" s="11">
        <f t="shared" si="43"/>
        <v>22915</v>
      </c>
      <c r="AJ124" s="11">
        <f t="shared" si="44"/>
        <v>26976</v>
      </c>
      <c r="AK124" s="36">
        <v>25815</v>
      </c>
      <c r="AL124" s="36">
        <f t="shared" si="49"/>
        <v>1161</v>
      </c>
      <c r="AM124" s="59">
        <f t="shared" si="54"/>
        <v>26976</v>
      </c>
      <c r="AN124" s="59">
        <f t="shared" si="46"/>
        <v>1161</v>
      </c>
      <c r="AO124" s="60">
        <f t="shared" si="47"/>
        <v>25862.600999999999</v>
      </c>
      <c r="AP124" s="36"/>
      <c r="AQ124" s="22"/>
      <c r="AS124" s="22"/>
      <c r="AT124" s="22"/>
      <c r="AX124" s="22"/>
      <c r="AY124" s="22"/>
      <c r="AZ124" s="22"/>
      <c r="BA124" s="22"/>
      <c r="BB124" s="22"/>
    </row>
    <row r="125" spans="1:54" x14ac:dyDescent="0.25">
      <c r="A125" s="8" t="s">
        <v>129</v>
      </c>
      <c r="B125" s="8"/>
      <c r="C125" s="26"/>
      <c r="D125" s="26"/>
      <c r="E125" s="26"/>
      <c r="F125" s="1">
        <v>6</v>
      </c>
      <c r="G125" s="57">
        <v>232.49086186134491</v>
      </c>
      <c r="H125" s="8">
        <v>99</v>
      </c>
      <c r="I125" s="3" t="s">
        <v>232</v>
      </c>
      <c r="J125" s="13">
        <f t="shared" si="29"/>
        <v>0</v>
      </c>
      <c r="K125" s="62">
        <v>1834.28</v>
      </c>
      <c r="L125" s="36"/>
      <c r="M125" s="35"/>
      <c r="N125" s="63">
        <v>284</v>
      </c>
      <c r="O125" s="58">
        <f t="shared" si="30"/>
        <v>0.15482914276991516</v>
      </c>
      <c r="P125" s="58">
        <f t="shared" si="31"/>
        <v>0</v>
      </c>
      <c r="Q125" s="36">
        <f t="shared" si="32"/>
        <v>0</v>
      </c>
      <c r="R125" s="36">
        <f t="shared" si="48"/>
        <v>0</v>
      </c>
      <c r="S125" s="63">
        <v>13</v>
      </c>
      <c r="T125" s="37">
        <f t="shared" si="51"/>
        <v>85.2</v>
      </c>
      <c r="U125" s="9">
        <f t="shared" si="52"/>
        <v>1921.43</v>
      </c>
      <c r="V125" s="62">
        <v>1806348089.6700001</v>
      </c>
      <c r="W125" s="63">
        <v>14263</v>
      </c>
      <c r="X125" s="18">
        <f t="shared" si="35"/>
        <v>126645.73</v>
      </c>
      <c r="Y125" s="38">
        <f t="shared" si="36"/>
        <v>0.69992699999999997</v>
      </c>
      <c r="Z125" s="63">
        <v>84697</v>
      </c>
      <c r="AA125" s="38">
        <f t="shared" si="37"/>
        <v>0.76838399999999996</v>
      </c>
      <c r="AB125" s="38">
        <f t="shared" si="38"/>
        <v>0.27953600000000001</v>
      </c>
      <c r="AC125" s="39">
        <f t="shared" si="53"/>
        <v>0.27953600000000001</v>
      </c>
      <c r="AD125" s="39">
        <f t="shared" si="50"/>
        <v>0.27953600000000001</v>
      </c>
      <c r="AE125" s="63">
        <v>0</v>
      </c>
      <c r="AF125" s="40">
        <v>0</v>
      </c>
      <c r="AG125" s="9">
        <f t="shared" si="41"/>
        <v>0</v>
      </c>
      <c r="AH125" s="11">
        <f t="shared" si="42"/>
        <v>0</v>
      </c>
      <c r="AI125" s="11">
        <f t="shared" si="43"/>
        <v>6190180</v>
      </c>
      <c r="AJ125" s="11">
        <f t="shared" si="44"/>
        <v>6190180</v>
      </c>
      <c r="AK125" s="36">
        <v>8076776</v>
      </c>
      <c r="AL125" s="36">
        <f t="shared" si="49"/>
        <v>-1886596</v>
      </c>
      <c r="AM125" s="59">
        <f t="shared" si="54"/>
        <v>6190180</v>
      </c>
      <c r="AN125" s="59">
        <f t="shared" si="46"/>
        <v>-1886596</v>
      </c>
      <c r="AO125" s="60">
        <f t="shared" si="47"/>
        <v>7605127</v>
      </c>
      <c r="AP125" s="36"/>
      <c r="AQ125" s="22"/>
      <c r="AS125" s="22"/>
      <c r="AT125" s="22"/>
      <c r="AX125" s="22"/>
      <c r="AY125" s="22"/>
      <c r="AZ125" s="22"/>
      <c r="BA125" s="22"/>
      <c r="BB125" s="22"/>
    </row>
    <row r="126" spans="1:54" x14ac:dyDescent="0.25">
      <c r="A126" s="8" t="s">
        <v>153</v>
      </c>
      <c r="B126" s="8"/>
      <c r="C126" s="26"/>
      <c r="D126" s="26"/>
      <c r="E126" s="26"/>
      <c r="F126" s="1">
        <v>8</v>
      </c>
      <c r="G126" s="57">
        <v>239.53318066556434</v>
      </c>
      <c r="H126" s="8">
        <v>100</v>
      </c>
      <c r="I126" s="3" t="s">
        <v>233</v>
      </c>
      <c r="J126" s="13">
        <f t="shared" si="29"/>
        <v>0</v>
      </c>
      <c r="K126" s="62">
        <v>381.8</v>
      </c>
      <c r="L126" s="36"/>
      <c r="M126" s="35"/>
      <c r="N126" s="63">
        <v>91</v>
      </c>
      <c r="O126" s="58">
        <f t="shared" si="30"/>
        <v>0.23834468308014667</v>
      </c>
      <c r="P126" s="58">
        <f t="shared" si="31"/>
        <v>0</v>
      </c>
      <c r="Q126" s="36">
        <f t="shared" si="32"/>
        <v>0</v>
      </c>
      <c r="R126" s="36">
        <f t="shared" si="48"/>
        <v>0</v>
      </c>
      <c r="S126" s="63">
        <v>17</v>
      </c>
      <c r="T126" s="37">
        <f t="shared" si="51"/>
        <v>27.3</v>
      </c>
      <c r="U126" s="9">
        <f t="shared" si="52"/>
        <v>411.65000000000003</v>
      </c>
      <c r="V126" s="62">
        <v>420263310.32999998</v>
      </c>
      <c r="W126" s="63">
        <v>3194</v>
      </c>
      <c r="X126" s="18">
        <f t="shared" si="35"/>
        <v>131579</v>
      </c>
      <c r="Y126" s="38">
        <f t="shared" si="36"/>
        <v>0.72719199999999995</v>
      </c>
      <c r="Z126" s="63">
        <v>69231</v>
      </c>
      <c r="AA126" s="38">
        <f t="shared" si="37"/>
        <v>0.62807400000000002</v>
      </c>
      <c r="AB126" s="38">
        <f t="shared" si="38"/>
        <v>0.30254300000000001</v>
      </c>
      <c r="AC126" s="39">
        <f t="shared" si="53"/>
        <v>0.30254300000000001</v>
      </c>
      <c r="AD126" s="39">
        <f t="shared" si="50"/>
        <v>0.30254300000000001</v>
      </c>
      <c r="AE126" s="63">
        <v>108</v>
      </c>
      <c r="AF126" s="40">
        <v>4</v>
      </c>
      <c r="AG126" s="9">
        <f t="shared" si="41"/>
        <v>30.77</v>
      </c>
      <c r="AH126" s="11">
        <f t="shared" si="42"/>
        <v>3323</v>
      </c>
      <c r="AI126" s="11">
        <f t="shared" si="43"/>
        <v>1435345</v>
      </c>
      <c r="AJ126" s="11">
        <f t="shared" si="44"/>
        <v>1438668</v>
      </c>
      <c r="AK126" s="36">
        <v>2044243</v>
      </c>
      <c r="AL126" s="36">
        <f t="shared" si="49"/>
        <v>-605575</v>
      </c>
      <c r="AM126" s="59">
        <f t="shared" si="54"/>
        <v>1438668</v>
      </c>
      <c r="AN126" s="59">
        <f t="shared" si="46"/>
        <v>-605575</v>
      </c>
      <c r="AO126" s="60">
        <f t="shared" si="47"/>
        <v>1892849.25</v>
      </c>
      <c r="AP126" s="36"/>
      <c r="AQ126" s="22"/>
      <c r="AS126" s="22"/>
      <c r="AT126" s="22"/>
      <c r="AX126" s="22"/>
      <c r="AY126" s="22"/>
      <c r="AZ126" s="22"/>
      <c r="BA126" s="22"/>
      <c r="BB126" s="22"/>
    </row>
    <row r="127" spans="1:54" x14ac:dyDescent="0.25">
      <c r="A127" s="8" t="s">
        <v>135</v>
      </c>
      <c r="B127" s="8"/>
      <c r="C127" s="26"/>
      <c r="D127" s="26"/>
      <c r="E127" s="26"/>
      <c r="F127" s="1">
        <v>4</v>
      </c>
      <c r="G127" s="57">
        <v>231.76041677914839</v>
      </c>
      <c r="H127" s="8">
        <v>101</v>
      </c>
      <c r="I127" s="3" t="s">
        <v>234</v>
      </c>
      <c r="J127" s="13">
        <f t="shared" si="29"/>
        <v>0</v>
      </c>
      <c r="K127" s="62">
        <v>3199.47</v>
      </c>
      <c r="L127" s="36"/>
      <c r="M127" s="35"/>
      <c r="N127" s="63">
        <v>420</v>
      </c>
      <c r="O127" s="58">
        <f t="shared" si="30"/>
        <v>0.13127174188224924</v>
      </c>
      <c r="P127" s="58">
        <f t="shared" si="31"/>
        <v>0</v>
      </c>
      <c r="Q127" s="36">
        <f t="shared" si="32"/>
        <v>0</v>
      </c>
      <c r="R127" s="36">
        <f t="shared" si="48"/>
        <v>0</v>
      </c>
      <c r="S127" s="63">
        <v>79</v>
      </c>
      <c r="T127" s="37">
        <f t="shared" si="51"/>
        <v>126</v>
      </c>
      <c r="U127" s="9">
        <f t="shared" si="52"/>
        <v>3337.3199999999997</v>
      </c>
      <c r="V127" s="62">
        <v>3991903263.6700001</v>
      </c>
      <c r="W127" s="63">
        <v>23828</v>
      </c>
      <c r="X127" s="18">
        <f t="shared" si="35"/>
        <v>167529.93</v>
      </c>
      <c r="Y127" s="38">
        <f t="shared" si="36"/>
        <v>0.92588000000000004</v>
      </c>
      <c r="Z127" s="63">
        <v>86340</v>
      </c>
      <c r="AA127" s="38">
        <f t="shared" si="37"/>
        <v>0.78328900000000001</v>
      </c>
      <c r="AB127" s="38">
        <f t="shared" si="38"/>
        <v>0.116897</v>
      </c>
      <c r="AC127" s="39">
        <f t="shared" si="53"/>
        <v>0.116897</v>
      </c>
      <c r="AD127" s="39">
        <f t="shared" si="50"/>
        <v>0.116897</v>
      </c>
      <c r="AE127" s="63">
        <v>0</v>
      </c>
      <c r="AF127" s="40">
        <v>0</v>
      </c>
      <c r="AG127" s="9">
        <f t="shared" si="41"/>
        <v>0</v>
      </c>
      <c r="AH127" s="11">
        <f t="shared" si="42"/>
        <v>0</v>
      </c>
      <c r="AI127" s="11">
        <f t="shared" si="43"/>
        <v>4496164</v>
      </c>
      <c r="AJ127" s="11">
        <f t="shared" si="44"/>
        <v>4496164</v>
      </c>
      <c r="AK127" s="36">
        <v>3842088</v>
      </c>
      <c r="AL127" s="36">
        <f t="shared" si="49"/>
        <v>654076</v>
      </c>
      <c r="AM127" s="59">
        <f t="shared" si="54"/>
        <v>4496164</v>
      </c>
      <c r="AN127" s="59">
        <f t="shared" si="46"/>
        <v>654076</v>
      </c>
      <c r="AO127" s="60">
        <f t="shared" si="47"/>
        <v>3868905.1159999999</v>
      </c>
      <c r="AP127" s="36"/>
      <c r="AQ127" s="22"/>
      <c r="AS127" s="22"/>
      <c r="AT127" s="22"/>
      <c r="AX127" s="22"/>
      <c r="AY127" s="22"/>
      <c r="AZ127" s="22"/>
      <c r="BA127" s="22"/>
      <c r="BB127" s="22"/>
    </row>
    <row r="128" spans="1:54" x14ac:dyDescent="0.25">
      <c r="A128" s="8" t="s">
        <v>129</v>
      </c>
      <c r="B128" s="8"/>
      <c r="C128" s="26"/>
      <c r="D128" s="26"/>
      <c r="E128" s="26"/>
      <c r="F128" s="1">
        <v>4</v>
      </c>
      <c r="G128" s="57">
        <v>220.32526207757792</v>
      </c>
      <c r="H128" s="8">
        <v>102</v>
      </c>
      <c r="I128" s="3" t="s">
        <v>235</v>
      </c>
      <c r="J128" s="13">
        <f t="shared" si="29"/>
        <v>0</v>
      </c>
      <c r="K128" s="62">
        <v>778.44</v>
      </c>
      <c r="L128" s="36"/>
      <c r="M128" s="35"/>
      <c r="N128" s="63">
        <v>73</v>
      </c>
      <c r="O128" s="58">
        <f t="shared" si="30"/>
        <v>9.3777298186115812E-2</v>
      </c>
      <c r="P128" s="58">
        <f t="shared" si="31"/>
        <v>0</v>
      </c>
      <c r="Q128" s="36">
        <f t="shared" si="32"/>
        <v>0</v>
      </c>
      <c r="R128" s="36">
        <f t="shared" si="48"/>
        <v>0</v>
      </c>
      <c r="S128" s="63">
        <v>3</v>
      </c>
      <c r="T128" s="37">
        <f t="shared" si="51"/>
        <v>21.9</v>
      </c>
      <c r="U128" s="9">
        <f t="shared" si="52"/>
        <v>800.79000000000008</v>
      </c>
      <c r="V128" s="62">
        <v>734577182</v>
      </c>
      <c r="W128" s="63">
        <v>5256</v>
      </c>
      <c r="X128" s="18">
        <f t="shared" si="35"/>
        <v>139759.74</v>
      </c>
      <c r="Y128" s="38">
        <f t="shared" si="36"/>
        <v>0.77240399999999998</v>
      </c>
      <c r="Z128" s="63">
        <v>75954</v>
      </c>
      <c r="AA128" s="38">
        <f t="shared" si="37"/>
        <v>0.68906599999999996</v>
      </c>
      <c r="AB128" s="38">
        <f t="shared" si="38"/>
        <v>0.25259700000000002</v>
      </c>
      <c r="AC128" s="39">
        <f t="shared" si="53"/>
        <v>0.25259700000000002</v>
      </c>
      <c r="AD128" s="39">
        <f t="shared" si="50"/>
        <v>0.25259700000000002</v>
      </c>
      <c r="AE128" s="63">
        <v>0</v>
      </c>
      <c r="AF128" s="40">
        <v>0</v>
      </c>
      <c r="AG128" s="9">
        <f t="shared" si="41"/>
        <v>0</v>
      </c>
      <c r="AH128" s="11">
        <f t="shared" si="42"/>
        <v>0</v>
      </c>
      <c r="AI128" s="11">
        <f t="shared" si="43"/>
        <v>2331244</v>
      </c>
      <c r="AJ128" s="11">
        <f t="shared" si="44"/>
        <v>2331244</v>
      </c>
      <c r="AK128" s="36">
        <v>2834470</v>
      </c>
      <c r="AL128" s="36">
        <f t="shared" si="49"/>
        <v>-503226</v>
      </c>
      <c r="AM128" s="59">
        <f t="shared" si="54"/>
        <v>2331244</v>
      </c>
      <c r="AN128" s="59">
        <f t="shared" si="46"/>
        <v>-503226</v>
      </c>
      <c r="AO128" s="60">
        <f t="shared" si="47"/>
        <v>2708663.5</v>
      </c>
      <c r="AP128" s="36"/>
      <c r="AQ128" s="22"/>
      <c r="AS128" s="22"/>
      <c r="AT128" s="22"/>
      <c r="AX128" s="22"/>
      <c r="AY128" s="22"/>
      <c r="AZ128" s="22"/>
      <c r="BA128" s="22"/>
      <c r="BB128" s="22"/>
    </row>
    <row r="129" spans="1:54" x14ac:dyDescent="0.25">
      <c r="A129" s="8" t="s">
        <v>127</v>
      </c>
      <c r="B129" s="8">
        <v>1</v>
      </c>
      <c r="C129" s="26">
        <v>1</v>
      </c>
      <c r="D129" s="26">
        <v>1</v>
      </c>
      <c r="E129" s="26"/>
      <c r="F129" s="1">
        <v>3</v>
      </c>
      <c r="G129" s="57">
        <v>216.86953070095581</v>
      </c>
      <c r="H129" s="8">
        <v>103</v>
      </c>
      <c r="I129" s="3" t="s">
        <v>236</v>
      </c>
      <c r="J129" s="13">
        <f t="shared" si="29"/>
        <v>0</v>
      </c>
      <c r="K129" s="62">
        <v>11847.56</v>
      </c>
      <c r="L129" s="36"/>
      <c r="M129" s="35"/>
      <c r="N129" s="63">
        <v>5963</v>
      </c>
      <c r="O129" s="58">
        <f t="shared" si="30"/>
        <v>0.50331038627362934</v>
      </c>
      <c r="P129" s="58">
        <f t="shared" si="31"/>
        <v>0</v>
      </c>
      <c r="Q129" s="36">
        <f t="shared" si="32"/>
        <v>0</v>
      </c>
      <c r="R129" s="36">
        <f t="shared" si="48"/>
        <v>0</v>
      </c>
      <c r="S129" s="63">
        <v>1784</v>
      </c>
      <c r="T129" s="37">
        <f t="shared" si="51"/>
        <v>1788.9</v>
      </c>
      <c r="U129" s="9">
        <f t="shared" si="52"/>
        <v>13904.06</v>
      </c>
      <c r="V129" s="62">
        <v>18063611248.330002</v>
      </c>
      <c r="W129" s="63">
        <v>88485</v>
      </c>
      <c r="X129" s="18">
        <f t="shared" si="35"/>
        <v>204143.2</v>
      </c>
      <c r="Y129" s="38">
        <f t="shared" si="36"/>
        <v>1.1282289999999999</v>
      </c>
      <c r="Z129" s="63">
        <v>76987</v>
      </c>
      <c r="AA129" s="38">
        <f t="shared" si="37"/>
        <v>0.69843699999999997</v>
      </c>
      <c r="AB129" s="38">
        <f t="shared" si="38"/>
        <v>7.0899999999999999E-4</v>
      </c>
      <c r="AC129" s="39">
        <f t="shared" si="53"/>
        <v>0.1</v>
      </c>
      <c r="AD129" s="39">
        <f t="shared" si="50"/>
        <v>0.1</v>
      </c>
      <c r="AE129" s="63">
        <v>0</v>
      </c>
      <c r="AF129" s="40">
        <v>0</v>
      </c>
      <c r="AG129" s="9">
        <f t="shared" si="41"/>
        <v>0</v>
      </c>
      <c r="AH129" s="11">
        <f t="shared" si="42"/>
        <v>0</v>
      </c>
      <c r="AI129" s="11">
        <f t="shared" si="43"/>
        <v>16024429</v>
      </c>
      <c r="AJ129" s="11">
        <f t="shared" si="44"/>
        <v>16024429</v>
      </c>
      <c r="AK129" s="36">
        <v>11243340</v>
      </c>
      <c r="AL129" s="36">
        <f t="shared" si="49"/>
        <v>4781089</v>
      </c>
      <c r="AM129" s="59">
        <f t="shared" si="54"/>
        <v>16024429</v>
      </c>
      <c r="AN129" s="59">
        <f t="shared" si="46"/>
        <v>4781089</v>
      </c>
      <c r="AO129" s="60">
        <f t="shared" si="47"/>
        <v>11439364.649</v>
      </c>
      <c r="AP129" s="36"/>
      <c r="AQ129" s="22"/>
      <c r="AS129" s="22"/>
      <c r="AT129" s="22"/>
      <c r="AX129" s="22"/>
      <c r="AY129" s="22"/>
      <c r="AZ129" s="22"/>
      <c r="BA129" s="22"/>
      <c r="BB129" s="22"/>
    </row>
    <row r="130" spans="1:54" x14ac:dyDescent="0.25">
      <c r="A130" s="8" t="s">
        <v>127</v>
      </c>
      <c r="B130" s="8">
        <v>1</v>
      </c>
      <c r="C130" s="26">
        <v>1</v>
      </c>
      <c r="D130" s="26">
        <v>0</v>
      </c>
      <c r="E130" s="26">
        <v>1</v>
      </c>
      <c r="F130" s="1">
        <v>10</v>
      </c>
      <c r="G130" s="61">
        <v>326.89782761852621</v>
      </c>
      <c r="H130" s="8">
        <v>104</v>
      </c>
      <c r="I130" s="3" t="s">
        <v>237</v>
      </c>
      <c r="J130" s="13">
        <f t="shared" si="29"/>
        <v>0</v>
      </c>
      <c r="K130" s="62">
        <v>5295.98</v>
      </c>
      <c r="L130" s="36"/>
      <c r="M130" s="35"/>
      <c r="N130" s="63">
        <v>3717</v>
      </c>
      <c r="O130" s="58">
        <f t="shared" si="30"/>
        <v>0.70185310367486287</v>
      </c>
      <c r="P130" s="58">
        <f t="shared" si="31"/>
        <v>0</v>
      </c>
      <c r="Q130" s="36">
        <f t="shared" si="32"/>
        <v>0</v>
      </c>
      <c r="R130" s="36">
        <f t="shared" si="48"/>
        <v>0</v>
      </c>
      <c r="S130" s="63">
        <v>769</v>
      </c>
      <c r="T130" s="37">
        <f t="shared" si="51"/>
        <v>1115.0999999999999</v>
      </c>
      <c r="U130" s="9">
        <f t="shared" si="52"/>
        <v>6526.43</v>
      </c>
      <c r="V130" s="62">
        <v>2650616837.3299999</v>
      </c>
      <c r="W130" s="63">
        <v>39899</v>
      </c>
      <c r="X130" s="18">
        <f t="shared" si="35"/>
        <v>66433.16</v>
      </c>
      <c r="Y130" s="38">
        <f t="shared" si="36"/>
        <v>0.36715300000000001</v>
      </c>
      <c r="Z130" s="63">
        <v>50078</v>
      </c>
      <c r="AA130" s="38">
        <f t="shared" si="37"/>
        <v>0.45431500000000002</v>
      </c>
      <c r="AB130" s="38">
        <f t="shared" si="38"/>
        <v>0.60669799999999996</v>
      </c>
      <c r="AC130" s="39">
        <f t="shared" si="53"/>
        <v>0.60669799999999996</v>
      </c>
      <c r="AD130" s="39">
        <f>IF(G130&gt;300,+AC130+$AD$18,AC130)</f>
        <v>0.646698</v>
      </c>
      <c r="AE130" s="63">
        <v>0</v>
      </c>
      <c r="AF130" s="40">
        <v>0</v>
      </c>
      <c r="AG130" s="9">
        <f t="shared" si="41"/>
        <v>0</v>
      </c>
      <c r="AH130" s="11">
        <f t="shared" si="42"/>
        <v>0</v>
      </c>
      <c r="AI130" s="11">
        <f t="shared" si="43"/>
        <v>48642752</v>
      </c>
      <c r="AJ130" s="11">
        <f t="shared" si="44"/>
        <v>48642752</v>
      </c>
      <c r="AK130" s="36">
        <v>36209664</v>
      </c>
      <c r="AL130" s="36">
        <f t="shared" si="49"/>
        <v>12433088</v>
      </c>
      <c r="AM130" s="59">
        <f t="shared" si="54"/>
        <v>48642752</v>
      </c>
      <c r="AN130" s="59">
        <f t="shared" si="46"/>
        <v>12433088</v>
      </c>
      <c r="AO130" s="60">
        <f t="shared" si="47"/>
        <v>36719420.608000003</v>
      </c>
      <c r="AP130" s="36"/>
      <c r="AQ130" s="22"/>
      <c r="AS130" s="22"/>
      <c r="AT130" s="22"/>
      <c r="AX130" s="22"/>
      <c r="AY130" s="22"/>
      <c r="AZ130" s="22"/>
      <c r="BA130" s="22"/>
      <c r="BB130" s="22"/>
    </row>
    <row r="131" spans="1:54" x14ac:dyDescent="0.25">
      <c r="A131" s="8" t="s">
        <v>125</v>
      </c>
      <c r="B131" s="8"/>
      <c r="C131" s="26"/>
      <c r="D131" s="26"/>
      <c r="E131" s="26"/>
      <c r="F131" s="1">
        <v>2</v>
      </c>
      <c r="G131" s="57">
        <v>175.62480793298397</v>
      </c>
      <c r="H131" s="8">
        <v>105</v>
      </c>
      <c r="I131" s="3" t="s">
        <v>238</v>
      </c>
      <c r="J131" s="13">
        <f t="shared" si="29"/>
        <v>0</v>
      </c>
      <c r="K131" s="62">
        <v>1030.53</v>
      </c>
      <c r="L131" s="36"/>
      <c r="M131" s="35"/>
      <c r="N131" s="63">
        <v>70</v>
      </c>
      <c r="O131" s="58">
        <f t="shared" si="30"/>
        <v>6.7926212725490764E-2</v>
      </c>
      <c r="P131" s="58">
        <f t="shared" si="31"/>
        <v>0</v>
      </c>
      <c r="Q131" s="36">
        <f t="shared" si="32"/>
        <v>0</v>
      </c>
      <c r="R131" s="36">
        <f t="shared" si="48"/>
        <v>0</v>
      </c>
      <c r="S131" s="63">
        <v>10</v>
      </c>
      <c r="T131" s="37">
        <f t="shared" si="51"/>
        <v>21</v>
      </c>
      <c r="U131" s="9">
        <f t="shared" si="52"/>
        <v>1053.03</v>
      </c>
      <c r="V131" s="62">
        <v>2249907358.3299999</v>
      </c>
      <c r="W131" s="63">
        <v>7521</v>
      </c>
      <c r="X131" s="18">
        <f t="shared" si="35"/>
        <v>299150.03000000003</v>
      </c>
      <c r="Y131" s="38">
        <f t="shared" si="36"/>
        <v>1.6532990000000001</v>
      </c>
      <c r="Z131" s="63">
        <v>87025</v>
      </c>
      <c r="AA131" s="38">
        <f t="shared" si="37"/>
        <v>0.78950399999999998</v>
      </c>
      <c r="AB131" s="38">
        <f t="shared" si="38"/>
        <v>-0.39416099999999998</v>
      </c>
      <c r="AC131" s="39">
        <f t="shared" si="53"/>
        <v>0.01</v>
      </c>
      <c r="AD131" s="39">
        <f t="shared" ref="AD131:AD136" si="55">IF(G131&gt;300,+AC131+$AD$17,AC131)</f>
        <v>0.01</v>
      </c>
      <c r="AE131" s="63">
        <v>1023</v>
      </c>
      <c r="AF131" s="40">
        <v>13</v>
      </c>
      <c r="AG131" s="9">
        <f t="shared" si="41"/>
        <v>100</v>
      </c>
      <c r="AH131" s="11">
        <f t="shared" si="42"/>
        <v>102300</v>
      </c>
      <c r="AI131" s="11">
        <f t="shared" si="43"/>
        <v>121362</v>
      </c>
      <c r="AJ131" s="11">
        <f t="shared" si="44"/>
        <v>223662</v>
      </c>
      <c r="AK131" s="36">
        <v>247462</v>
      </c>
      <c r="AL131" s="36">
        <f t="shared" si="49"/>
        <v>-23800</v>
      </c>
      <c r="AM131" s="59">
        <f t="shared" si="54"/>
        <v>223662</v>
      </c>
      <c r="AN131" s="59">
        <f t="shared" si="46"/>
        <v>-23800</v>
      </c>
      <c r="AO131" s="60">
        <f t="shared" si="47"/>
        <v>241512</v>
      </c>
      <c r="AP131" s="36"/>
      <c r="AQ131" s="22"/>
      <c r="AS131" s="22"/>
      <c r="AT131" s="22"/>
      <c r="AX131" s="22"/>
      <c r="AY131" s="22"/>
      <c r="AZ131" s="22"/>
      <c r="BA131" s="22"/>
      <c r="BB131" s="22"/>
    </row>
    <row r="132" spans="1:54" x14ac:dyDescent="0.25">
      <c r="A132" s="8" t="s">
        <v>135</v>
      </c>
      <c r="B132" s="8"/>
      <c r="C132" s="26"/>
      <c r="D132" s="26"/>
      <c r="E132" s="26"/>
      <c r="F132" s="1">
        <v>2</v>
      </c>
      <c r="G132" s="57">
        <v>187.09752729331314</v>
      </c>
      <c r="H132" s="8">
        <v>106</v>
      </c>
      <c r="I132" s="3" t="s">
        <v>239</v>
      </c>
      <c r="J132" s="13">
        <f t="shared" si="29"/>
        <v>0</v>
      </c>
      <c r="K132" s="62">
        <v>1250.27</v>
      </c>
      <c r="L132" s="36"/>
      <c r="M132" s="35"/>
      <c r="N132" s="63">
        <v>185</v>
      </c>
      <c r="O132" s="58">
        <f t="shared" si="30"/>
        <v>0.14796803890359683</v>
      </c>
      <c r="P132" s="58">
        <f t="shared" si="31"/>
        <v>0</v>
      </c>
      <c r="Q132" s="36">
        <f t="shared" si="32"/>
        <v>0</v>
      </c>
      <c r="R132" s="36">
        <f t="shared" si="48"/>
        <v>0</v>
      </c>
      <c r="S132" s="63">
        <v>51</v>
      </c>
      <c r="T132" s="37">
        <f t="shared" si="51"/>
        <v>55.5</v>
      </c>
      <c r="U132" s="9">
        <f t="shared" si="52"/>
        <v>1313.42</v>
      </c>
      <c r="V132" s="62">
        <v>3193437657.6700001</v>
      </c>
      <c r="W132" s="63">
        <v>10160</v>
      </c>
      <c r="X132" s="18">
        <f t="shared" si="35"/>
        <v>314314.73</v>
      </c>
      <c r="Y132" s="38">
        <f t="shared" si="36"/>
        <v>1.737109</v>
      </c>
      <c r="Z132" s="63">
        <v>71796</v>
      </c>
      <c r="AA132" s="38">
        <f t="shared" si="37"/>
        <v>0.65134400000000003</v>
      </c>
      <c r="AB132" s="38">
        <f t="shared" si="38"/>
        <v>-0.41138000000000002</v>
      </c>
      <c r="AC132" s="39">
        <f t="shared" si="53"/>
        <v>0.01</v>
      </c>
      <c r="AD132" s="39">
        <f t="shared" si="55"/>
        <v>0.01</v>
      </c>
      <c r="AE132" s="63">
        <v>0</v>
      </c>
      <c r="AF132" s="40">
        <v>0</v>
      </c>
      <c r="AG132" s="9">
        <f t="shared" si="41"/>
        <v>0</v>
      </c>
      <c r="AH132" s="11">
        <f t="shared" si="42"/>
        <v>0</v>
      </c>
      <c r="AI132" s="11">
        <f t="shared" si="43"/>
        <v>151372</v>
      </c>
      <c r="AJ132" s="11">
        <f t="shared" si="44"/>
        <v>151372</v>
      </c>
      <c r="AK132" s="36">
        <v>122907</v>
      </c>
      <c r="AL132" s="36">
        <f t="shared" si="49"/>
        <v>28465</v>
      </c>
      <c r="AM132" s="59">
        <f t="shared" si="54"/>
        <v>151372</v>
      </c>
      <c r="AN132" s="59">
        <f t="shared" si="46"/>
        <v>28465</v>
      </c>
      <c r="AO132" s="60">
        <f t="shared" si="47"/>
        <v>124074.065</v>
      </c>
      <c r="AP132" s="36"/>
      <c r="AQ132" s="22"/>
      <c r="AS132" s="22"/>
      <c r="AT132" s="22"/>
      <c r="AX132" s="22"/>
      <c r="AY132" s="22"/>
      <c r="AZ132" s="22"/>
      <c r="BA132" s="22"/>
      <c r="BB132" s="22"/>
    </row>
    <row r="133" spans="1:54" x14ac:dyDescent="0.25">
      <c r="A133" s="8" t="s">
        <v>131</v>
      </c>
      <c r="B133" s="8"/>
      <c r="C133" s="26"/>
      <c r="D133" s="26"/>
      <c r="E133" s="26"/>
      <c r="F133" s="1">
        <v>3</v>
      </c>
      <c r="G133" s="57">
        <v>209.56575932676759</v>
      </c>
      <c r="H133" s="8">
        <v>107</v>
      </c>
      <c r="I133" s="3" t="s">
        <v>240</v>
      </c>
      <c r="J133" s="13">
        <f t="shared" si="29"/>
        <v>0</v>
      </c>
      <c r="K133" s="62">
        <v>2290.11</v>
      </c>
      <c r="L133" s="36"/>
      <c r="M133" s="35"/>
      <c r="N133" s="63">
        <v>123</v>
      </c>
      <c r="O133" s="58">
        <f t="shared" si="30"/>
        <v>5.3709210474606021E-2</v>
      </c>
      <c r="P133" s="58">
        <f t="shared" si="31"/>
        <v>0</v>
      </c>
      <c r="Q133" s="36">
        <f t="shared" si="32"/>
        <v>0</v>
      </c>
      <c r="R133" s="36">
        <f t="shared" si="48"/>
        <v>0</v>
      </c>
      <c r="S133" s="63">
        <v>86</v>
      </c>
      <c r="T133" s="37">
        <f t="shared" si="51"/>
        <v>36.9</v>
      </c>
      <c r="U133" s="9">
        <f t="shared" si="52"/>
        <v>2339.9100000000003</v>
      </c>
      <c r="V133" s="62">
        <v>2859238271.3299999</v>
      </c>
      <c r="W133" s="63">
        <v>13944</v>
      </c>
      <c r="X133" s="18">
        <f t="shared" si="35"/>
        <v>205051.51</v>
      </c>
      <c r="Y133" s="38">
        <f t="shared" si="36"/>
        <v>1.133249</v>
      </c>
      <c r="Z133" s="63">
        <v>107047</v>
      </c>
      <c r="AA133" s="38">
        <f t="shared" si="37"/>
        <v>0.97114599999999995</v>
      </c>
      <c r="AB133" s="38">
        <f t="shared" si="38"/>
        <v>-8.4617999999999999E-2</v>
      </c>
      <c r="AC133" s="39">
        <f t="shared" si="53"/>
        <v>0.01</v>
      </c>
      <c r="AD133" s="39">
        <f t="shared" si="55"/>
        <v>0.01</v>
      </c>
      <c r="AE133" s="63">
        <v>1116</v>
      </c>
      <c r="AF133" s="40">
        <v>6</v>
      </c>
      <c r="AG133" s="9">
        <f t="shared" si="41"/>
        <v>46.15</v>
      </c>
      <c r="AH133" s="11">
        <f t="shared" si="42"/>
        <v>51503</v>
      </c>
      <c r="AI133" s="11">
        <f t="shared" si="43"/>
        <v>269675</v>
      </c>
      <c r="AJ133" s="11">
        <f t="shared" si="44"/>
        <v>321178</v>
      </c>
      <c r="AK133" s="36">
        <v>1509226</v>
      </c>
      <c r="AL133" s="36">
        <f t="shared" si="49"/>
        <v>-1188048</v>
      </c>
      <c r="AM133" s="59">
        <f t="shared" si="54"/>
        <v>321178</v>
      </c>
      <c r="AN133" s="59">
        <f t="shared" si="46"/>
        <v>-1188048</v>
      </c>
      <c r="AO133" s="60">
        <f t="shared" si="47"/>
        <v>1212214</v>
      </c>
      <c r="AP133" s="36"/>
      <c r="AQ133" s="22"/>
      <c r="AS133" s="22"/>
      <c r="AT133" s="22"/>
      <c r="AX133" s="22"/>
      <c r="AY133" s="22"/>
      <c r="AZ133" s="22"/>
      <c r="BA133" s="22"/>
      <c r="BB133" s="22"/>
    </row>
    <row r="134" spans="1:54" x14ac:dyDescent="0.25">
      <c r="A134" s="8" t="s">
        <v>125</v>
      </c>
      <c r="B134" s="8"/>
      <c r="C134" s="26"/>
      <c r="D134" s="26"/>
      <c r="E134" s="26"/>
      <c r="F134" s="1">
        <v>3</v>
      </c>
      <c r="G134" s="57">
        <v>214.2460462924617</v>
      </c>
      <c r="H134" s="8">
        <v>108</v>
      </c>
      <c r="I134" s="3" t="s">
        <v>241</v>
      </c>
      <c r="J134" s="13">
        <f t="shared" si="29"/>
        <v>0</v>
      </c>
      <c r="K134" s="62">
        <v>1924.86</v>
      </c>
      <c r="L134" s="36"/>
      <c r="M134" s="35"/>
      <c r="N134" s="63">
        <v>173</v>
      </c>
      <c r="O134" s="58">
        <f t="shared" si="30"/>
        <v>8.9876666354955684E-2</v>
      </c>
      <c r="P134" s="58">
        <f t="shared" si="31"/>
        <v>0</v>
      </c>
      <c r="Q134" s="36">
        <f t="shared" si="32"/>
        <v>0</v>
      </c>
      <c r="R134" s="36">
        <f t="shared" si="48"/>
        <v>0</v>
      </c>
      <c r="S134" s="63">
        <v>43</v>
      </c>
      <c r="T134" s="37">
        <f t="shared" si="51"/>
        <v>51.9</v>
      </c>
      <c r="U134" s="9">
        <f t="shared" si="52"/>
        <v>1983.21</v>
      </c>
      <c r="V134" s="62">
        <v>2088710181.3299999</v>
      </c>
      <c r="W134" s="63">
        <v>13013</v>
      </c>
      <c r="X134" s="18">
        <f t="shared" si="35"/>
        <v>160509.5</v>
      </c>
      <c r="Y134" s="38">
        <f t="shared" si="36"/>
        <v>0.88708100000000001</v>
      </c>
      <c r="Z134" s="63">
        <v>97296</v>
      </c>
      <c r="AA134" s="38">
        <f t="shared" si="37"/>
        <v>0.88268400000000002</v>
      </c>
      <c r="AB134" s="38">
        <f t="shared" si="38"/>
        <v>0.11423800000000001</v>
      </c>
      <c r="AC134" s="39">
        <f t="shared" si="53"/>
        <v>0.11423800000000001</v>
      </c>
      <c r="AD134" s="39">
        <f t="shared" si="55"/>
        <v>0.11423800000000001</v>
      </c>
      <c r="AE134" s="63">
        <v>0</v>
      </c>
      <c r="AF134" s="40">
        <v>0</v>
      </c>
      <c r="AG134" s="9">
        <f t="shared" si="41"/>
        <v>0</v>
      </c>
      <c r="AH134" s="11">
        <f t="shared" si="42"/>
        <v>0</v>
      </c>
      <c r="AI134" s="11">
        <f t="shared" si="43"/>
        <v>2611080</v>
      </c>
      <c r="AJ134" s="11">
        <f t="shared" si="44"/>
        <v>2611080</v>
      </c>
      <c r="AK134" s="36">
        <v>4528763</v>
      </c>
      <c r="AL134" s="36">
        <f t="shared" si="49"/>
        <v>-1917683</v>
      </c>
      <c r="AM134" s="59">
        <f t="shared" si="54"/>
        <v>2611080</v>
      </c>
      <c r="AN134" s="59">
        <f t="shared" si="46"/>
        <v>-1917683</v>
      </c>
      <c r="AO134" s="60">
        <f t="shared" si="47"/>
        <v>4049342.25</v>
      </c>
      <c r="AP134" s="36"/>
      <c r="AQ134" s="22"/>
      <c r="AS134" s="22"/>
      <c r="AT134" s="22"/>
      <c r="AX134" s="22"/>
      <c r="AY134" s="22"/>
      <c r="AZ134" s="22"/>
      <c r="BA134" s="22"/>
      <c r="BB134" s="22"/>
    </row>
    <row r="135" spans="1:54" x14ac:dyDescent="0.25">
      <c r="A135" s="8" t="s">
        <v>140</v>
      </c>
      <c r="B135" s="8"/>
      <c r="C135" s="26"/>
      <c r="D135" s="26"/>
      <c r="E135" s="26"/>
      <c r="F135" s="1">
        <v>9</v>
      </c>
      <c r="G135" s="61">
        <v>297.07958910896031</v>
      </c>
      <c r="H135" s="8">
        <v>109</v>
      </c>
      <c r="I135" s="3" t="s">
        <v>242</v>
      </c>
      <c r="J135" s="13">
        <f t="shared" si="29"/>
        <v>0</v>
      </c>
      <c r="K135" s="62">
        <v>2245.12</v>
      </c>
      <c r="L135" s="36"/>
      <c r="M135" s="35"/>
      <c r="N135" s="63">
        <v>1017</v>
      </c>
      <c r="O135" s="58">
        <f t="shared" si="30"/>
        <v>0.45298246864310149</v>
      </c>
      <c r="P135" s="58">
        <f t="shared" si="31"/>
        <v>0</v>
      </c>
      <c r="Q135" s="36">
        <f t="shared" si="32"/>
        <v>0</v>
      </c>
      <c r="R135" s="36">
        <f t="shared" si="48"/>
        <v>0</v>
      </c>
      <c r="S135" s="63">
        <v>38</v>
      </c>
      <c r="T135" s="37">
        <f t="shared" si="51"/>
        <v>305.10000000000002</v>
      </c>
      <c r="U135" s="9">
        <f t="shared" si="52"/>
        <v>2555.9199999999996</v>
      </c>
      <c r="V135" s="62">
        <v>1327434969.3299999</v>
      </c>
      <c r="W135" s="63">
        <v>15077</v>
      </c>
      <c r="X135" s="18">
        <f t="shared" si="35"/>
        <v>88043.71</v>
      </c>
      <c r="Y135" s="38">
        <f t="shared" si="36"/>
        <v>0.48658699999999999</v>
      </c>
      <c r="Z135" s="63">
        <v>60673</v>
      </c>
      <c r="AA135" s="38">
        <f t="shared" si="37"/>
        <v>0.55043399999999998</v>
      </c>
      <c r="AB135" s="38">
        <f t="shared" si="38"/>
        <v>0.494259</v>
      </c>
      <c r="AC135" s="39">
        <f t="shared" si="53"/>
        <v>0.494259</v>
      </c>
      <c r="AD135" s="39">
        <f t="shared" si="55"/>
        <v>0.494259</v>
      </c>
      <c r="AE135" s="63">
        <v>0</v>
      </c>
      <c r="AF135" s="40">
        <v>0</v>
      </c>
      <c r="AG135" s="9">
        <f t="shared" si="41"/>
        <v>0</v>
      </c>
      <c r="AH135" s="11">
        <f t="shared" si="42"/>
        <v>0</v>
      </c>
      <c r="AI135" s="11">
        <f t="shared" si="43"/>
        <v>14559376</v>
      </c>
      <c r="AJ135" s="11">
        <f t="shared" si="44"/>
        <v>14559376</v>
      </c>
      <c r="AK135" s="36">
        <v>15364444</v>
      </c>
      <c r="AL135" s="36">
        <f t="shared" si="49"/>
        <v>-805068</v>
      </c>
      <c r="AM135" s="59">
        <f t="shared" si="54"/>
        <v>14559376</v>
      </c>
      <c r="AN135" s="59">
        <f t="shared" si="46"/>
        <v>-805068</v>
      </c>
      <c r="AO135" s="60">
        <f t="shared" si="47"/>
        <v>15163177</v>
      </c>
      <c r="AP135" s="36"/>
      <c r="AQ135" s="22"/>
      <c r="AS135" s="22"/>
      <c r="AT135" s="22"/>
      <c r="AX135" s="22"/>
      <c r="AY135" s="22"/>
      <c r="AZ135" s="22"/>
      <c r="BA135" s="22"/>
      <c r="BB135" s="22"/>
    </row>
    <row r="136" spans="1:54" x14ac:dyDescent="0.25">
      <c r="A136" s="8" t="s">
        <v>153</v>
      </c>
      <c r="B136" s="8"/>
      <c r="C136" s="26"/>
      <c r="D136" s="26"/>
      <c r="E136" s="26"/>
      <c r="F136" s="1">
        <v>8</v>
      </c>
      <c r="G136" s="61">
        <v>263.26100444554379</v>
      </c>
      <c r="H136" s="8">
        <v>110</v>
      </c>
      <c r="I136" s="3" t="s">
        <v>243</v>
      </c>
      <c r="J136" s="13">
        <f t="shared" si="29"/>
        <v>0</v>
      </c>
      <c r="K136" s="62">
        <v>2397.19</v>
      </c>
      <c r="L136" s="36"/>
      <c r="M136" s="35"/>
      <c r="N136" s="63">
        <v>541</v>
      </c>
      <c r="O136" s="58">
        <f t="shared" si="30"/>
        <v>0.22568090138870928</v>
      </c>
      <c r="P136" s="58">
        <f t="shared" si="31"/>
        <v>0</v>
      </c>
      <c r="Q136" s="36">
        <f t="shared" si="32"/>
        <v>0</v>
      </c>
      <c r="R136" s="36">
        <f t="shared" si="48"/>
        <v>0</v>
      </c>
      <c r="S136" s="63">
        <v>120</v>
      </c>
      <c r="T136" s="37">
        <f t="shared" si="51"/>
        <v>162.30000000000001</v>
      </c>
      <c r="U136" s="9">
        <f t="shared" si="52"/>
        <v>2577.4900000000002</v>
      </c>
      <c r="V136" s="62">
        <v>1945332198.3299999</v>
      </c>
      <c r="W136" s="63">
        <v>17773</v>
      </c>
      <c r="X136" s="18">
        <f t="shared" si="35"/>
        <v>109454.35</v>
      </c>
      <c r="Y136" s="38">
        <f t="shared" si="36"/>
        <v>0.60491600000000001</v>
      </c>
      <c r="Z136" s="63">
        <v>58500</v>
      </c>
      <c r="AA136" s="38">
        <f t="shared" si="37"/>
        <v>0.530721</v>
      </c>
      <c r="AB136" s="38">
        <f t="shared" si="38"/>
        <v>0.41734300000000002</v>
      </c>
      <c r="AC136" s="39">
        <f t="shared" si="53"/>
        <v>0.41734300000000002</v>
      </c>
      <c r="AD136" s="39">
        <f t="shared" si="55"/>
        <v>0.41734300000000002</v>
      </c>
      <c r="AE136" s="63">
        <v>0</v>
      </c>
      <c r="AF136" s="40">
        <v>0</v>
      </c>
      <c r="AG136" s="9">
        <f t="shared" si="41"/>
        <v>0</v>
      </c>
      <c r="AH136" s="11">
        <f t="shared" si="42"/>
        <v>0</v>
      </c>
      <c r="AI136" s="11">
        <f t="shared" si="43"/>
        <v>12397413</v>
      </c>
      <c r="AJ136" s="11">
        <f t="shared" si="44"/>
        <v>12397413</v>
      </c>
      <c r="AK136" s="36">
        <v>10272197</v>
      </c>
      <c r="AL136" s="36">
        <f t="shared" si="49"/>
        <v>2125216</v>
      </c>
      <c r="AM136" s="59">
        <f t="shared" si="54"/>
        <v>12397413</v>
      </c>
      <c r="AN136" s="59">
        <f t="shared" si="46"/>
        <v>2125216</v>
      </c>
      <c r="AO136" s="60">
        <f t="shared" si="47"/>
        <v>10359330.856000001</v>
      </c>
      <c r="AP136" s="36"/>
      <c r="AQ136" s="22"/>
      <c r="AS136" s="22"/>
      <c r="AT136" s="22"/>
      <c r="AX136" s="22"/>
      <c r="AY136" s="22"/>
      <c r="AZ136" s="22"/>
      <c r="BA136" s="22"/>
      <c r="BB136" s="22"/>
    </row>
    <row r="137" spans="1:54" x14ac:dyDescent="0.25">
      <c r="A137" s="8" t="s">
        <v>153</v>
      </c>
      <c r="B137" s="8"/>
      <c r="C137" s="26"/>
      <c r="D137" s="26"/>
      <c r="E137" s="26"/>
      <c r="F137" s="1">
        <v>8</v>
      </c>
      <c r="G137" s="61">
        <v>300.85895325392619</v>
      </c>
      <c r="H137" s="8">
        <v>111</v>
      </c>
      <c r="I137" s="3" t="s">
        <v>244</v>
      </c>
      <c r="J137" s="13">
        <f t="shared" si="29"/>
        <v>0</v>
      </c>
      <c r="K137" s="62">
        <v>1610.68</v>
      </c>
      <c r="L137" s="36"/>
      <c r="M137" s="35"/>
      <c r="N137" s="63">
        <v>511</v>
      </c>
      <c r="O137" s="58">
        <f t="shared" si="30"/>
        <v>0.31725730747262026</v>
      </c>
      <c r="P137" s="58">
        <f t="shared" si="31"/>
        <v>0</v>
      </c>
      <c r="Q137" s="36">
        <f t="shared" si="32"/>
        <v>0</v>
      </c>
      <c r="R137" s="36">
        <f t="shared" si="48"/>
        <v>0</v>
      </c>
      <c r="S137" s="63">
        <v>20</v>
      </c>
      <c r="T137" s="37">
        <f t="shared" si="51"/>
        <v>153.30000000000001</v>
      </c>
      <c r="U137" s="9">
        <f t="shared" si="52"/>
        <v>1766.98</v>
      </c>
      <c r="V137" s="62">
        <v>1036169931</v>
      </c>
      <c r="W137" s="63">
        <v>11813</v>
      </c>
      <c r="X137" s="18">
        <f t="shared" si="35"/>
        <v>87714.38</v>
      </c>
      <c r="Y137" s="38">
        <f t="shared" si="36"/>
        <v>0.484767</v>
      </c>
      <c r="Z137" s="63">
        <v>70167</v>
      </c>
      <c r="AA137" s="38">
        <f t="shared" si="37"/>
        <v>0.63656500000000005</v>
      </c>
      <c r="AB137" s="38">
        <f t="shared" si="38"/>
        <v>0.469694</v>
      </c>
      <c r="AC137" s="39">
        <f t="shared" si="53"/>
        <v>0.469694</v>
      </c>
      <c r="AD137" s="39">
        <f>IF(G137&gt;300,+AC137+$AD$19,AC137)</f>
        <v>0.49969399999999997</v>
      </c>
      <c r="AE137" s="63">
        <v>0</v>
      </c>
      <c r="AF137" s="40">
        <v>0</v>
      </c>
      <c r="AG137" s="9">
        <f t="shared" si="41"/>
        <v>0</v>
      </c>
      <c r="AH137" s="11">
        <f t="shared" si="42"/>
        <v>0</v>
      </c>
      <c r="AI137" s="11">
        <f t="shared" si="43"/>
        <v>10175991</v>
      </c>
      <c r="AJ137" s="11">
        <f t="shared" si="44"/>
        <v>10175991</v>
      </c>
      <c r="AK137" s="36">
        <v>9761632</v>
      </c>
      <c r="AL137" s="36">
        <f t="shared" si="49"/>
        <v>414359</v>
      </c>
      <c r="AM137" s="59">
        <f t="shared" si="54"/>
        <v>10175991</v>
      </c>
      <c r="AN137" s="59">
        <f t="shared" si="46"/>
        <v>414359</v>
      </c>
      <c r="AO137" s="60">
        <f t="shared" si="47"/>
        <v>9778620.7190000005</v>
      </c>
      <c r="AP137" s="36"/>
      <c r="AQ137" s="22"/>
      <c r="AS137" s="22"/>
      <c r="AT137" s="22"/>
      <c r="AX137" s="22"/>
      <c r="AY137" s="22"/>
      <c r="AZ137" s="22"/>
      <c r="BA137" s="22"/>
      <c r="BB137" s="22"/>
    </row>
    <row r="138" spans="1:54" x14ac:dyDescent="0.25">
      <c r="A138" s="8" t="s">
        <v>125</v>
      </c>
      <c r="B138" s="8"/>
      <c r="C138" s="26"/>
      <c r="D138" s="26"/>
      <c r="E138" s="26"/>
      <c r="F138" s="1">
        <v>8</v>
      </c>
      <c r="G138" s="57">
        <v>223.77517142104676</v>
      </c>
      <c r="H138" s="8">
        <v>112</v>
      </c>
      <c r="I138" s="3" t="s">
        <v>245</v>
      </c>
      <c r="J138" s="13">
        <f t="shared" si="29"/>
        <v>0</v>
      </c>
      <c r="K138" s="62">
        <v>584.96</v>
      </c>
      <c r="L138" s="36"/>
      <c r="M138" s="35"/>
      <c r="N138" s="63">
        <v>74</v>
      </c>
      <c r="O138" s="58">
        <f t="shared" si="30"/>
        <v>0.12650437636761488</v>
      </c>
      <c r="P138" s="58">
        <f t="shared" si="31"/>
        <v>0</v>
      </c>
      <c r="Q138" s="36">
        <f t="shared" si="32"/>
        <v>0</v>
      </c>
      <c r="R138" s="36">
        <f t="shared" si="48"/>
        <v>0</v>
      </c>
      <c r="S138" s="63">
        <v>4</v>
      </c>
      <c r="T138" s="37">
        <f t="shared" si="51"/>
        <v>22.2</v>
      </c>
      <c r="U138" s="9">
        <f t="shared" si="52"/>
        <v>607.7600000000001</v>
      </c>
      <c r="V138" s="62">
        <v>488685275.32999998</v>
      </c>
      <c r="W138" s="63">
        <v>4163</v>
      </c>
      <c r="X138" s="18">
        <f t="shared" si="35"/>
        <v>117387.77</v>
      </c>
      <c r="Y138" s="38">
        <f t="shared" si="36"/>
        <v>0.64876199999999995</v>
      </c>
      <c r="Z138" s="63">
        <v>91053</v>
      </c>
      <c r="AA138" s="38">
        <f t="shared" si="37"/>
        <v>0.82604599999999995</v>
      </c>
      <c r="AB138" s="38">
        <f t="shared" si="38"/>
        <v>0.29805300000000001</v>
      </c>
      <c r="AC138" s="39">
        <f t="shared" si="53"/>
        <v>0.29805300000000001</v>
      </c>
      <c r="AD138" s="39">
        <f t="shared" ref="AD138:AD158" si="56">IF(G138&gt;300,+AC138+$AD$17,AC138)</f>
        <v>0.29805300000000001</v>
      </c>
      <c r="AE138" s="63">
        <v>0</v>
      </c>
      <c r="AF138" s="40">
        <v>0</v>
      </c>
      <c r="AG138" s="9">
        <f t="shared" si="41"/>
        <v>0</v>
      </c>
      <c r="AH138" s="11">
        <f t="shared" si="42"/>
        <v>0</v>
      </c>
      <c r="AI138" s="11">
        <f t="shared" si="43"/>
        <v>2087693</v>
      </c>
      <c r="AJ138" s="11">
        <f t="shared" si="44"/>
        <v>2087693</v>
      </c>
      <c r="AK138" s="36">
        <v>3073015</v>
      </c>
      <c r="AL138" s="36">
        <f t="shared" si="49"/>
        <v>-985322</v>
      </c>
      <c r="AM138" s="59">
        <f t="shared" si="54"/>
        <v>2087693</v>
      </c>
      <c r="AN138" s="59">
        <f t="shared" si="46"/>
        <v>-985322</v>
      </c>
      <c r="AO138" s="60">
        <f t="shared" si="47"/>
        <v>2826684.5</v>
      </c>
      <c r="AP138" s="36"/>
      <c r="AQ138" s="22"/>
      <c r="AS138" s="22"/>
      <c r="AT138" s="22"/>
      <c r="AX138" s="22"/>
      <c r="AY138" s="22"/>
      <c r="AZ138" s="22"/>
      <c r="BA138" s="22"/>
      <c r="BB138" s="22"/>
    </row>
    <row r="139" spans="1:54" x14ac:dyDescent="0.25">
      <c r="A139" s="8" t="s">
        <v>129</v>
      </c>
      <c r="B139" s="8"/>
      <c r="C139" s="26"/>
      <c r="D139" s="26"/>
      <c r="E139" s="26"/>
      <c r="F139" s="1">
        <v>6</v>
      </c>
      <c r="G139" s="57">
        <v>238.45026313562315</v>
      </c>
      <c r="H139" s="8">
        <v>113</v>
      </c>
      <c r="I139" s="3" t="s">
        <v>246</v>
      </c>
      <c r="J139" s="13">
        <f t="shared" si="29"/>
        <v>0</v>
      </c>
      <c r="K139" s="62">
        <v>1367.89</v>
      </c>
      <c r="L139" s="36"/>
      <c r="M139" s="35"/>
      <c r="N139" s="63">
        <v>253</v>
      </c>
      <c r="O139" s="58">
        <f t="shared" si="30"/>
        <v>0.18495639269239483</v>
      </c>
      <c r="P139" s="58">
        <f t="shared" si="31"/>
        <v>0</v>
      </c>
      <c r="Q139" s="36">
        <f t="shared" si="32"/>
        <v>0</v>
      </c>
      <c r="R139" s="36">
        <f t="shared" si="48"/>
        <v>0</v>
      </c>
      <c r="S139" s="63">
        <v>15</v>
      </c>
      <c r="T139" s="37">
        <f t="shared" si="51"/>
        <v>75.900000000000006</v>
      </c>
      <c r="U139" s="9">
        <f t="shared" si="52"/>
        <v>1446.0400000000002</v>
      </c>
      <c r="V139" s="62">
        <v>1160169322</v>
      </c>
      <c r="W139" s="63">
        <v>9391</v>
      </c>
      <c r="X139" s="18">
        <f t="shared" si="35"/>
        <v>123540.55</v>
      </c>
      <c r="Y139" s="38">
        <f t="shared" si="36"/>
        <v>0.68276599999999998</v>
      </c>
      <c r="Z139" s="63">
        <v>90417</v>
      </c>
      <c r="AA139" s="38">
        <f t="shared" si="37"/>
        <v>0.82027600000000001</v>
      </c>
      <c r="AB139" s="38">
        <f t="shared" si="38"/>
        <v>0.27598099999999998</v>
      </c>
      <c r="AC139" s="39">
        <f t="shared" si="53"/>
        <v>0.27598099999999998</v>
      </c>
      <c r="AD139" s="39">
        <f t="shared" si="56"/>
        <v>0.27598099999999998</v>
      </c>
      <c r="AE139" s="63">
        <v>0</v>
      </c>
      <c r="AF139" s="40">
        <v>0</v>
      </c>
      <c r="AG139" s="9">
        <f t="shared" si="41"/>
        <v>0</v>
      </c>
      <c r="AH139" s="11">
        <f t="shared" si="42"/>
        <v>0</v>
      </c>
      <c r="AI139" s="11">
        <f t="shared" si="43"/>
        <v>4599392</v>
      </c>
      <c r="AJ139" s="11">
        <f t="shared" si="44"/>
        <v>4599392</v>
      </c>
      <c r="AK139" s="36">
        <v>4363751</v>
      </c>
      <c r="AL139" s="36">
        <f t="shared" si="49"/>
        <v>235641</v>
      </c>
      <c r="AM139" s="59">
        <f t="shared" si="54"/>
        <v>4599392</v>
      </c>
      <c r="AN139" s="59">
        <f t="shared" si="46"/>
        <v>235641</v>
      </c>
      <c r="AO139" s="60">
        <f t="shared" si="47"/>
        <v>4373412.2810000004</v>
      </c>
      <c r="AP139" s="36"/>
      <c r="AQ139" s="22"/>
      <c r="AS139" s="22"/>
      <c r="AT139" s="22"/>
      <c r="AX139" s="22"/>
      <c r="AY139" s="22"/>
      <c r="AZ139" s="22"/>
      <c r="BA139" s="22"/>
      <c r="BB139" s="22"/>
    </row>
    <row r="140" spans="1:54" x14ac:dyDescent="0.25">
      <c r="A140" s="8" t="s">
        <v>129</v>
      </c>
      <c r="B140" s="8"/>
      <c r="C140" s="26"/>
      <c r="D140" s="26"/>
      <c r="E140" s="26"/>
      <c r="F140" s="1">
        <v>7</v>
      </c>
      <c r="G140" s="57">
        <v>240.78008560722361</v>
      </c>
      <c r="H140" s="8">
        <v>114</v>
      </c>
      <c r="I140" s="3" t="s">
        <v>247</v>
      </c>
      <c r="J140" s="13">
        <f t="shared" si="29"/>
        <v>0</v>
      </c>
      <c r="K140" s="62">
        <v>675.69</v>
      </c>
      <c r="L140" s="36"/>
      <c r="M140" s="35"/>
      <c r="N140" s="63">
        <v>159</v>
      </c>
      <c r="O140" s="58">
        <f t="shared" si="30"/>
        <v>0.23531501132175997</v>
      </c>
      <c r="P140" s="58">
        <f t="shared" si="31"/>
        <v>0</v>
      </c>
      <c r="Q140" s="36">
        <f t="shared" si="32"/>
        <v>0</v>
      </c>
      <c r="R140" s="36">
        <f t="shared" si="48"/>
        <v>0</v>
      </c>
      <c r="S140" s="63">
        <v>6</v>
      </c>
      <c r="T140" s="37">
        <f t="shared" si="51"/>
        <v>47.7</v>
      </c>
      <c r="U140" s="9">
        <f t="shared" si="52"/>
        <v>724.29000000000008</v>
      </c>
      <c r="V140" s="62">
        <v>550110292.66999996</v>
      </c>
      <c r="W140" s="63">
        <v>4707</v>
      </c>
      <c r="X140" s="18">
        <f t="shared" si="35"/>
        <v>116870.68</v>
      </c>
      <c r="Y140" s="38">
        <f t="shared" si="36"/>
        <v>0.64590400000000003</v>
      </c>
      <c r="Z140" s="63">
        <v>69275</v>
      </c>
      <c r="AA140" s="38">
        <f t="shared" si="37"/>
        <v>0.62847299999999995</v>
      </c>
      <c r="AB140" s="38">
        <f t="shared" si="38"/>
        <v>0.35932500000000001</v>
      </c>
      <c r="AC140" s="39">
        <f t="shared" si="53"/>
        <v>0.35932500000000001</v>
      </c>
      <c r="AD140" s="39">
        <f t="shared" si="56"/>
        <v>0.35932500000000001</v>
      </c>
      <c r="AE140" s="63">
        <v>0</v>
      </c>
      <c r="AF140" s="40">
        <v>0</v>
      </c>
      <c r="AG140" s="9">
        <f t="shared" si="41"/>
        <v>0</v>
      </c>
      <c r="AH140" s="11">
        <f t="shared" si="42"/>
        <v>0</v>
      </c>
      <c r="AI140" s="11">
        <f t="shared" si="43"/>
        <v>2999445</v>
      </c>
      <c r="AJ140" s="11">
        <f t="shared" si="44"/>
        <v>2999445</v>
      </c>
      <c r="AK140" s="36">
        <v>3012017</v>
      </c>
      <c r="AL140" s="36">
        <f t="shared" si="49"/>
        <v>-12572</v>
      </c>
      <c r="AM140" s="59">
        <f t="shared" si="54"/>
        <v>2999445</v>
      </c>
      <c r="AN140" s="59">
        <f t="shared" si="46"/>
        <v>-12572</v>
      </c>
      <c r="AO140" s="60">
        <f t="shared" si="47"/>
        <v>3008874</v>
      </c>
      <c r="AP140" s="36"/>
      <c r="AQ140" s="22"/>
      <c r="AS140" s="22"/>
      <c r="AT140" s="22"/>
      <c r="AX140" s="22"/>
      <c r="AY140" s="22"/>
      <c r="AZ140" s="22"/>
      <c r="BA140" s="22"/>
      <c r="BB140" s="22"/>
    </row>
    <row r="141" spans="1:54" x14ac:dyDescent="0.25">
      <c r="A141" s="8" t="s">
        <v>129</v>
      </c>
      <c r="B141" s="8"/>
      <c r="C141" s="26"/>
      <c r="D141" s="26"/>
      <c r="E141" s="26"/>
      <c r="F141" s="1">
        <v>6</v>
      </c>
      <c r="G141" s="57">
        <v>231.02815271819742</v>
      </c>
      <c r="H141" s="8">
        <v>115</v>
      </c>
      <c r="I141" s="3" t="s">
        <v>248</v>
      </c>
      <c r="J141" s="13">
        <f t="shared" si="29"/>
        <v>0</v>
      </c>
      <c r="K141" s="62">
        <v>1371.68</v>
      </c>
      <c r="L141" s="36"/>
      <c r="M141" s="35"/>
      <c r="N141" s="63">
        <v>186</v>
      </c>
      <c r="O141" s="58">
        <f t="shared" si="30"/>
        <v>0.13560013997433804</v>
      </c>
      <c r="P141" s="58">
        <f t="shared" si="31"/>
        <v>0</v>
      </c>
      <c r="Q141" s="36">
        <f t="shared" si="32"/>
        <v>0</v>
      </c>
      <c r="R141" s="36">
        <f t="shared" si="48"/>
        <v>0</v>
      </c>
      <c r="S141" s="63">
        <v>20</v>
      </c>
      <c r="T141" s="37">
        <f t="shared" si="51"/>
        <v>55.8</v>
      </c>
      <c r="U141" s="9">
        <f t="shared" si="52"/>
        <v>1430.48</v>
      </c>
      <c r="V141" s="62">
        <v>1194480857.3299999</v>
      </c>
      <c r="W141" s="63">
        <v>9739</v>
      </c>
      <c r="X141" s="18">
        <f t="shared" si="35"/>
        <v>122649.23</v>
      </c>
      <c r="Y141" s="38">
        <f t="shared" si="36"/>
        <v>0.67784</v>
      </c>
      <c r="Z141" s="63">
        <v>102397</v>
      </c>
      <c r="AA141" s="38">
        <f t="shared" si="37"/>
        <v>0.92896100000000004</v>
      </c>
      <c r="AB141" s="38">
        <f t="shared" si="38"/>
        <v>0.24682399999999999</v>
      </c>
      <c r="AC141" s="39">
        <f t="shared" si="53"/>
        <v>0.24682399999999999</v>
      </c>
      <c r="AD141" s="39">
        <f t="shared" si="56"/>
        <v>0.24682399999999999</v>
      </c>
      <c r="AE141" s="63">
        <v>1371</v>
      </c>
      <c r="AF141" s="40">
        <v>13</v>
      </c>
      <c r="AG141" s="9">
        <f t="shared" si="41"/>
        <v>100</v>
      </c>
      <c r="AH141" s="11">
        <f t="shared" si="42"/>
        <v>137100</v>
      </c>
      <c r="AI141" s="11">
        <f t="shared" si="43"/>
        <v>4069210</v>
      </c>
      <c r="AJ141" s="11">
        <f t="shared" si="44"/>
        <v>4206310</v>
      </c>
      <c r="AK141" s="36">
        <v>5297609</v>
      </c>
      <c r="AL141" s="36">
        <f t="shared" si="49"/>
        <v>-1091299</v>
      </c>
      <c r="AM141" s="59">
        <f t="shared" si="54"/>
        <v>4206310</v>
      </c>
      <c r="AN141" s="59">
        <f t="shared" si="46"/>
        <v>-1091299</v>
      </c>
      <c r="AO141" s="60">
        <f t="shared" si="47"/>
        <v>5024784.25</v>
      </c>
      <c r="AP141" s="36"/>
      <c r="AQ141" s="22"/>
      <c r="AS141" s="22"/>
      <c r="AT141" s="22"/>
      <c r="AX141" s="22"/>
      <c r="AY141" s="22"/>
      <c r="AZ141" s="22"/>
      <c r="BA141" s="22"/>
      <c r="BB141" s="22"/>
    </row>
    <row r="142" spans="1:54" x14ac:dyDescent="0.25">
      <c r="A142" s="8" t="s">
        <v>140</v>
      </c>
      <c r="B142" s="41"/>
      <c r="C142" s="26">
        <v>1</v>
      </c>
      <c r="D142" s="26">
        <v>1</v>
      </c>
      <c r="E142" s="26"/>
      <c r="F142" s="1">
        <v>10</v>
      </c>
      <c r="G142" s="61">
        <v>275.20354355693041</v>
      </c>
      <c r="H142" s="8">
        <v>116</v>
      </c>
      <c r="I142" s="3" t="s">
        <v>249</v>
      </c>
      <c r="J142" s="13">
        <f t="shared" si="29"/>
        <v>0</v>
      </c>
      <c r="K142" s="62">
        <v>1143.53</v>
      </c>
      <c r="L142" s="36"/>
      <c r="M142" s="35"/>
      <c r="N142" s="63">
        <v>669</v>
      </c>
      <c r="O142" s="58">
        <f t="shared" si="30"/>
        <v>0.5850305632558831</v>
      </c>
      <c r="P142" s="58">
        <f t="shared" si="31"/>
        <v>0</v>
      </c>
      <c r="Q142" s="36">
        <f t="shared" si="32"/>
        <v>0</v>
      </c>
      <c r="R142" s="36">
        <f t="shared" si="48"/>
        <v>0</v>
      </c>
      <c r="S142" s="63">
        <v>44</v>
      </c>
      <c r="T142" s="37">
        <f t="shared" si="51"/>
        <v>200.7</v>
      </c>
      <c r="U142" s="9">
        <f t="shared" si="52"/>
        <v>1350.83</v>
      </c>
      <c r="V142" s="62">
        <v>874803049.33000004</v>
      </c>
      <c r="W142" s="63">
        <v>9372</v>
      </c>
      <c r="X142" s="18">
        <f t="shared" si="35"/>
        <v>93342.19</v>
      </c>
      <c r="Y142" s="38">
        <f t="shared" si="36"/>
        <v>0.51587000000000005</v>
      </c>
      <c r="Z142" s="63">
        <v>51621</v>
      </c>
      <c r="AA142" s="38">
        <f t="shared" si="37"/>
        <v>0.46831299999999998</v>
      </c>
      <c r="AB142" s="38">
        <f t="shared" si="38"/>
        <v>0.49839699999999998</v>
      </c>
      <c r="AC142" s="39">
        <f t="shared" si="53"/>
        <v>0.49839699999999998</v>
      </c>
      <c r="AD142" s="39">
        <f t="shared" si="56"/>
        <v>0.49839699999999998</v>
      </c>
      <c r="AE142" s="63">
        <v>0</v>
      </c>
      <c r="AF142" s="40">
        <v>0</v>
      </c>
      <c r="AG142" s="9">
        <f t="shared" si="41"/>
        <v>0</v>
      </c>
      <c r="AH142" s="11">
        <f t="shared" si="42"/>
        <v>0</v>
      </c>
      <c r="AI142" s="11">
        <f t="shared" si="43"/>
        <v>7759202</v>
      </c>
      <c r="AJ142" s="11">
        <f t="shared" si="44"/>
        <v>7759202</v>
      </c>
      <c r="AK142" s="36">
        <v>8340282</v>
      </c>
      <c r="AL142" s="36">
        <f t="shared" si="49"/>
        <v>-581080</v>
      </c>
      <c r="AM142" s="59">
        <f t="shared" si="54"/>
        <v>8340282</v>
      </c>
      <c r="AN142" s="59">
        <f t="shared" si="46"/>
        <v>0</v>
      </c>
      <c r="AO142" s="60">
        <f t="shared" si="47"/>
        <v>8340282</v>
      </c>
      <c r="AP142" s="36"/>
      <c r="AQ142" s="22"/>
      <c r="AS142" s="22"/>
      <c r="AT142" s="22"/>
      <c r="AX142" s="22"/>
      <c r="AY142" s="22"/>
      <c r="AZ142" s="22"/>
      <c r="BA142" s="22"/>
      <c r="BB142" s="22"/>
    </row>
    <row r="143" spans="1:54" x14ac:dyDescent="0.25">
      <c r="A143" s="8" t="s">
        <v>167</v>
      </c>
      <c r="B143" s="8"/>
      <c r="C143" s="26"/>
      <c r="D143" s="26"/>
      <c r="E143" s="26"/>
      <c r="F143" s="1">
        <v>1</v>
      </c>
      <c r="G143" s="57">
        <v>176.5803100797288</v>
      </c>
      <c r="H143" s="8">
        <v>117</v>
      </c>
      <c r="I143" s="3" t="s">
        <v>250</v>
      </c>
      <c r="J143" s="13">
        <f t="shared" si="29"/>
        <v>0</v>
      </c>
      <c r="K143" s="62">
        <v>1393.38</v>
      </c>
      <c r="L143" s="36"/>
      <c r="M143" s="35"/>
      <c r="N143" s="63">
        <v>49</v>
      </c>
      <c r="O143" s="58">
        <f t="shared" si="30"/>
        <v>3.5166286296631211E-2</v>
      </c>
      <c r="P143" s="58">
        <f t="shared" si="31"/>
        <v>0</v>
      </c>
      <c r="Q143" s="36">
        <f t="shared" si="32"/>
        <v>0</v>
      </c>
      <c r="R143" s="36">
        <f t="shared" si="48"/>
        <v>0</v>
      </c>
      <c r="S143" s="63">
        <v>7</v>
      </c>
      <c r="T143" s="37">
        <f t="shared" si="51"/>
        <v>14.7</v>
      </c>
      <c r="U143" s="9">
        <f t="shared" si="52"/>
        <v>1409.13</v>
      </c>
      <c r="V143" s="62">
        <v>2375364902</v>
      </c>
      <c r="W143" s="63">
        <v>9293</v>
      </c>
      <c r="X143" s="18">
        <f t="shared" si="35"/>
        <v>255607.97</v>
      </c>
      <c r="Y143" s="38">
        <f t="shared" si="36"/>
        <v>1.4126570000000001</v>
      </c>
      <c r="Z143" s="63">
        <v>121270</v>
      </c>
      <c r="AA143" s="38">
        <f t="shared" si="37"/>
        <v>1.100179</v>
      </c>
      <c r="AB143" s="38">
        <f t="shared" si="38"/>
        <v>-0.31891399999999998</v>
      </c>
      <c r="AC143" s="39">
        <f t="shared" si="53"/>
        <v>0.01</v>
      </c>
      <c r="AD143" s="39">
        <f t="shared" si="56"/>
        <v>0.01</v>
      </c>
      <c r="AE143" s="63">
        <v>507</v>
      </c>
      <c r="AF143" s="40">
        <v>4</v>
      </c>
      <c r="AG143" s="9">
        <f t="shared" si="41"/>
        <v>30.77</v>
      </c>
      <c r="AH143" s="11">
        <f t="shared" si="42"/>
        <v>15600</v>
      </c>
      <c r="AI143" s="11">
        <f t="shared" si="43"/>
        <v>162402</v>
      </c>
      <c r="AJ143" s="11">
        <f t="shared" si="44"/>
        <v>178002</v>
      </c>
      <c r="AK143" s="36">
        <v>180135</v>
      </c>
      <c r="AL143" s="36">
        <f t="shared" si="49"/>
        <v>-2133</v>
      </c>
      <c r="AM143" s="59">
        <f t="shared" si="54"/>
        <v>178002</v>
      </c>
      <c r="AN143" s="59">
        <f t="shared" si="46"/>
        <v>-2133</v>
      </c>
      <c r="AO143" s="60">
        <f t="shared" si="47"/>
        <v>179601.75</v>
      </c>
      <c r="AP143" s="36"/>
      <c r="AQ143" s="22"/>
      <c r="AS143" s="22"/>
      <c r="AT143" s="22"/>
      <c r="AX143" s="22"/>
      <c r="AY143" s="22"/>
      <c r="AZ143" s="22"/>
      <c r="BA143" s="22"/>
      <c r="BB143" s="22"/>
    </row>
    <row r="144" spans="1:54" x14ac:dyDescent="0.25">
      <c r="A144" s="8" t="s">
        <v>167</v>
      </c>
      <c r="B144" s="8"/>
      <c r="C144" s="26"/>
      <c r="D144" s="26"/>
      <c r="E144" s="26"/>
      <c r="F144" s="1">
        <v>1</v>
      </c>
      <c r="G144" s="57">
        <v>136.35786730849145</v>
      </c>
      <c r="H144" s="8">
        <v>118</v>
      </c>
      <c r="I144" s="3" t="s">
        <v>251</v>
      </c>
      <c r="J144" s="13">
        <f t="shared" si="29"/>
        <v>0</v>
      </c>
      <c r="K144" s="62">
        <v>4900.83</v>
      </c>
      <c r="L144" s="36"/>
      <c r="M144" s="35"/>
      <c r="N144" s="63">
        <v>85</v>
      </c>
      <c r="O144" s="58">
        <f t="shared" si="30"/>
        <v>1.7344000914130873E-2</v>
      </c>
      <c r="P144" s="58">
        <f t="shared" si="31"/>
        <v>0</v>
      </c>
      <c r="Q144" s="36">
        <f t="shared" si="32"/>
        <v>0</v>
      </c>
      <c r="R144" s="36">
        <f t="shared" si="48"/>
        <v>0</v>
      </c>
      <c r="S144" s="63">
        <v>53</v>
      </c>
      <c r="T144" s="37">
        <f t="shared" si="51"/>
        <v>25.5</v>
      </c>
      <c r="U144" s="9">
        <f t="shared" si="52"/>
        <v>4934.28</v>
      </c>
      <c r="V144" s="62">
        <v>7229371881</v>
      </c>
      <c r="W144" s="63">
        <v>25244</v>
      </c>
      <c r="X144" s="18">
        <f t="shared" si="35"/>
        <v>286379.81</v>
      </c>
      <c r="Y144" s="38">
        <f t="shared" si="36"/>
        <v>1.582722</v>
      </c>
      <c r="Z144" s="63">
        <v>145902</v>
      </c>
      <c r="AA144" s="38">
        <f t="shared" si="37"/>
        <v>1.323644</v>
      </c>
      <c r="AB144" s="38">
        <f t="shared" si="38"/>
        <v>-0.50499899999999998</v>
      </c>
      <c r="AC144" s="39">
        <f t="shared" si="53"/>
        <v>0.01</v>
      </c>
      <c r="AD144" s="39">
        <f t="shared" si="56"/>
        <v>0.01</v>
      </c>
      <c r="AE144" s="63">
        <v>0</v>
      </c>
      <c r="AF144" s="40">
        <v>0</v>
      </c>
      <c r="AG144" s="9">
        <f t="shared" si="41"/>
        <v>0</v>
      </c>
      <c r="AH144" s="11">
        <f t="shared" si="42"/>
        <v>0</v>
      </c>
      <c r="AI144" s="11">
        <f t="shared" si="43"/>
        <v>568676</v>
      </c>
      <c r="AJ144" s="11">
        <f t="shared" si="44"/>
        <v>568676</v>
      </c>
      <c r="AK144" s="36">
        <v>571648</v>
      </c>
      <c r="AL144" s="36">
        <f t="shared" si="49"/>
        <v>-2972</v>
      </c>
      <c r="AM144" s="59">
        <f t="shared" si="54"/>
        <v>568676</v>
      </c>
      <c r="AN144" s="59">
        <f t="shared" si="46"/>
        <v>-2972</v>
      </c>
      <c r="AO144" s="60">
        <f t="shared" si="47"/>
        <v>570905</v>
      </c>
      <c r="AP144" s="36"/>
      <c r="AQ144" s="22"/>
      <c r="AS144" s="22"/>
      <c r="AT144" s="22"/>
      <c r="AX144" s="22"/>
      <c r="AY144" s="22"/>
      <c r="AZ144" s="22"/>
      <c r="BA144" s="22"/>
      <c r="BB144" s="22"/>
    </row>
    <row r="145" spans="1:54" x14ac:dyDescent="0.25">
      <c r="A145" s="8" t="s">
        <v>135</v>
      </c>
      <c r="B145" s="8"/>
      <c r="C145" s="26"/>
      <c r="D145" s="26"/>
      <c r="E145" s="26"/>
      <c r="F145" s="1">
        <v>6</v>
      </c>
      <c r="G145" s="57">
        <v>221.44986690755781</v>
      </c>
      <c r="H145" s="8">
        <v>119</v>
      </c>
      <c r="I145" s="3" t="s">
        <v>252</v>
      </c>
      <c r="J145" s="13">
        <f t="shared" si="29"/>
        <v>0</v>
      </c>
      <c r="K145" s="62">
        <v>2838.72</v>
      </c>
      <c r="L145" s="36"/>
      <c r="M145" s="35"/>
      <c r="N145" s="63">
        <v>398</v>
      </c>
      <c r="O145" s="58">
        <f t="shared" si="30"/>
        <v>0.14020403562168865</v>
      </c>
      <c r="P145" s="58">
        <f t="shared" si="31"/>
        <v>0</v>
      </c>
      <c r="Q145" s="36">
        <f t="shared" si="32"/>
        <v>0</v>
      </c>
      <c r="R145" s="36">
        <f t="shared" si="48"/>
        <v>0</v>
      </c>
      <c r="S145" s="63">
        <v>220</v>
      </c>
      <c r="T145" s="37">
        <f t="shared" si="51"/>
        <v>119.4</v>
      </c>
      <c r="U145" s="9">
        <f t="shared" si="52"/>
        <v>2991.12</v>
      </c>
      <c r="V145" s="62">
        <v>3031489735</v>
      </c>
      <c r="W145" s="63">
        <v>20021</v>
      </c>
      <c r="X145" s="18">
        <f t="shared" si="35"/>
        <v>151415.5</v>
      </c>
      <c r="Y145" s="38">
        <f t="shared" si="36"/>
        <v>0.83682100000000004</v>
      </c>
      <c r="Z145" s="63">
        <v>81576</v>
      </c>
      <c r="AA145" s="38">
        <f t="shared" si="37"/>
        <v>0.74006899999999998</v>
      </c>
      <c r="AB145" s="38">
        <f t="shared" si="38"/>
        <v>0.19220499999999999</v>
      </c>
      <c r="AC145" s="39">
        <f t="shared" si="53"/>
        <v>0.19220499999999999</v>
      </c>
      <c r="AD145" s="39">
        <f t="shared" si="56"/>
        <v>0.19220499999999999</v>
      </c>
      <c r="AE145" s="63">
        <v>0</v>
      </c>
      <c r="AF145" s="40">
        <v>0</v>
      </c>
      <c r="AG145" s="9">
        <f t="shared" si="41"/>
        <v>0</v>
      </c>
      <c r="AH145" s="11">
        <f t="shared" si="42"/>
        <v>0</v>
      </c>
      <c r="AI145" s="11">
        <f t="shared" si="43"/>
        <v>6625817</v>
      </c>
      <c r="AJ145" s="11">
        <f t="shared" si="44"/>
        <v>6625817</v>
      </c>
      <c r="AK145" s="36">
        <v>4250230</v>
      </c>
      <c r="AL145" s="36">
        <f t="shared" si="49"/>
        <v>2375587</v>
      </c>
      <c r="AM145" s="59">
        <f t="shared" si="54"/>
        <v>6625817</v>
      </c>
      <c r="AN145" s="59">
        <f t="shared" si="46"/>
        <v>2375587</v>
      </c>
      <c r="AO145" s="60">
        <f t="shared" si="47"/>
        <v>4347629.0669999998</v>
      </c>
      <c r="AP145" s="36"/>
      <c r="AQ145" s="22"/>
      <c r="AS145" s="22"/>
      <c r="AT145" s="22"/>
      <c r="AX145" s="22"/>
      <c r="AY145" s="22"/>
      <c r="AZ145" s="22"/>
      <c r="BA145" s="22"/>
      <c r="BB145" s="22"/>
    </row>
    <row r="146" spans="1:54" x14ac:dyDescent="0.25">
      <c r="A146" s="8" t="s">
        <v>125</v>
      </c>
      <c r="B146" s="8"/>
      <c r="C146" s="26"/>
      <c r="D146" s="26"/>
      <c r="E146" s="26"/>
      <c r="F146" s="1">
        <v>1</v>
      </c>
      <c r="G146" s="57">
        <v>110.72820744082085</v>
      </c>
      <c r="H146" s="8">
        <v>120</v>
      </c>
      <c r="I146" s="3" t="s">
        <v>253</v>
      </c>
      <c r="J146" s="13">
        <f t="shared" si="29"/>
        <v>0</v>
      </c>
      <c r="K146" s="62">
        <v>219.19</v>
      </c>
      <c r="L146" s="36"/>
      <c r="M146" s="35"/>
      <c r="N146" s="63">
        <v>15</v>
      </c>
      <c r="O146" s="58">
        <f t="shared" si="30"/>
        <v>6.8433778913271598E-2</v>
      </c>
      <c r="P146" s="58">
        <f t="shared" si="31"/>
        <v>0</v>
      </c>
      <c r="Q146" s="36">
        <f t="shared" si="32"/>
        <v>0</v>
      </c>
      <c r="R146" s="36">
        <f t="shared" si="48"/>
        <v>0</v>
      </c>
      <c r="S146" s="63">
        <v>1</v>
      </c>
      <c r="T146" s="37">
        <f t="shared" si="51"/>
        <v>4.5</v>
      </c>
      <c r="U146" s="9">
        <f t="shared" si="52"/>
        <v>223.84</v>
      </c>
      <c r="V146" s="62">
        <v>969559399.33000004</v>
      </c>
      <c r="W146" s="63">
        <v>2187</v>
      </c>
      <c r="X146" s="18">
        <f t="shared" si="35"/>
        <v>443328.49</v>
      </c>
      <c r="Y146" s="38">
        <f t="shared" si="36"/>
        <v>2.4501240000000002</v>
      </c>
      <c r="Z146" s="63">
        <v>96875</v>
      </c>
      <c r="AA146" s="38">
        <f t="shared" si="37"/>
        <v>0.87886399999999998</v>
      </c>
      <c r="AB146" s="38">
        <f t="shared" si="38"/>
        <v>-0.978746</v>
      </c>
      <c r="AC146" s="39">
        <f t="shared" si="53"/>
        <v>0.01</v>
      </c>
      <c r="AD146" s="39">
        <f t="shared" si="56"/>
        <v>0.01</v>
      </c>
      <c r="AE146" s="63">
        <v>216</v>
      </c>
      <c r="AF146" s="40">
        <v>13</v>
      </c>
      <c r="AG146" s="9">
        <f t="shared" si="41"/>
        <v>100</v>
      </c>
      <c r="AH146" s="11">
        <f t="shared" si="42"/>
        <v>21600</v>
      </c>
      <c r="AI146" s="11">
        <f t="shared" si="43"/>
        <v>25798</v>
      </c>
      <c r="AJ146" s="11">
        <f t="shared" si="44"/>
        <v>47398</v>
      </c>
      <c r="AK146" s="36">
        <v>33612</v>
      </c>
      <c r="AL146" s="36">
        <f t="shared" si="49"/>
        <v>13786</v>
      </c>
      <c r="AM146" s="59">
        <f t="shared" si="54"/>
        <v>47398</v>
      </c>
      <c r="AN146" s="59">
        <f t="shared" si="46"/>
        <v>13786</v>
      </c>
      <c r="AO146" s="60">
        <f t="shared" si="47"/>
        <v>34177.226000000002</v>
      </c>
      <c r="AP146" s="36"/>
      <c r="AQ146" s="22"/>
      <c r="AS146" s="22"/>
      <c r="AT146" s="22"/>
      <c r="AX146" s="22"/>
      <c r="AY146" s="22"/>
      <c r="AZ146" s="22"/>
      <c r="BA146" s="22"/>
      <c r="BB146" s="22"/>
    </row>
    <row r="147" spans="1:54" x14ac:dyDescent="0.25">
      <c r="A147" s="8" t="s">
        <v>125</v>
      </c>
      <c r="B147" s="8"/>
      <c r="C147" s="26"/>
      <c r="D147" s="26"/>
      <c r="E147" s="26"/>
      <c r="F147" s="1">
        <v>5</v>
      </c>
      <c r="G147" s="57">
        <v>241.67807459054256</v>
      </c>
      <c r="H147" s="8">
        <v>121</v>
      </c>
      <c r="I147" s="3" t="s">
        <v>254</v>
      </c>
      <c r="J147" s="13">
        <f t="shared" si="29"/>
        <v>0</v>
      </c>
      <c r="K147" s="62">
        <v>612.11</v>
      </c>
      <c r="L147" s="36"/>
      <c r="M147" s="35"/>
      <c r="N147" s="63">
        <v>70</v>
      </c>
      <c r="O147" s="58">
        <f t="shared" si="30"/>
        <v>0.11435853032951593</v>
      </c>
      <c r="P147" s="58">
        <f t="shared" si="31"/>
        <v>0</v>
      </c>
      <c r="Q147" s="36">
        <f t="shared" si="32"/>
        <v>0</v>
      </c>
      <c r="R147" s="36">
        <f t="shared" si="48"/>
        <v>0</v>
      </c>
      <c r="S147" s="63">
        <v>0</v>
      </c>
      <c r="T147" s="37">
        <f t="shared" si="51"/>
        <v>21</v>
      </c>
      <c r="U147" s="9">
        <f t="shared" si="52"/>
        <v>633.11</v>
      </c>
      <c r="V147" s="62">
        <v>509401893</v>
      </c>
      <c r="W147" s="63">
        <v>4183</v>
      </c>
      <c r="X147" s="18">
        <f t="shared" si="35"/>
        <v>121779.08</v>
      </c>
      <c r="Y147" s="38">
        <f t="shared" si="36"/>
        <v>0.67303100000000005</v>
      </c>
      <c r="Z147" s="63">
        <v>105326</v>
      </c>
      <c r="AA147" s="38">
        <f t="shared" si="37"/>
        <v>0.95553299999999997</v>
      </c>
      <c r="AB147" s="38">
        <f t="shared" si="38"/>
        <v>0.24221799999999999</v>
      </c>
      <c r="AC147" s="39">
        <f t="shared" si="53"/>
        <v>0.24221799999999999</v>
      </c>
      <c r="AD147" s="39">
        <f t="shared" si="56"/>
        <v>0.24221799999999999</v>
      </c>
      <c r="AE147" s="63">
        <v>0</v>
      </c>
      <c r="AF147" s="40">
        <v>0</v>
      </c>
      <c r="AG147" s="9">
        <f t="shared" si="41"/>
        <v>0</v>
      </c>
      <c r="AH147" s="11">
        <f t="shared" si="42"/>
        <v>0</v>
      </c>
      <c r="AI147" s="11">
        <f t="shared" si="43"/>
        <v>1767366</v>
      </c>
      <c r="AJ147" s="11">
        <f t="shared" si="44"/>
        <v>1767366</v>
      </c>
      <c r="AK147" s="36">
        <v>3049314</v>
      </c>
      <c r="AL147" s="36">
        <f t="shared" si="49"/>
        <v>-1281948</v>
      </c>
      <c r="AM147" s="59">
        <f t="shared" si="54"/>
        <v>1767366</v>
      </c>
      <c r="AN147" s="59">
        <f t="shared" si="46"/>
        <v>-1281948</v>
      </c>
      <c r="AO147" s="60">
        <f t="shared" si="47"/>
        <v>2728827</v>
      </c>
      <c r="AP147" s="36"/>
      <c r="AQ147" s="22"/>
      <c r="AS147" s="22"/>
      <c r="AT147" s="22"/>
      <c r="AX147" s="22"/>
      <c r="AY147" s="22"/>
      <c r="AZ147" s="22"/>
      <c r="BA147" s="22"/>
      <c r="BB147" s="22"/>
    </row>
    <row r="148" spans="1:54" x14ac:dyDescent="0.25">
      <c r="A148" s="8" t="s">
        <v>129</v>
      </c>
      <c r="B148" s="8"/>
      <c r="C148" s="26"/>
      <c r="D148" s="26"/>
      <c r="E148" s="26"/>
      <c r="F148" s="1">
        <v>1</v>
      </c>
      <c r="G148" s="57">
        <v>129.0615270536816</v>
      </c>
      <c r="H148" s="8">
        <v>122</v>
      </c>
      <c r="I148" s="3" t="s">
        <v>255</v>
      </c>
      <c r="J148" s="13">
        <f t="shared" si="29"/>
        <v>0</v>
      </c>
      <c r="K148" s="62">
        <v>352.58</v>
      </c>
      <c r="L148" s="36"/>
      <c r="M148" s="35"/>
      <c r="N148" s="63">
        <v>58</v>
      </c>
      <c r="O148" s="58">
        <f t="shared" si="30"/>
        <v>0.16450167337909127</v>
      </c>
      <c r="P148" s="58">
        <f t="shared" si="31"/>
        <v>0</v>
      </c>
      <c r="Q148" s="36">
        <f t="shared" si="32"/>
        <v>0</v>
      </c>
      <c r="R148" s="36">
        <f t="shared" si="48"/>
        <v>0</v>
      </c>
      <c r="S148" s="63">
        <v>17</v>
      </c>
      <c r="T148" s="37">
        <f t="shared" si="51"/>
        <v>17.399999999999999</v>
      </c>
      <c r="U148" s="9">
        <f t="shared" si="52"/>
        <v>372.53</v>
      </c>
      <c r="V148" s="62">
        <v>1676589810</v>
      </c>
      <c r="W148" s="63">
        <v>3638</v>
      </c>
      <c r="X148" s="18">
        <f t="shared" si="35"/>
        <v>460854.81</v>
      </c>
      <c r="Y148" s="38">
        <f t="shared" si="36"/>
        <v>2.5469849999999998</v>
      </c>
      <c r="Z148" s="63">
        <v>82794</v>
      </c>
      <c r="AA148" s="38">
        <f t="shared" si="37"/>
        <v>0.75111899999999998</v>
      </c>
      <c r="AB148" s="38">
        <f t="shared" si="38"/>
        <v>-1.0082249999999999</v>
      </c>
      <c r="AC148" s="39">
        <f t="shared" si="53"/>
        <v>0.01</v>
      </c>
      <c r="AD148" s="39">
        <f t="shared" si="56"/>
        <v>0.01</v>
      </c>
      <c r="AE148" s="63">
        <v>69</v>
      </c>
      <c r="AF148" s="40">
        <v>4</v>
      </c>
      <c r="AG148" s="9">
        <f t="shared" si="41"/>
        <v>30.77</v>
      </c>
      <c r="AH148" s="11">
        <f t="shared" si="42"/>
        <v>2123</v>
      </c>
      <c r="AI148" s="11">
        <f t="shared" si="43"/>
        <v>42934</v>
      </c>
      <c r="AJ148" s="11">
        <f t="shared" si="44"/>
        <v>45057</v>
      </c>
      <c r="AK148" s="36">
        <v>10871</v>
      </c>
      <c r="AL148" s="36">
        <f t="shared" si="49"/>
        <v>34186</v>
      </c>
      <c r="AM148" s="59">
        <f t="shared" si="54"/>
        <v>45057</v>
      </c>
      <c r="AN148" s="59">
        <f t="shared" si="46"/>
        <v>34186</v>
      </c>
      <c r="AO148" s="60">
        <f t="shared" si="47"/>
        <v>12272.626</v>
      </c>
      <c r="AP148" s="36"/>
      <c r="AQ148" s="22"/>
      <c r="AS148" s="22"/>
      <c r="AT148" s="22"/>
      <c r="AX148" s="22"/>
      <c r="AY148" s="22"/>
      <c r="AZ148" s="22"/>
      <c r="BA148" s="22"/>
      <c r="BB148" s="22"/>
    </row>
    <row r="149" spans="1:54" x14ac:dyDescent="0.25">
      <c r="A149" s="8" t="s">
        <v>129</v>
      </c>
      <c r="B149" s="8"/>
      <c r="C149" s="26"/>
      <c r="D149" s="26"/>
      <c r="E149" s="26"/>
      <c r="F149" s="1">
        <v>8</v>
      </c>
      <c r="G149" s="61">
        <v>267.47072589801644</v>
      </c>
      <c r="H149" s="8">
        <v>123</v>
      </c>
      <c r="I149" s="3" t="s">
        <v>256</v>
      </c>
      <c r="J149" s="13">
        <f t="shared" si="29"/>
        <v>0</v>
      </c>
      <c r="K149" s="62">
        <v>204.97</v>
      </c>
      <c r="L149" s="36"/>
      <c r="M149" s="35"/>
      <c r="N149" s="63">
        <v>56</v>
      </c>
      <c r="O149" s="58">
        <f t="shared" si="30"/>
        <v>0.27321071376298972</v>
      </c>
      <c r="P149" s="58">
        <f t="shared" si="31"/>
        <v>0</v>
      </c>
      <c r="Q149" s="36">
        <f t="shared" si="32"/>
        <v>0</v>
      </c>
      <c r="R149" s="36">
        <f t="shared" si="48"/>
        <v>0</v>
      </c>
      <c r="S149" s="63">
        <v>0</v>
      </c>
      <c r="T149" s="37">
        <f t="shared" si="51"/>
        <v>16.8</v>
      </c>
      <c r="U149" s="9">
        <f t="shared" si="52"/>
        <v>221.77</v>
      </c>
      <c r="V149" s="62">
        <v>155533768</v>
      </c>
      <c r="W149" s="63">
        <v>1686</v>
      </c>
      <c r="X149" s="18">
        <f t="shared" si="35"/>
        <v>92250.16</v>
      </c>
      <c r="Y149" s="38">
        <f t="shared" si="36"/>
        <v>0.50983500000000004</v>
      </c>
      <c r="Z149" s="63">
        <v>79896</v>
      </c>
      <c r="AA149" s="38">
        <f t="shared" si="37"/>
        <v>0.72482800000000003</v>
      </c>
      <c r="AB149" s="38">
        <f t="shared" si="38"/>
        <v>0.42566700000000002</v>
      </c>
      <c r="AC149" s="39">
        <f t="shared" si="53"/>
        <v>0.42566700000000002</v>
      </c>
      <c r="AD149" s="39">
        <f t="shared" si="56"/>
        <v>0.42566700000000002</v>
      </c>
      <c r="AE149" s="63">
        <v>96</v>
      </c>
      <c r="AF149" s="40">
        <v>6</v>
      </c>
      <c r="AG149" s="9">
        <f t="shared" si="41"/>
        <v>46.15</v>
      </c>
      <c r="AH149" s="11">
        <f t="shared" si="42"/>
        <v>4430</v>
      </c>
      <c r="AI149" s="11">
        <f t="shared" si="43"/>
        <v>1087962</v>
      </c>
      <c r="AJ149" s="11">
        <f t="shared" si="44"/>
        <v>1092392</v>
      </c>
      <c r="AK149" s="36">
        <v>1423001</v>
      </c>
      <c r="AL149" s="36">
        <f t="shared" si="49"/>
        <v>-330609</v>
      </c>
      <c r="AM149" s="59">
        <f t="shared" si="54"/>
        <v>1092392</v>
      </c>
      <c r="AN149" s="59">
        <f t="shared" si="46"/>
        <v>-330609</v>
      </c>
      <c r="AO149" s="60">
        <f t="shared" si="47"/>
        <v>1340348.75</v>
      </c>
      <c r="AP149" s="36"/>
      <c r="AQ149" s="22"/>
      <c r="AS149" s="22"/>
      <c r="AT149" s="22"/>
      <c r="AX149" s="22"/>
      <c r="AY149" s="22"/>
      <c r="AZ149" s="22"/>
      <c r="BA149" s="22"/>
      <c r="BB149" s="22"/>
    </row>
    <row r="150" spans="1:54" x14ac:dyDescent="0.25">
      <c r="A150" s="8" t="s">
        <v>153</v>
      </c>
      <c r="B150" s="8"/>
      <c r="C150" s="26"/>
      <c r="D150" s="26"/>
      <c r="E150" s="26"/>
      <c r="F150" s="1">
        <v>8</v>
      </c>
      <c r="G150" s="61">
        <v>272.26198821762478</v>
      </c>
      <c r="H150" s="8">
        <v>124</v>
      </c>
      <c r="I150" s="3" t="s">
        <v>257</v>
      </c>
      <c r="J150" s="13">
        <f t="shared" si="29"/>
        <v>0</v>
      </c>
      <c r="K150" s="62">
        <v>2276.46</v>
      </c>
      <c r="L150" s="36"/>
      <c r="M150" s="35"/>
      <c r="N150" s="63">
        <v>661</v>
      </c>
      <c r="O150" s="58">
        <f t="shared" si="30"/>
        <v>0.29036310763202516</v>
      </c>
      <c r="P150" s="58">
        <f t="shared" si="31"/>
        <v>0</v>
      </c>
      <c r="Q150" s="36">
        <f t="shared" si="32"/>
        <v>0</v>
      </c>
      <c r="R150" s="36">
        <f t="shared" si="48"/>
        <v>0</v>
      </c>
      <c r="S150" s="63">
        <v>63</v>
      </c>
      <c r="T150" s="37">
        <f t="shared" si="51"/>
        <v>198.3</v>
      </c>
      <c r="U150" s="9">
        <f t="shared" si="52"/>
        <v>2484.21</v>
      </c>
      <c r="V150" s="62">
        <v>1706012872.6700001</v>
      </c>
      <c r="W150" s="63">
        <v>16475</v>
      </c>
      <c r="X150" s="18">
        <f t="shared" si="35"/>
        <v>103551.62</v>
      </c>
      <c r="Y150" s="38">
        <f t="shared" si="36"/>
        <v>0.57229399999999997</v>
      </c>
      <c r="Z150" s="63">
        <v>76991</v>
      </c>
      <c r="AA150" s="38">
        <f t="shared" si="37"/>
        <v>0.69847400000000004</v>
      </c>
      <c r="AB150" s="38">
        <f t="shared" si="38"/>
        <v>0.38985199999999998</v>
      </c>
      <c r="AC150" s="39">
        <f t="shared" si="53"/>
        <v>0.38985199999999998</v>
      </c>
      <c r="AD150" s="39">
        <f t="shared" si="56"/>
        <v>0.38985199999999998</v>
      </c>
      <c r="AE150" s="63">
        <v>0</v>
      </c>
      <c r="AF150" s="40">
        <v>0</v>
      </c>
      <c r="AG150" s="9">
        <f t="shared" si="41"/>
        <v>0</v>
      </c>
      <c r="AH150" s="11">
        <f t="shared" si="42"/>
        <v>0</v>
      </c>
      <c r="AI150" s="11">
        <f t="shared" si="43"/>
        <v>11161666</v>
      </c>
      <c r="AJ150" s="11">
        <f t="shared" si="44"/>
        <v>11161666</v>
      </c>
      <c r="AK150" s="36">
        <v>10040987</v>
      </c>
      <c r="AL150" s="36">
        <f t="shared" si="49"/>
        <v>1120679</v>
      </c>
      <c r="AM150" s="59">
        <f t="shared" si="54"/>
        <v>11161666</v>
      </c>
      <c r="AN150" s="59">
        <f t="shared" si="46"/>
        <v>1120679</v>
      </c>
      <c r="AO150" s="60">
        <f t="shared" si="47"/>
        <v>10086934.839</v>
      </c>
      <c r="AP150" s="36"/>
      <c r="AQ150" s="22"/>
      <c r="AS150" s="22"/>
      <c r="AT150" s="22"/>
      <c r="AX150" s="22"/>
      <c r="AY150" s="22"/>
      <c r="AZ150" s="22"/>
      <c r="BA150" s="22"/>
      <c r="BB150" s="22"/>
    </row>
    <row r="151" spans="1:54" x14ac:dyDescent="0.25">
      <c r="A151" s="8" t="s">
        <v>129</v>
      </c>
      <c r="B151" s="8"/>
      <c r="C151" s="26"/>
      <c r="D151" s="26"/>
      <c r="E151" s="26"/>
      <c r="F151" s="1">
        <v>1</v>
      </c>
      <c r="G151" s="57">
        <v>140.98939719058859</v>
      </c>
      <c r="H151" s="8">
        <v>125</v>
      </c>
      <c r="I151" s="3" t="s">
        <v>258</v>
      </c>
      <c r="J151" s="13">
        <f t="shared" si="29"/>
        <v>0</v>
      </c>
      <c r="K151" s="62">
        <v>197</v>
      </c>
      <c r="L151" s="36"/>
      <c r="M151" s="35"/>
      <c r="N151" s="63">
        <v>57</v>
      </c>
      <c r="O151" s="58">
        <f t="shared" si="30"/>
        <v>0.28934010152284262</v>
      </c>
      <c r="P151" s="58">
        <f t="shared" si="31"/>
        <v>0</v>
      </c>
      <c r="Q151" s="36">
        <f t="shared" si="32"/>
        <v>0</v>
      </c>
      <c r="R151" s="36">
        <f t="shared" si="48"/>
        <v>0</v>
      </c>
      <c r="S151" s="63">
        <v>1</v>
      </c>
      <c r="T151" s="37">
        <f t="shared" si="51"/>
        <v>17.100000000000001</v>
      </c>
      <c r="U151" s="9">
        <f t="shared" si="52"/>
        <v>214.25</v>
      </c>
      <c r="V151" s="62">
        <v>999453268</v>
      </c>
      <c r="W151" s="63">
        <v>2706</v>
      </c>
      <c r="X151" s="18">
        <f t="shared" si="35"/>
        <v>369347.11</v>
      </c>
      <c r="Y151" s="38">
        <f t="shared" si="36"/>
        <v>2.0412539999999999</v>
      </c>
      <c r="Z151" s="63">
        <v>74625</v>
      </c>
      <c r="AA151" s="38">
        <f t="shared" si="37"/>
        <v>0.67700899999999997</v>
      </c>
      <c r="AB151" s="38">
        <f t="shared" si="38"/>
        <v>-0.63198100000000001</v>
      </c>
      <c r="AC151" s="39">
        <f t="shared" si="53"/>
        <v>0.01</v>
      </c>
      <c r="AD151" s="39">
        <f t="shared" si="56"/>
        <v>0.01</v>
      </c>
      <c r="AE151" s="63">
        <v>63</v>
      </c>
      <c r="AF151" s="40">
        <v>4</v>
      </c>
      <c r="AG151" s="9">
        <f t="shared" si="41"/>
        <v>30.77</v>
      </c>
      <c r="AH151" s="11">
        <f t="shared" si="42"/>
        <v>1939</v>
      </c>
      <c r="AI151" s="11">
        <f t="shared" si="43"/>
        <v>24692</v>
      </c>
      <c r="AJ151" s="11">
        <f t="shared" si="44"/>
        <v>26631</v>
      </c>
      <c r="AK151" s="36">
        <v>9960</v>
      </c>
      <c r="AL151" s="36">
        <f t="shared" si="49"/>
        <v>16671</v>
      </c>
      <c r="AM151" s="59">
        <f t="shared" si="54"/>
        <v>26631</v>
      </c>
      <c r="AN151" s="59">
        <f t="shared" si="46"/>
        <v>16671</v>
      </c>
      <c r="AO151" s="60">
        <f t="shared" si="47"/>
        <v>10643.511</v>
      </c>
      <c r="AP151" s="36"/>
      <c r="AQ151" s="22"/>
      <c r="AS151" s="22"/>
      <c r="AT151" s="22"/>
      <c r="AX151" s="22"/>
      <c r="AY151" s="22"/>
      <c r="AZ151" s="22"/>
      <c r="BA151" s="22"/>
      <c r="BB151" s="22"/>
    </row>
    <row r="152" spans="1:54" x14ac:dyDescent="0.25">
      <c r="A152" s="8" t="s">
        <v>135</v>
      </c>
      <c r="B152" s="8"/>
      <c r="C152" s="26"/>
      <c r="D152" s="26"/>
      <c r="E152" s="26"/>
      <c r="F152" s="1">
        <v>4</v>
      </c>
      <c r="G152" s="57">
        <v>220.58054534883843</v>
      </c>
      <c r="H152" s="8">
        <v>126</v>
      </c>
      <c r="I152" s="3" t="s">
        <v>259</v>
      </c>
      <c r="J152" s="13">
        <f t="shared" si="29"/>
        <v>0</v>
      </c>
      <c r="K152" s="62">
        <v>4940.4799999999996</v>
      </c>
      <c r="L152" s="36"/>
      <c r="M152" s="35"/>
      <c r="N152" s="63">
        <v>1081</v>
      </c>
      <c r="O152" s="58">
        <f t="shared" si="30"/>
        <v>0.21880465056026946</v>
      </c>
      <c r="P152" s="58">
        <f t="shared" si="31"/>
        <v>0</v>
      </c>
      <c r="Q152" s="36">
        <f t="shared" si="32"/>
        <v>0</v>
      </c>
      <c r="R152" s="36">
        <f t="shared" si="48"/>
        <v>0</v>
      </c>
      <c r="S152" s="63">
        <v>224</v>
      </c>
      <c r="T152" s="37">
        <f t="shared" si="51"/>
        <v>324.3</v>
      </c>
      <c r="U152" s="9">
        <f t="shared" si="52"/>
        <v>5298.38</v>
      </c>
      <c r="V152" s="62">
        <v>6721589193</v>
      </c>
      <c r="W152" s="63">
        <v>41296</v>
      </c>
      <c r="X152" s="18">
        <f t="shared" si="35"/>
        <v>162766.10999999999</v>
      </c>
      <c r="Y152" s="38">
        <f t="shared" si="36"/>
        <v>0.89955200000000002</v>
      </c>
      <c r="Z152" s="63">
        <v>86870</v>
      </c>
      <c r="AA152" s="38">
        <f t="shared" si="37"/>
        <v>0.78809700000000005</v>
      </c>
      <c r="AB152" s="38">
        <f t="shared" si="38"/>
        <v>0.133885</v>
      </c>
      <c r="AC152" s="39">
        <f t="shared" si="53"/>
        <v>0.133885</v>
      </c>
      <c r="AD152" s="39">
        <f t="shared" si="56"/>
        <v>0.133885</v>
      </c>
      <c r="AE152" s="63">
        <v>0</v>
      </c>
      <c r="AF152" s="40">
        <v>0</v>
      </c>
      <c r="AG152" s="9">
        <f t="shared" si="41"/>
        <v>0</v>
      </c>
      <c r="AH152" s="11">
        <f t="shared" si="42"/>
        <v>0</v>
      </c>
      <c r="AI152" s="11">
        <f t="shared" si="43"/>
        <v>8175531</v>
      </c>
      <c r="AJ152" s="11">
        <f t="shared" si="44"/>
        <v>8175531</v>
      </c>
      <c r="AK152" s="36">
        <v>5893771</v>
      </c>
      <c r="AL152" s="36">
        <f t="shared" si="49"/>
        <v>2281760</v>
      </c>
      <c r="AM152" s="59">
        <f t="shared" si="54"/>
        <v>8175531</v>
      </c>
      <c r="AN152" s="59">
        <f t="shared" si="46"/>
        <v>2281760</v>
      </c>
      <c r="AO152" s="60">
        <f t="shared" si="47"/>
        <v>5987323.1600000001</v>
      </c>
      <c r="AP152" s="36"/>
      <c r="AQ152" s="22"/>
      <c r="AS152" s="22"/>
      <c r="AT152" s="22"/>
      <c r="AX152" s="22"/>
      <c r="AY152" s="22"/>
      <c r="AZ152" s="22"/>
      <c r="BA152" s="22"/>
      <c r="BB152" s="22"/>
    </row>
    <row r="153" spans="1:54" x14ac:dyDescent="0.25">
      <c r="A153" s="8" t="s">
        <v>125</v>
      </c>
      <c r="B153" s="8"/>
      <c r="C153" s="26"/>
      <c r="D153" s="26"/>
      <c r="E153" s="26"/>
      <c r="F153" s="1">
        <v>2</v>
      </c>
      <c r="G153" s="57">
        <v>158.97830407235233</v>
      </c>
      <c r="H153" s="8">
        <v>127</v>
      </c>
      <c r="I153" s="3" t="s">
        <v>260</v>
      </c>
      <c r="J153" s="13">
        <f t="shared" si="29"/>
        <v>0</v>
      </c>
      <c r="K153" s="62">
        <v>441.49</v>
      </c>
      <c r="L153" s="36"/>
      <c r="M153" s="35"/>
      <c r="N153" s="63">
        <v>36</v>
      </c>
      <c r="O153" s="58">
        <f t="shared" si="30"/>
        <v>8.1542050782577175E-2</v>
      </c>
      <c r="P153" s="58">
        <f t="shared" si="31"/>
        <v>0</v>
      </c>
      <c r="Q153" s="36">
        <f t="shared" si="32"/>
        <v>0</v>
      </c>
      <c r="R153" s="36">
        <f t="shared" si="48"/>
        <v>0</v>
      </c>
      <c r="S153" s="63">
        <v>4</v>
      </c>
      <c r="T153" s="37">
        <f t="shared" si="51"/>
        <v>10.8</v>
      </c>
      <c r="U153" s="9">
        <f t="shared" si="52"/>
        <v>452.89000000000004</v>
      </c>
      <c r="V153" s="62">
        <v>985733346</v>
      </c>
      <c r="W153" s="63">
        <v>3668</v>
      </c>
      <c r="X153" s="18">
        <f t="shared" si="35"/>
        <v>268738.64</v>
      </c>
      <c r="Y153" s="38">
        <f t="shared" si="36"/>
        <v>1.4852259999999999</v>
      </c>
      <c r="Z153" s="63">
        <v>108398</v>
      </c>
      <c r="AA153" s="38">
        <f t="shared" si="37"/>
        <v>0.98340300000000003</v>
      </c>
      <c r="AB153" s="38">
        <f t="shared" si="38"/>
        <v>-0.334679</v>
      </c>
      <c r="AC153" s="39">
        <f t="shared" si="53"/>
        <v>0.01</v>
      </c>
      <c r="AD153" s="39">
        <f t="shared" si="56"/>
        <v>0.01</v>
      </c>
      <c r="AE153" s="63">
        <v>0</v>
      </c>
      <c r="AF153" s="40">
        <v>0</v>
      </c>
      <c r="AG153" s="9">
        <f t="shared" si="41"/>
        <v>0</v>
      </c>
      <c r="AH153" s="11">
        <f t="shared" si="42"/>
        <v>0</v>
      </c>
      <c r="AI153" s="11">
        <f t="shared" si="43"/>
        <v>52196</v>
      </c>
      <c r="AJ153" s="11">
        <f t="shared" si="44"/>
        <v>52196</v>
      </c>
      <c r="AK153" s="36">
        <v>46611</v>
      </c>
      <c r="AL153" s="36">
        <f t="shared" si="49"/>
        <v>5585</v>
      </c>
      <c r="AM153" s="59">
        <f t="shared" si="54"/>
        <v>52196</v>
      </c>
      <c r="AN153" s="59">
        <f t="shared" si="46"/>
        <v>5585</v>
      </c>
      <c r="AO153" s="60">
        <f t="shared" si="47"/>
        <v>46839.985000000001</v>
      </c>
      <c r="AP153" s="36"/>
      <c r="AQ153" s="22"/>
      <c r="AS153" s="22"/>
      <c r="AT153" s="22"/>
      <c r="AX153" s="22"/>
      <c r="AY153" s="22"/>
      <c r="AZ153" s="22"/>
      <c r="BA153" s="22"/>
      <c r="BB153" s="22"/>
    </row>
    <row r="154" spans="1:54" x14ac:dyDescent="0.25">
      <c r="A154" s="8" t="s">
        <v>131</v>
      </c>
      <c r="B154" s="8"/>
      <c r="C154" s="26"/>
      <c r="D154" s="26"/>
      <c r="E154" s="26"/>
      <c r="F154" s="1">
        <v>3</v>
      </c>
      <c r="G154" s="57">
        <v>206.78128828824597</v>
      </c>
      <c r="H154" s="8">
        <v>128</v>
      </c>
      <c r="I154" s="3" t="s">
        <v>261</v>
      </c>
      <c r="J154" s="13">
        <f t="shared" si="29"/>
        <v>0</v>
      </c>
      <c r="K154" s="62">
        <v>4114.7700000000004</v>
      </c>
      <c r="L154" s="36"/>
      <c r="M154" s="35"/>
      <c r="N154" s="63">
        <v>293</v>
      </c>
      <c r="O154" s="58">
        <f t="shared" si="30"/>
        <v>7.1206896132712152E-2</v>
      </c>
      <c r="P154" s="58">
        <f t="shared" si="31"/>
        <v>0</v>
      </c>
      <c r="Q154" s="36">
        <f t="shared" si="32"/>
        <v>0</v>
      </c>
      <c r="R154" s="36">
        <f t="shared" si="48"/>
        <v>0</v>
      </c>
      <c r="S154" s="63">
        <v>62</v>
      </c>
      <c r="T154" s="37">
        <f t="shared" si="51"/>
        <v>87.9</v>
      </c>
      <c r="U154" s="9">
        <f t="shared" si="52"/>
        <v>4211.97</v>
      </c>
      <c r="V154" s="62">
        <v>3587735123.3299999</v>
      </c>
      <c r="W154" s="63">
        <v>24348</v>
      </c>
      <c r="X154" s="18">
        <f t="shared" si="35"/>
        <v>147352.35</v>
      </c>
      <c r="Y154" s="38">
        <f t="shared" si="36"/>
        <v>0.81436600000000003</v>
      </c>
      <c r="Z154" s="63">
        <v>113355</v>
      </c>
      <c r="AA154" s="38">
        <f t="shared" si="37"/>
        <v>1.028373</v>
      </c>
      <c r="AB154" s="38">
        <f t="shared" si="38"/>
        <v>0.121432</v>
      </c>
      <c r="AC154" s="39">
        <f t="shared" si="53"/>
        <v>0.121432</v>
      </c>
      <c r="AD154" s="39">
        <f t="shared" si="56"/>
        <v>0.121432</v>
      </c>
      <c r="AE154" s="63">
        <v>0</v>
      </c>
      <c r="AF154" s="40">
        <v>0</v>
      </c>
      <c r="AG154" s="9">
        <f t="shared" si="41"/>
        <v>0</v>
      </c>
      <c r="AH154" s="11">
        <f t="shared" si="42"/>
        <v>0</v>
      </c>
      <c r="AI154" s="11">
        <f t="shared" si="43"/>
        <v>5894668</v>
      </c>
      <c r="AJ154" s="11">
        <f t="shared" si="44"/>
        <v>5894668</v>
      </c>
      <c r="AK154" s="36">
        <v>6087799</v>
      </c>
      <c r="AL154" s="36">
        <f t="shared" si="49"/>
        <v>-193131</v>
      </c>
      <c r="AM154" s="59">
        <f t="shared" si="54"/>
        <v>5894668</v>
      </c>
      <c r="AN154" s="59">
        <f t="shared" si="46"/>
        <v>-193131</v>
      </c>
      <c r="AO154" s="60">
        <f t="shared" si="47"/>
        <v>6039516.25</v>
      </c>
      <c r="AP154" s="36"/>
      <c r="AQ154" s="22"/>
      <c r="AS154" s="22"/>
      <c r="AT154" s="22"/>
      <c r="AX154" s="22"/>
      <c r="AY154" s="22"/>
      <c r="AZ154" s="22"/>
      <c r="BA154" s="22"/>
      <c r="BB154" s="22"/>
    </row>
    <row r="155" spans="1:54" x14ac:dyDescent="0.25">
      <c r="A155" s="8" t="s">
        <v>125</v>
      </c>
      <c r="B155" s="8"/>
      <c r="C155" s="26"/>
      <c r="D155" s="26"/>
      <c r="E155" s="26"/>
      <c r="F155" s="1">
        <v>6</v>
      </c>
      <c r="G155" s="57">
        <v>230.24780279240755</v>
      </c>
      <c r="H155" s="8">
        <v>129</v>
      </c>
      <c r="I155" s="3" t="s">
        <v>262</v>
      </c>
      <c r="J155" s="13">
        <f t="shared" ref="J155:J195" si="57">AT155</f>
        <v>0</v>
      </c>
      <c r="K155" s="62">
        <v>1439.85</v>
      </c>
      <c r="L155" s="36"/>
      <c r="M155" s="35"/>
      <c r="N155" s="63">
        <v>115</v>
      </c>
      <c r="O155" s="58">
        <f t="shared" ref="O155:O195" si="58">N155/K155</f>
        <v>7.9869430843490644E-2</v>
      </c>
      <c r="P155" s="58">
        <f t="shared" ref="P155:P195" si="59">IF(O155&gt;0.75,+O155-0.75,0)</f>
        <v>0</v>
      </c>
      <c r="Q155" s="36">
        <f t="shared" ref="Q155:Q195" si="60">P155*K155</f>
        <v>0</v>
      </c>
      <c r="R155" s="36">
        <f t="shared" si="48"/>
        <v>0</v>
      </c>
      <c r="S155" s="63">
        <v>3</v>
      </c>
      <c r="T155" s="37">
        <f t="shared" ref="T155:T186" si="61">ROUND(N155*$T$2,2)</f>
        <v>34.5</v>
      </c>
      <c r="U155" s="9">
        <f t="shared" ref="U155:U186" si="62">K155+T155+0.15*S155+0.05*Q155</f>
        <v>1474.8</v>
      </c>
      <c r="V155" s="62">
        <v>1217735001.3299999</v>
      </c>
      <c r="W155" s="63">
        <v>11432</v>
      </c>
      <c r="X155" s="18">
        <f t="shared" ref="X155:X195" si="63">ROUND(V155/W155,2)</f>
        <v>106519.86</v>
      </c>
      <c r="Y155" s="38">
        <f t="shared" ref="Y155:Y195" si="64">(ROUND(X155/$Y$21,6))</f>
        <v>0.58869800000000005</v>
      </c>
      <c r="Z155" s="63">
        <v>95605</v>
      </c>
      <c r="AA155" s="38">
        <f t="shared" ref="AA155:AA195" si="65">(ROUND(Z155/$AA$21,6))</f>
        <v>0.86734299999999998</v>
      </c>
      <c r="AB155" s="38">
        <f t="shared" ref="AB155:AB195" si="66">ROUND(1-((Y155*$T$4)+(AA155*$T$5)),6)</f>
        <v>0.32770899999999997</v>
      </c>
      <c r="AC155" s="39">
        <f t="shared" ref="AC155:AC186" si="67">IF(C155=1,MAX($T$7,AB155),MAX($T$6,AB155))</f>
        <v>0.32770899999999997</v>
      </c>
      <c r="AD155" s="39">
        <f t="shared" si="56"/>
        <v>0.32770899999999997</v>
      </c>
      <c r="AE155" s="63">
        <v>0</v>
      </c>
      <c r="AF155" s="40">
        <v>0</v>
      </c>
      <c r="AG155" s="9">
        <f t="shared" ref="AG155:AG195" si="68">ROUND((AF155/13)*100,2)</f>
        <v>0</v>
      </c>
      <c r="AH155" s="11">
        <f t="shared" ref="AH155:AH195" si="69">ROUND(AE155*AG155,0)</f>
        <v>0</v>
      </c>
      <c r="AI155" s="11">
        <f t="shared" ref="AI155:AI195" si="70">ROUND(U155*AD155*$AI$21,0)</f>
        <v>5570093</v>
      </c>
      <c r="AJ155" s="11">
        <f t="shared" ref="AJ155:AJ195" si="71">IF(AI155=0, 0,AH155+AI155)</f>
        <v>5570093</v>
      </c>
      <c r="AK155" s="36">
        <v>5929453</v>
      </c>
      <c r="AL155" s="36">
        <f t="shared" si="49"/>
        <v>-359360</v>
      </c>
      <c r="AM155" s="59">
        <f t="shared" ref="AM155:AM186" si="72">IF(AND(C155=1,AK155&gt;AJ155),AK155,AJ155)</f>
        <v>5570093</v>
      </c>
      <c r="AN155" s="59">
        <f t="shared" ref="AN155:AN195" si="73">AM155-AK155</f>
        <v>-359360</v>
      </c>
      <c r="AO155" s="60">
        <f t="shared" ref="AO155:AO195" si="74">IF(AN155&gt;0,($AO$21*AN155)+AK155,($AO$24*AN155)+AK155)</f>
        <v>5839613</v>
      </c>
      <c r="AP155" s="36"/>
      <c r="AQ155" s="22"/>
      <c r="AS155" s="22"/>
      <c r="AT155" s="22"/>
      <c r="AX155" s="22"/>
      <c r="AY155" s="22"/>
      <c r="AZ155" s="22"/>
      <c r="BA155" s="22"/>
      <c r="BB155" s="22"/>
    </row>
    <row r="156" spans="1:54" x14ac:dyDescent="0.25">
      <c r="A156" s="8" t="s">
        <v>131</v>
      </c>
      <c r="B156" s="8"/>
      <c r="C156" s="26"/>
      <c r="D156" s="26"/>
      <c r="E156" s="26"/>
      <c r="F156" s="1">
        <v>5</v>
      </c>
      <c r="G156" s="57">
        <v>222.18954250479533</v>
      </c>
      <c r="H156" s="8">
        <v>130</v>
      </c>
      <c r="I156" s="3" t="s">
        <v>263</v>
      </c>
      <c r="J156" s="13">
        <f t="shared" si="57"/>
        <v>0</v>
      </c>
      <c r="K156" s="62">
        <v>2452.21</v>
      </c>
      <c r="L156" s="36"/>
      <c r="M156" s="35"/>
      <c r="N156" s="63">
        <v>129</v>
      </c>
      <c r="O156" s="58">
        <f t="shared" si="58"/>
        <v>5.2605608818168101E-2</v>
      </c>
      <c r="P156" s="58">
        <f t="shared" si="59"/>
        <v>0</v>
      </c>
      <c r="Q156" s="36">
        <f t="shared" si="60"/>
        <v>0</v>
      </c>
      <c r="R156" s="36">
        <f t="shared" ref="R156:R195" si="75">Q156*0.05</f>
        <v>0</v>
      </c>
      <c r="S156" s="63">
        <v>26</v>
      </c>
      <c r="T156" s="37">
        <f t="shared" si="61"/>
        <v>38.700000000000003</v>
      </c>
      <c r="U156" s="9">
        <f t="shared" si="62"/>
        <v>2494.81</v>
      </c>
      <c r="V156" s="62">
        <v>3167610620.3299999</v>
      </c>
      <c r="W156" s="63">
        <v>19675</v>
      </c>
      <c r="X156" s="18">
        <f t="shared" si="63"/>
        <v>160996.73000000001</v>
      </c>
      <c r="Y156" s="38">
        <f t="shared" si="64"/>
        <v>0.88977300000000004</v>
      </c>
      <c r="Z156" s="63">
        <v>84058</v>
      </c>
      <c r="AA156" s="38">
        <f t="shared" si="65"/>
        <v>0.76258599999999999</v>
      </c>
      <c r="AB156" s="38">
        <f t="shared" si="66"/>
        <v>0.14838299999999999</v>
      </c>
      <c r="AC156" s="39">
        <f t="shared" si="67"/>
        <v>0.14838299999999999</v>
      </c>
      <c r="AD156" s="39">
        <f t="shared" si="56"/>
        <v>0.14838299999999999</v>
      </c>
      <c r="AE156" s="63">
        <v>2454</v>
      </c>
      <c r="AF156" s="40">
        <v>13</v>
      </c>
      <c r="AG156" s="9">
        <f t="shared" si="68"/>
        <v>100</v>
      </c>
      <c r="AH156" s="11">
        <f t="shared" si="69"/>
        <v>245400</v>
      </c>
      <c r="AI156" s="11">
        <f t="shared" si="70"/>
        <v>4266410</v>
      </c>
      <c r="AJ156" s="11">
        <f t="shared" si="71"/>
        <v>4511810</v>
      </c>
      <c r="AK156" s="36">
        <v>3458266</v>
      </c>
      <c r="AL156" s="36">
        <f t="shared" si="49"/>
        <v>1053544</v>
      </c>
      <c r="AM156" s="59">
        <f t="shared" si="72"/>
        <v>4511810</v>
      </c>
      <c r="AN156" s="59">
        <f t="shared" si="73"/>
        <v>1053544</v>
      </c>
      <c r="AO156" s="60">
        <f t="shared" si="74"/>
        <v>3501461.304</v>
      </c>
      <c r="AP156" s="36"/>
      <c r="AQ156" s="22"/>
      <c r="AS156" s="22"/>
      <c r="AT156" s="22"/>
      <c r="AX156" s="22"/>
      <c r="AY156" s="22"/>
      <c r="AZ156" s="22"/>
      <c r="BA156" s="22"/>
      <c r="BB156" s="22"/>
    </row>
    <row r="157" spans="1:54" x14ac:dyDescent="0.25">
      <c r="A157" s="8" t="s">
        <v>135</v>
      </c>
      <c r="B157" s="8"/>
      <c r="C157" s="26"/>
      <c r="D157" s="26"/>
      <c r="E157" s="26"/>
      <c r="F157" s="1">
        <v>6</v>
      </c>
      <c r="G157" s="57">
        <v>229.86539993654605</v>
      </c>
      <c r="H157" s="8">
        <v>131</v>
      </c>
      <c r="I157" s="3" t="s">
        <v>264</v>
      </c>
      <c r="J157" s="13">
        <f t="shared" si="57"/>
        <v>0</v>
      </c>
      <c r="K157" s="62">
        <v>6526.69</v>
      </c>
      <c r="L157" s="36"/>
      <c r="M157" s="35"/>
      <c r="N157" s="63">
        <v>953</v>
      </c>
      <c r="O157" s="58">
        <f t="shared" si="58"/>
        <v>0.1460158211896076</v>
      </c>
      <c r="P157" s="58">
        <f t="shared" si="59"/>
        <v>0</v>
      </c>
      <c r="Q157" s="36">
        <f t="shared" si="60"/>
        <v>0</v>
      </c>
      <c r="R157" s="36">
        <f t="shared" si="75"/>
        <v>0</v>
      </c>
      <c r="S157" s="63">
        <v>107</v>
      </c>
      <c r="T157" s="37">
        <f t="shared" si="61"/>
        <v>285.89999999999998</v>
      </c>
      <c r="U157" s="9">
        <f t="shared" si="62"/>
        <v>6828.6399999999994</v>
      </c>
      <c r="V157" s="62">
        <v>5577748346.3299999</v>
      </c>
      <c r="W157" s="63">
        <v>43817</v>
      </c>
      <c r="X157" s="18">
        <f t="shared" si="63"/>
        <v>127296.45</v>
      </c>
      <c r="Y157" s="38">
        <f t="shared" si="64"/>
        <v>0.70352400000000004</v>
      </c>
      <c r="Z157" s="63">
        <v>82704</v>
      </c>
      <c r="AA157" s="38">
        <f t="shared" si="65"/>
        <v>0.75030300000000005</v>
      </c>
      <c r="AB157" s="38">
        <f t="shared" si="66"/>
        <v>0.28244200000000003</v>
      </c>
      <c r="AC157" s="39">
        <f t="shared" si="67"/>
        <v>0.28244200000000003</v>
      </c>
      <c r="AD157" s="39">
        <f t="shared" si="56"/>
        <v>0.28244200000000003</v>
      </c>
      <c r="AE157" s="63">
        <v>0</v>
      </c>
      <c r="AF157" s="40">
        <v>0</v>
      </c>
      <c r="AG157" s="9">
        <f t="shared" si="68"/>
        <v>0</v>
      </c>
      <c r="AH157" s="11">
        <f t="shared" si="69"/>
        <v>0</v>
      </c>
      <c r="AI157" s="11">
        <f t="shared" si="70"/>
        <v>22228207</v>
      </c>
      <c r="AJ157" s="11">
        <f t="shared" si="71"/>
        <v>22228207</v>
      </c>
      <c r="AK157" s="36">
        <v>20268059</v>
      </c>
      <c r="AL157" s="36">
        <f t="shared" ref="AL157:AL195" si="76">AJ157-AK157</f>
        <v>1960148</v>
      </c>
      <c r="AM157" s="59">
        <f t="shared" si="72"/>
        <v>22228207</v>
      </c>
      <c r="AN157" s="59">
        <f t="shared" si="73"/>
        <v>1960148</v>
      </c>
      <c r="AO157" s="60">
        <f t="shared" si="74"/>
        <v>20348425.068</v>
      </c>
      <c r="AP157" s="36"/>
      <c r="AQ157" s="22"/>
      <c r="AS157" s="22"/>
      <c r="AT157" s="22"/>
      <c r="AX157" s="22"/>
      <c r="AY157" s="22"/>
      <c r="AZ157" s="22"/>
      <c r="BA157" s="22"/>
      <c r="BB157" s="22"/>
    </row>
    <row r="158" spans="1:54" x14ac:dyDescent="0.25">
      <c r="A158" s="8" t="s">
        <v>131</v>
      </c>
      <c r="B158" s="8"/>
      <c r="C158" s="26"/>
      <c r="D158" s="26"/>
      <c r="E158" s="26"/>
      <c r="F158" s="1">
        <v>5</v>
      </c>
      <c r="G158" s="57">
        <v>234.46400371758025</v>
      </c>
      <c r="H158" s="8">
        <v>132</v>
      </c>
      <c r="I158" s="3" t="s">
        <v>265</v>
      </c>
      <c r="J158" s="13">
        <f t="shared" si="57"/>
        <v>0</v>
      </c>
      <c r="K158" s="62">
        <v>4386.4799999999996</v>
      </c>
      <c r="L158" s="36"/>
      <c r="M158" s="35"/>
      <c r="N158" s="63">
        <v>472</v>
      </c>
      <c r="O158" s="58">
        <f t="shared" si="58"/>
        <v>0.10760336306104212</v>
      </c>
      <c r="P158" s="58">
        <f t="shared" si="59"/>
        <v>0</v>
      </c>
      <c r="Q158" s="36">
        <f t="shared" si="60"/>
        <v>0</v>
      </c>
      <c r="R158" s="36">
        <f t="shared" si="75"/>
        <v>0</v>
      </c>
      <c r="S158" s="63">
        <v>211</v>
      </c>
      <c r="T158" s="37">
        <f t="shared" si="61"/>
        <v>141.6</v>
      </c>
      <c r="U158" s="9">
        <f t="shared" si="62"/>
        <v>4559.7299999999996</v>
      </c>
      <c r="V158" s="62">
        <v>3703492796</v>
      </c>
      <c r="W158" s="63">
        <v>25789</v>
      </c>
      <c r="X158" s="18">
        <f t="shared" si="63"/>
        <v>143607.46</v>
      </c>
      <c r="Y158" s="38">
        <f t="shared" si="64"/>
        <v>0.79366899999999996</v>
      </c>
      <c r="Z158" s="63">
        <v>97389</v>
      </c>
      <c r="AA158" s="38">
        <f t="shared" si="65"/>
        <v>0.88352699999999995</v>
      </c>
      <c r="AB158" s="38">
        <f t="shared" si="66"/>
        <v>0.17937400000000001</v>
      </c>
      <c r="AC158" s="39">
        <f t="shared" si="67"/>
        <v>0.17937400000000001</v>
      </c>
      <c r="AD158" s="39">
        <f t="shared" si="56"/>
        <v>0.17937400000000001</v>
      </c>
      <c r="AE158" s="63">
        <v>0</v>
      </c>
      <c r="AF158" s="40">
        <v>0</v>
      </c>
      <c r="AG158" s="9">
        <f t="shared" si="68"/>
        <v>0</v>
      </c>
      <c r="AH158" s="11">
        <f t="shared" si="69"/>
        <v>0</v>
      </c>
      <c r="AI158" s="11">
        <f t="shared" si="70"/>
        <v>9426263</v>
      </c>
      <c r="AJ158" s="11">
        <f t="shared" si="71"/>
        <v>9426263</v>
      </c>
      <c r="AK158" s="36">
        <v>12826469</v>
      </c>
      <c r="AL158" s="36">
        <f t="shared" si="76"/>
        <v>-3400206</v>
      </c>
      <c r="AM158" s="59">
        <f t="shared" si="72"/>
        <v>9426263</v>
      </c>
      <c r="AN158" s="59">
        <f t="shared" si="73"/>
        <v>-3400206</v>
      </c>
      <c r="AO158" s="60">
        <f t="shared" si="74"/>
        <v>11976417.5</v>
      </c>
      <c r="AP158" s="36"/>
      <c r="AQ158" s="22"/>
      <c r="AS158" s="22"/>
      <c r="AT158" s="22"/>
      <c r="AX158" s="22"/>
      <c r="AY158" s="22"/>
      <c r="AZ158" s="22"/>
      <c r="BA158" s="22"/>
      <c r="BB158" s="22"/>
    </row>
    <row r="159" spans="1:54" x14ac:dyDescent="0.25">
      <c r="A159" s="8" t="s">
        <v>153</v>
      </c>
      <c r="B159" s="8"/>
      <c r="C159" s="26"/>
      <c r="D159" s="26"/>
      <c r="E159" s="26"/>
      <c r="F159" s="1">
        <v>9</v>
      </c>
      <c r="G159" s="61">
        <v>311.46528590230724</v>
      </c>
      <c r="H159" s="8">
        <v>133</v>
      </c>
      <c r="I159" s="3" t="s">
        <v>266</v>
      </c>
      <c r="J159" s="13">
        <f t="shared" si="57"/>
        <v>0</v>
      </c>
      <c r="K159" s="62">
        <v>460.8</v>
      </c>
      <c r="L159" s="36"/>
      <c r="M159" s="35"/>
      <c r="N159" s="63">
        <v>220</v>
      </c>
      <c r="O159" s="58">
        <f t="shared" si="58"/>
        <v>0.47743055555555552</v>
      </c>
      <c r="P159" s="58">
        <f t="shared" si="59"/>
        <v>0</v>
      </c>
      <c r="Q159" s="36">
        <f t="shared" si="60"/>
        <v>0</v>
      </c>
      <c r="R159" s="36">
        <f t="shared" si="75"/>
        <v>0</v>
      </c>
      <c r="S159" s="63">
        <v>5</v>
      </c>
      <c r="T159" s="37">
        <f t="shared" si="61"/>
        <v>66</v>
      </c>
      <c r="U159" s="9">
        <f t="shared" si="62"/>
        <v>527.54999999999995</v>
      </c>
      <c r="V159" s="62">
        <v>245239028.66999999</v>
      </c>
      <c r="W159" s="63">
        <v>2951</v>
      </c>
      <c r="X159" s="18">
        <f t="shared" si="63"/>
        <v>83103.7</v>
      </c>
      <c r="Y159" s="38">
        <f t="shared" si="64"/>
        <v>0.459285</v>
      </c>
      <c r="Z159" s="63">
        <v>64063</v>
      </c>
      <c r="AA159" s="38">
        <f t="shared" si="65"/>
        <v>0.58118899999999996</v>
      </c>
      <c r="AB159" s="38">
        <f t="shared" si="66"/>
        <v>0.50414400000000004</v>
      </c>
      <c r="AC159" s="39">
        <f t="shared" si="67"/>
        <v>0.50414400000000004</v>
      </c>
      <c r="AD159" s="39">
        <f>IF(G159&gt;300,+AC159+$AD$18,AC159)</f>
        <v>0.54414400000000007</v>
      </c>
      <c r="AE159" s="63">
        <v>0</v>
      </c>
      <c r="AF159" s="40">
        <v>0</v>
      </c>
      <c r="AG159" s="9">
        <f t="shared" si="68"/>
        <v>0</v>
      </c>
      <c r="AH159" s="11">
        <f t="shared" si="69"/>
        <v>0</v>
      </c>
      <c r="AI159" s="11">
        <f t="shared" si="70"/>
        <v>3308403</v>
      </c>
      <c r="AJ159" s="11">
        <f t="shared" si="71"/>
        <v>3308403</v>
      </c>
      <c r="AK159" s="36">
        <v>2612273</v>
      </c>
      <c r="AL159" s="36">
        <f t="shared" si="76"/>
        <v>696130</v>
      </c>
      <c r="AM159" s="59">
        <f t="shared" si="72"/>
        <v>3308403</v>
      </c>
      <c r="AN159" s="59">
        <f t="shared" si="73"/>
        <v>696130</v>
      </c>
      <c r="AO159" s="60">
        <f t="shared" si="74"/>
        <v>2640814.33</v>
      </c>
      <c r="AP159" s="36"/>
      <c r="AQ159" s="22"/>
      <c r="AS159" s="22"/>
      <c r="AT159" s="22"/>
      <c r="AX159" s="22"/>
      <c r="AY159" s="22"/>
      <c r="AZ159" s="22"/>
      <c r="BA159" s="22"/>
      <c r="BB159" s="22"/>
    </row>
    <row r="160" spans="1:54" x14ac:dyDescent="0.25">
      <c r="A160" s="8" t="s">
        <v>153</v>
      </c>
      <c r="B160" s="8"/>
      <c r="C160" s="26"/>
      <c r="D160" s="26"/>
      <c r="E160" s="26"/>
      <c r="F160" s="1">
        <v>9</v>
      </c>
      <c r="G160" s="61">
        <v>285.94277919372996</v>
      </c>
      <c r="H160" s="8">
        <v>134</v>
      </c>
      <c r="I160" s="3" t="s">
        <v>267</v>
      </c>
      <c r="J160" s="13">
        <f t="shared" si="57"/>
        <v>0</v>
      </c>
      <c r="K160" s="62">
        <v>1556.67</v>
      </c>
      <c r="L160" s="36"/>
      <c r="M160" s="35"/>
      <c r="N160" s="63">
        <v>543</v>
      </c>
      <c r="O160" s="58">
        <f t="shared" si="58"/>
        <v>0.34882152286611806</v>
      </c>
      <c r="P160" s="58">
        <f t="shared" si="59"/>
        <v>0</v>
      </c>
      <c r="Q160" s="36">
        <f t="shared" si="60"/>
        <v>0</v>
      </c>
      <c r="R160" s="36">
        <f t="shared" si="75"/>
        <v>0</v>
      </c>
      <c r="S160" s="63">
        <v>3</v>
      </c>
      <c r="T160" s="37">
        <f t="shared" si="61"/>
        <v>162.9</v>
      </c>
      <c r="U160" s="9">
        <f t="shared" si="62"/>
        <v>1720.0200000000002</v>
      </c>
      <c r="V160" s="62">
        <v>1100051447</v>
      </c>
      <c r="W160" s="63">
        <v>11837</v>
      </c>
      <c r="X160" s="18">
        <f t="shared" si="63"/>
        <v>92933.3</v>
      </c>
      <c r="Y160" s="38">
        <f t="shared" si="64"/>
        <v>0.51361000000000001</v>
      </c>
      <c r="Z160" s="63">
        <v>62371</v>
      </c>
      <c r="AA160" s="38">
        <f t="shared" si="65"/>
        <v>0.56583899999999998</v>
      </c>
      <c r="AB160" s="38">
        <f t="shared" si="66"/>
        <v>0.470721</v>
      </c>
      <c r="AC160" s="39">
        <f t="shared" si="67"/>
        <v>0.470721</v>
      </c>
      <c r="AD160" s="39">
        <f>IF(G160&gt;300,+AC160+$AD$17,AC160)</f>
        <v>0.470721</v>
      </c>
      <c r="AE160" s="63">
        <v>0</v>
      </c>
      <c r="AF160" s="40">
        <v>0</v>
      </c>
      <c r="AG160" s="9">
        <f t="shared" si="68"/>
        <v>0</v>
      </c>
      <c r="AH160" s="11">
        <f t="shared" si="69"/>
        <v>0</v>
      </c>
      <c r="AI160" s="11">
        <f t="shared" si="70"/>
        <v>9331211</v>
      </c>
      <c r="AJ160" s="11">
        <f t="shared" si="71"/>
        <v>9331211</v>
      </c>
      <c r="AK160" s="36">
        <v>9790490</v>
      </c>
      <c r="AL160" s="36">
        <f t="shared" si="76"/>
        <v>-459279</v>
      </c>
      <c r="AM160" s="59">
        <f t="shared" si="72"/>
        <v>9331211</v>
      </c>
      <c r="AN160" s="59">
        <f t="shared" si="73"/>
        <v>-459279</v>
      </c>
      <c r="AO160" s="60">
        <f t="shared" si="74"/>
        <v>9675670.25</v>
      </c>
      <c r="AP160" s="36"/>
      <c r="AQ160" s="22"/>
      <c r="AS160" s="22"/>
      <c r="AT160" s="22"/>
      <c r="AX160" s="22"/>
      <c r="AY160" s="22"/>
      <c r="AZ160" s="22"/>
      <c r="BA160" s="22"/>
      <c r="BB160" s="22"/>
    </row>
    <row r="161" spans="1:54" x14ac:dyDescent="0.25">
      <c r="A161" s="8" t="s">
        <v>127</v>
      </c>
      <c r="B161" s="8">
        <v>1</v>
      </c>
      <c r="C161" s="26">
        <v>1</v>
      </c>
      <c r="D161" s="26">
        <v>1</v>
      </c>
      <c r="E161" s="26"/>
      <c r="F161" s="1">
        <v>2</v>
      </c>
      <c r="G161" s="57">
        <v>218.14536878126304</v>
      </c>
      <c r="H161" s="8">
        <v>135</v>
      </c>
      <c r="I161" s="3" t="s">
        <v>268</v>
      </c>
      <c r="J161" s="13">
        <f t="shared" si="57"/>
        <v>0</v>
      </c>
      <c r="K161" s="62">
        <v>15587.84</v>
      </c>
      <c r="L161" s="36"/>
      <c r="M161" s="35"/>
      <c r="N161" s="63">
        <v>8189</v>
      </c>
      <c r="O161" s="58">
        <f t="shared" si="58"/>
        <v>0.5253453974380029</v>
      </c>
      <c r="P161" s="58">
        <f t="shared" si="59"/>
        <v>0</v>
      </c>
      <c r="Q161" s="36">
        <f t="shared" si="60"/>
        <v>0</v>
      </c>
      <c r="R161" s="36">
        <f t="shared" si="75"/>
        <v>0</v>
      </c>
      <c r="S161" s="63">
        <v>2098</v>
      </c>
      <c r="T161" s="37">
        <f t="shared" si="61"/>
        <v>2456.6999999999998</v>
      </c>
      <c r="U161" s="9">
        <f t="shared" si="62"/>
        <v>18359.240000000002</v>
      </c>
      <c r="V161" s="62">
        <v>32178481357.669998</v>
      </c>
      <c r="W161" s="63">
        <v>128874</v>
      </c>
      <c r="X161" s="18">
        <f t="shared" si="63"/>
        <v>249689.47</v>
      </c>
      <c r="Y161" s="38">
        <f t="shared" si="64"/>
        <v>1.379948</v>
      </c>
      <c r="Z161" s="63">
        <v>79359</v>
      </c>
      <c r="AA161" s="38">
        <f t="shared" si="65"/>
        <v>0.71995600000000004</v>
      </c>
      <c r="AB161" s="38">
        <f t="shared" si="66"/>
        <v>-0.18195</v>
      </c>
      <c r="AC161" s="39">
        <f t="shared" si="67"/>
        <v>0.1</v>
      </c>
      <c r="AD161" s="39">
        <f>IF(G161&gt;300,+AC161+$AD$17,AC161)</f>
        <v>0.1</v>
      </c>
      <c r="AE161" s="63">
        <v>0</v>
      </c>
      <c r="AF161" s="40">
        <v>0</v>
      </c>
      <c r="AG161" s="9">
        <f t="shared" si="68"/>
        <v>0</v>
      </c>
      <c r="AH161" s="11">
        <f t="shared" si="69"/>
        <v>0</v>
      </c>
      <c r="AI161" s="11">
        <f t="shared" si="70"/>
        <v>21159024</v>
      </c>
      <c r="AJ161" s="11">
        <f t="shared" si="71"/>
        <v>21159024</v>
      </c>
      <c r="AK161" s="36">
        <v>10803759</v>
      </c>
      <c r="AL161" s="36">
        <f t="shared" si="76"/>
        <v>10355265</v>
      </c>
      <c r="AM161" s="59">
        <f t="shared" si="72"/>
        <v>21159024</v>
      </c>
      <c r="AN161" s="59">
        <f t="shared" si="73"/>
        <v>10355265</v>
      </c>
      <c r="AO161" s="60">
        <f t="shared" si="74"/>
        <v>11228324.865</v>
      </c>
      <c r="AP161" s="36"/>
      <c r="AQ161" s="22"/>
      <c r="AS161" s="22"/>
      <c r="AT161" s="22"/>
      <c r="AX161" s="22"/>
      <c r="AY161" s="22"/>
      <c r="AZ161" s="22"/>
      <c r="BA161" s="22"/>
      <c r="BB161" s="22"/>
    </row>
    <row r="162" spans="1:54" x14ac:dyDescent="0.25">
      <c r="A162" s="8" t="s">
        <v>153</v>
      </c>
      <c r="B162" s="8"/>
      <c r="C162" s="26"/>
      <c r="D162" s="26"/>
      <c r="E162" s="26"/>
      <c r="F162" s="1">
        <v>9</v>
      </c>
      <c r="G162" s="61">
        <v>303.31011438393699</v>
      </c>
      <c r="H162" s="8">
        <v>136</v>
      </c>
      <c r="I162" s="3" t="s">
        <v>269</v>
      </c>
      <c r="J162" s="13">
        <f t="shared" si="57"/>
        <v>0</v>
      </c>
      <c r="K162" s="62">
        <v>531.29</v>
      </c>
      <c r="L162" s="36"/>
      <c r="M162" s="35"/>
      <c r="N162" s="63">
        <v>161</v>
      </c>
      <c r="O162" s="58">
        <f t="shared" si="58"/>
        <v>0.30303600670067199</v>
      </c>
      <c r="P162" s="58">
        <f t="shared" si="59"/>
        <v>0</v>
      </c>
      <c r="Q162" s="36">
        <f t="shared" si="60"/>
        <v>0</v>
      </c>
      <c r="R162" s="36">
        <f t="shared" si="75"/>
        <v>0</v>
      </c>
      <c r="S162" s="63">
        <v>0</v>
      </c>
      <c r="T162" s="37">
        <f t="shared" si="61"/>
        <v>48.3</v>
      </c>
      <c r="U162" s="9">
        <f t="shared" si="62"/>
        <v>579.58999999999992</v>
      </c>
      <c r="V162" s="62">
        <v>330224014.32999998</v>
      </c>
      <c r="W162" s="63">
        <v>3764</v>
      </c>
      <c r="X162" s="18">
        <f t="shared" si="63"/>
        <v>87732.2</v>
      </c>
      <c r="Y162" s="38">
        <f t="shared" si="64"/>
        <v>0.48486600000000002</v>
      </c>
      <c r="Z162" s="63">
        <v>72220</v>
      </c>
      <c r="AA162" s="38">
        <f t="shared" si="65"/>
        <v>0.65519000000000005</v>
      </c>
      <c r="AB162" s="38">
        <f t="shared" si="66"/>
        <v>0.46403699999999998</v>
      </c>
      <c r="AC162" s="39">
        <f t="shared" si="67"/>
        <v>0.46403699999999998</v>
      </c>
      <c r="AD162" s="39">
        <f>IF(G162&gt;300,+AC162+$AD$19,AC162)</f>
        <v>0.49403699999999995</v>
      </c>
      <c r="AE162" s="63">
        <v>0</v>
      </c>
      <c r="AF162" s="40">
        <v>0</v>
      </c>
      <c r="AG162" s="9">
        <f t="shared" si="68"/>
        <v>0</v>
      </c>
      <c r="AH162" s="11">
        <f t="shared" si="69"/>
        <v>0</v>
      </c>
      <c r="AI162" s="11">
        <f t="shared" si="70"/>
        <v>3300056</v>
      </c>
      <c r="AJ162" s="11">
        <f t="shared" si="71"/>
        <v>3300056</v>
      </c>
      <c r="AK162" s="36">
        <v>3196216</v>
      </c>
      <c r="AL162" s="36">
        <f t="shared" si="76"/>
        <v>103840</v>
      </c>
      <c r="AM162" s="59">
        <f t="shared" si="72"/>
        <v>3300056</v>
      </c>
      <c r="AN162" s="59">
        <f t="shared" si="73"/>
        <v>103840</v>
      </c>
      <c r="AO162" s="60">
        <f t="shared" si="74"/>
        <v>3200473.44</v>
      </c>
      <c r="AP162" s="36"/>
      <c r="AQ162" s="22"/>
      <c r="AS162" s="22"/>
      <c r="AT162" s="22"/>
      <c r="AX162" s="22"/>
      <c r="AY162" s="22"/>
      <c r="AZ162" s="22"/>
      <c r="BA162" s="22"/>
      <c r="BB162" s="22"/>
    </row>
    <row r="163" spans="1:54" x14ac:dyDescent="0.25">
      <c r="A163" s="8" t="s">
        <v>135</v>
      </c>
      <c r="B163" s="8"/>
      <c r="C163" s="26"/>
      <c r="D163" s="26"/>
      <c r="E163" s="26"/>
      <c r="F163" s="1">
        <v>3</v>
      </c>
      <c r="G163" s="57">
        <v>209.03615075568842</v>
      </c>
      <c r="H163" s="8">
        <v>137</v>
      </c>
      <c r="I163" s="3" t="s">
        <v>270</v>
      </c>
      <c r="J163" s="13">
        <f t="shared" si="57"/>
        <v>0</v>
      </c>
      <c r="K163" s="62">
        <v>2198.08</v>
      </c>
      <c r="L163" s="36"/>
      <c r="M163" s="35"/>
      <c r="N163" s="63">
        <v>438</v>
      </c>
      <c r="O163" s="58">
        <f t="shared" si="58"/>
        <v>0.19926481292764595</v>
      </c>
      <c r="P163" s="58">
        <f t="shared" si="59"/>
        <v>0</v>
      </c>
      <c r="Q163" s="36">
        <f t="shared" si="60"/>
        <v>0</v>
      </c>
      <c r="R163" s="36">
        <f t="shared" si="75"/>
        <v>0</v>
      </c>
      <c r="S163" s="63">
        <v>15</v>
      </c>
      <c r="T163" s="37">
        <f t="shared" si="61"/>
        <v>131.4</v>
      </c>
      <c r="U163" s="9">
        <f t="shared" si="62"/>
        <v>2331.73</v>
      </c>
      <c r="V163" s="62">
        <v>3890820496.6700001</v>
      </c>
      <c r="W163" s="63">
        <v>18370</v>
      </c>
      <c r="X163" s="18">
        <f t="shared" si="63"/>
        <v>211802.97</v>
      </c>
      <c r="Y163" s="38">
        <f t="shared" si="64"/>
        <v>1.1705620000000001</v>
      </c>
      <c r="Z163" s="63">
        <v>77295</v>
      </c>
      <c r="AA163" s="38">
        <f t="shared" si="65"/>
        <v>0.70123199999999997</v>
      </c>
      <c r="AB163" s="38">
        <f t="shared" si="66"/>
        <v>-2.9763000000000001E-2</v>
      </c>
      <c r="AC163" s="39">
        <f t="shared" si="67"/>
        <v>0.01</v>
      </c>
      <c r="AD163" s="39">
        <f t="shared" ref="AD163:AD168" si="77">IF(G163&gt;300,+AC163+$AD$17,AC163)</f>
        <v>0.01</v>
      </c>
      <c r="AE163" s="63">
        <v>0</v>
      </c>
      <c r="AF163" s="40">
        <v>0</v>
      </c>
      <c r="AG163" s="9">
        <f t="shared" si="68"/>
        <v>0</v>
      </c>
      <c r="AH163" s="11">
        <f t="shared" si="69"/>
        <v>0</v>
      </c>
      <c r="AI163" s="11">
        <f t="shared" si="70"/>
        <v>268732</v>
      </c>
      <c r="AJ163" s="11">
        <f t="shared" si="71"/>
        <v>268732</v>
      </c>
      <c r="AK163" s="36">
        <v>1649159</v>
      </c>
      <c r="AL163" s="36">
        <f t="shared" si="76"/>
        <v>-1380427</v>
      </c>
      <c r="AM163" s="59">
        <f t="shared" si="72"/>
        <v>268732</v>
      </c>
      <c r="AN163" s="59">
        <f t="shared" si="73"/>
        <v>-1380427</v>
      </c>
      <c r="AO163" s="60">
        <f t="shared" si="74"/>
        <v>1304052.25</v>
      </c>
      <c r="AP163" s="36"/>
      <c r="AQ163" s="22"/>
      <c r="AS163" s="22"/>
      <c r="AT163" s="22"/>
      <c r="AX163" s="22"/>
      <c r="AY163" s="22"/>
      <c r="AZ163" s="22"/>
      <c r="BA163" s="22"/>
      <c r="BB163" s="22"/>
    </row>
    <row r="164" spans="1:54" x14ac:dyDescent="0.25">
      <c r="A164" s="8" t="s">
        <v>140</v>
      </c>
      <c r="B164" s="8"/>
      <c r="C164" s="26"/>
      <c r="D164" s="26"/>
      <c r="E164" s="26"/>
      <c r="F164" s="1">
        <v>8</v>
      </c>
      <c r="G164" s="61">
        <v>279.70853543103243</v>
      </c>
      <c r="H164" s="8">
        <v>138</v>
      </c>
      <c r="I164" s="3" t="s">
        <v>271</v>
      </c>
      <c r="J164" s="13">
        <f t="shared" si="57"/>
        <v>0</v>
      </c>
      <c r="K164" s="62">
        <v>7125.91</v>
      </c>
      <c r="L164" s="36"/>
      <c r="M164" s="35"/>
      <c r="N164" s="63">
        <v>3280</v>
      </c>
      <c r="O164" s="58">
        <f t="shared" si="58"/>
        <v>0.46029208901038604</v>
      </c>
      <c r="P164" s="58">
        <f t="shared" si="59"/>
        <v>0</v>
      </c>
      <c r="Q164" s="36">
        <f t="shared" si="60"/>
        <v>0</v>
      </c>
      <c r="R164" s="36">
        <f t="shared" si="75"/>
        <v>0</v>
      </c>
      <c r="S164" s="63">
        <v>364</v>
      </c>
      <c r="T164" s="37">
        <f t="shared" si="61"/>
        <v>984</v>
      </c>
      <c r="U164" s="9">
        <f t="shared" si="62"/>
        <v>8164.51</v>
      </c>
      <c r="V164" s="62">
        <v>6521800367</v>
      </c>
      <c r="W164" s="63">
        <v>52609</v>
      </c>
      <c r="X164" s="18">
        <f t="shared" si="63"/>
        <v>123967.39</v>
      </c>
      <c r="Y164" s="38">
        <f t="shared" si="64"/>
        <v>0.68512499999999998</v>
      </c>
      <c r="Z164" s="63">
        <v>66886</v>
      </c>
      <c r="AA164" s="38">
        <f t="shared" si="65"/>
        <v>0.60680000000000001</v>
      </c>
      <c r="AB164" s="38">
        <f t="shared" si="66"/>
        <v>0.33837299999999998</v>
      </c>
      <c r="AC164" s="39">
        <f t="shared" si="67"/>
        <v>0.33837299999999998</v>
      </c>
      <c r="AD164" s="39">
        <f t="shared" si="77"/>
        <v>0.33837299999999998</v>
      </c>
      <c r="AE164" s="63">
        <v>0</v>
      </c>
      <c r="AF164" s="40">
        <v>0</v>
      </c>
      <c r="AG164" s="9">
        <f t="shared" si="68"/>
        <v>0</v>
      </c>
      <c r="AH164" s="11">
        <f t="shared" si="69"/>
        <v>0</v>
      </c>
      <c r="AI164" s="11">
        <f t="shared" si="70"/>
        <v>31839538</v>
      </c>
      <c r="AJ164" s="11">
        <f t="shared" si="71"/>
        <v>31839538</v>
      </c>
      <c r="AK164" s="36">
        <v>21461782</v>
      </c>
      <c r="AL164" s="36">
        <f t="shared" si="76"/>
        <v>10377756</v>
      </c>
      <c r="AM164" s="59">
        <f t="shared" si="72"/>
        <v>31839538</v>
      </c>
      <c r="AN164" s="59">
        <f t="shared" si="73"/>
        <v>10377756</v>
      </c>
      <c r="AO164" s="60">
        <f t="shared" si="74"/>
        <v>21887269.995999999</v>
      </c>
      <c r="AP164" s="36"/>
      <c r="AQ164" s="22"/>
      <c r="AS164" s="22"/>
      <c r="AT164" s="22"/>
      <c r="AX164" s="22"/>
      <c r="AY164" s="22"/>
      <c r="AZ164" s="22"/>
      <c r="BA164" s="22"/>
      <c r="BB164" s="22"/>
    </row>
    <row r="165" spans="1:54" x14ac:dyDescent="0.25">
      <c r="A165" s="8" t="s">
        <v>125</v>
      </c>
      <c r="B165" s="8"/>
      <c r="C165" s="26"/>
      <c r="D165" s="26"/>
      <c r="E165" s="26"/>
      <c r="F165" s="1">
        <v>5</v>
      </c>
      <c r="G165" s="57">
        <v>224.84158030695627</v>
      </c>
      <c r="H165" s="8">
        <v>139</v>
      </c>
      <c r="I165" s="3" t="s">
        <v>272</v>
      </c>
      <c r="J165" s="13">
        <f t="shared" si="57"/>
        <v>0</v>
      </c>
      <c r="K165" s="62">
        <v>2146.91</v>
      </c>
      <c r="L165" s="36"/>
      <c r="M165" s="35"/>
      <c r="N165" s="63">
        <v>179</v>
      </c>
      <c r="O165" s="58">
        <f t="shared" si="58"/>
        <v>8.337564220204853E-2</v>
      </c>
      <c r="P165" s="58">
        <f t="shared" si="59"/>
        <v>0</v>
      </c>
      <c r="Q165" s="36">
        <f t="shared" si="60"/>
        <v>0</v>
      </c>
      <c r="R165" s="36">
        <f t="shared" si="75"/>
        <v>0</v>
      </c>
      <c r="S165" s="63">
        <v>20</v>
      </c>
      <c r="T165" s="37">
        <f t="shared" si="61"/>
        <v>53.7</v>
      </c>
      <c r="U165" s="9">
        <f t="shared" si="62"/>
        <v>2203.6099999999997</v>
      </c>
      <c r="V165" s="62">
        <v>1974032212.6700001</v>
      </c>
      <c r="W165" s="63">
        <v>15662</v>
      </c>
      <c r="X165" s="18">
        <f t="shared" si="63"/>
        <v>126039.6</v>
      </c>
      <c r="Y165" s="38">
        <f t="shared" si="64"/>
        <v>0.696577</v>
      </c>
      <c r="Z165" s="63">
        <v>99707</v>
      </c>
      <c r="AA165" s="38">
        <f t="shared" si="65"/>
        <v>0.90455600000000003</v>
      </c>
      <c r="AB165" s="38">
        <f t="shared" si="66"/>
        <v>0.24102899999999999</v>
      </c>
      <c r="AC165" s="39">
        <f t="shared" si="67"/>
        <v>0.24102899999999999</v>
      </c>
      <c r="AD165" s="39">
        <f t="shared" si="77"/>
        <v>0.24102899999999999</v>
      </c>
      <c r="AE165" s="63">
        <v>0</v>
      </c>
      <c r="AF165" s="40">
        <v>0</v>
      </c>
      <c r="AG165" s="9">
        <f t="shared" si="68"/>
        <v>0</v>
      </c>
      <c r="AH165" s="11">
        <f t="shared" si="69"/>
        <v>0</v>
      </c>
      <c r="AI165" s="11">
        <f t="shared" si="70"/>
        <v>6121318</v>
      </c>
      <c r="AJ165" s="11">
        <f t="shared" si="71"/>
        <v>6121318</v>
      </c>
      <c r="AK165" s="36">
        <v>6221145</v>
      </c>
      <c r="AL165" s="36">
        <f t="shared" si="76"/>
        <v>-99827</v>
      </c>
      <c r="AM165" s="59">
        <f t="shared" si="72"/>
        <v>6121318</v>
      </c>
      <c r="AN165" s="59">
        <f t="shared" si="73"/>
        <v>-99827</v>
      </c>
      <c r="AO165" s="60">
        <f t="shared" si="74"/>
        <v>6196188.25</v>
      </c>
      <c r="AP165" s="36"/>
      <c r="AQ165" s="22"/>
      <c r="AS165" s="22"/>
      <c r="AT165" s="22"/>
      <c r="AX165" s="22"/>
      <c r="AY165" s="22"/>
      <c r="AZ165" s="22"/>
      <c r="BA165" s="22"/>
      <c r="BB165" s="22"/>
    </row>
    <row r="166" spans="1:54" x14ac:dyDescent="0.25">
      <c r="A166" s="8" t="s">
        <v>129</v>
      </c>
      <c r="B166" s="8"/>
      <c r="C166" s="26"/>
      <c r="D166" s="26"/>
      <c r="E166" s="26"/>
      <c r="F166" s="1">
        <v>9</v>
      </c>
      <c r="G166" s="61">
        <v>255.13456865561227</v>
      </c>
      <c r="H166" s="8">
        <v>140</v>
      </c>
      <c r="I166" s="3" t="s">
        <v>273</v>
      </c>
      <c r="J166" s="13">
        <f t="shared" si="57"/>
        <v>0</v>
      </c>
      <c r="K166" s="62">
        <v>983.61</v>
      </c>
      <c r="L166" s="36"/>
      <c r="M166" s="35"/>
      <c r="N166" s="63">
        <v>195</v>
      </c>
      <c r="O166" s="58">
        <f t="shared" si="58"/>
        <v>0.19824930612742855</v>
      </c>
      <c r="P166" s="58">
        <f t="shared" si="59"/>
        <v>0</v>
      </c>
      <c r="Q166" s="36">
        <f t="shared" si="60"/>
        <v>0</v>
      </c>
      <c r="R166" s="36">
        <f t="shared" si="75"/>
        <v>0</v>
      </c>
      <c r="S166" s="63">
        <v>14</v>
      </c>
      <c r="T166" s="37">
        <f t="shared" si="61"/>
        <v>58.5</v>
      </c>
      <c r="U166" s="9">
        <f t="shared" si="62"/>
        <v>1044.21</v>
      </c>
      <c r="V166" s="62">
        <v>753778220</v>
      </c>
      <c r="W166" s="63">
        <v>7621</v>
      </c>
      <c r="X166" s="18">
        <f t="shared" si="63"/>
        <v>98908.05</v>
      </c>
      <c r="Y166" s="38">
        <f t="shared" si="64"/>
        <v>0.54663099999999998</v>
      </c>
      <c r="Z166" s="63">
        <v>67191</v>
      </c>
      <c r="AA166" s="38">
        <f t="shared" si="65"/>
        <v>0.60956699999999997</v>
      </c>
      <c r="AB166" s="38">
        <f t="shared" si="66"/>
        <v>0.43448799999999999</v>
      </c>
      <c r="AC166" s="39">
        <f t="shared" si="67"/>
        <v>0.43448799999999999</v>
      </c>
      <c r="AD166" s="39">
        <f t="shared" si="77"/>
        <v>0.43448799999999999</v>
      </c>
      <c r="AE166" s="63">
        <v>0</v>
      </c>
      <c r="AF166" s="40">
        <v>0</v>
      </c>
      <c r="AG166" s="9">
        <f t="shared" si="68"/>
        <v>0</v>
      </c>
      <c r="AH166" s="11">
        <f t="shared" si="69"/>
        <v>0</v>
      </c>
      <c r="AI166" s="11">
        <f t="shared" si="70"/>
        <v>5228855</v>
      </c>
      <c r="AJ166" s="11">
        <f t="shared" si="71"/>
        <v>5228855</v>
      </c>
      <c r="AK166" s="36">
        <v>5624815</v>
      </c>
      <c r="AL166" s="36">
        <f t="shared" si="76"/>
        <v>-395960</v>
      </c>
      <c r="AM166" s="59">
        <f t="shared" si="72"/>
        <v>5228855</v>
      </c>
      <c r="AN166" s="59">
        <f t="shared" si="73"/>
        <v>-395960</v>
      </c>
      <c r="AO166" s="60">
        <f t="shared" si="74"/>
        <v>5525825</v>
      </c>
      <c r="AP166" s="36"/>
      <c r="AQ166" s="22"/>
      <c r="AS166" s="22"/>
      <c r="AT166" s="22"/>
      <c r="AX166" s="22"/>
      <c r="AY166" s="22"/>
      <c r="AZ166" s="22"/>
      <c r="BA166" s="22"/>
      <c r="BB166" s="22"/>
    </row>
    <row r="167" spans="1:54" x14ac:dyDescent="0.25">
      <c r="A167" s="8" t="s">
        <v>153</v>
      </c>
      <c r="B167" s="8"/>
      <c r="C167" s="26">
        <v>1</v>
      </c>
      <c r="D167" s="26"/>
      <c r="E167" s="26"/>
      <c r="F167" s="1">
        <v>9</v>
      </c>
      <c r="G167" s="57">
        <v>250.7764350117676</v>
      </c>
      <c r="H167" s="8">
        <v>141</v>
      </c>
      <c r="I167" s="3" t="s">
        <v>274</v>
      </c>
      <c r="J167" s="13">
        <f t="shared" si="57"/>
        <v>0</v>
      </c>
      <c r="K167" s="62">
        <v>1043</v>
      </c>
      <c r="L167" s="36"/>
      <c r="M167" s="35"/>
      <c r="N167" s="63">
        <v>399</v>
      </c>
      <c r="O167" s="58">
        <f t="shared" si="58"/>
        <v>0.3825503355704698</v>
      </c>
      <c r="P167" s="58">
        <f t="shared" si="59"/>
        <v>0</v>
      </c>
      <c r="Q167" s="36">
        <f t="shared" si="60"/>
        <v>0</v>
      </c>
      <c r="R167" s="36">
        <f t="shared" si="75"/>
        <v>0</v>
      </c>
      <c r="S167" s="63">
        <v>5</v>
      </c>
      <c r="T167" s="37">
        <f t="shared" si="61"/>
        <v>119.7</v>
      </c>
      <c r="U167" s="9">
        <f t="shared" si="62"/>
        <v>1163.45</v>
      </c>
      <c r="V167" s="62">
        <v>869898306</v>
      </c>
      <c r="W167" s="63">
        <v>9290</v>
      </c>
      <c r="X167" s="18">
        <f t="shared" si="63"/>
        <v>93638.14</v>
      </c>
      <c r="Y167" s="38">
        <f t="shared" si="64"/>
        <v>0.51750600000000002</v>
      </c>
      <c r="Z167" s="63">
        <v>69924</v>
      </c>
      <c r="AA167" s="38">
        <f t="shared" si="65"/>
        <v>0.63436099999999995</v>
      </c>
      <c r="AB167" s="38">
        <f t="shared" si="66"/>
        <v>0.447438</v>
      </c>
      <c r="AC167" s="39">
        <f t="shared" si="67"/>
        <v>0.447438</v>
      </c>
      <c r="AD167" s="39">
        <f t="shared" si="77"/>
        <v>0.447438</v>
      </c>
      <c r="AE167" s="63">
        <v>0</v>
      </c>
      <c r="AF167" s="40">
        <v>0</v>
      </c>
      <c r="AG167" s="9">
        <f t="shared" si="68"/>
        <v>0</v>
      </c>
      <c r="AH167" s="11">
        <f t="shared" si="69"/>
        <v>0</v>
      </c>
      <c r="AI167" s="11">
        <f t="shared" si="70"/>
        <v>5999589</v>
      </c>
      <c r="AJ167" s="11">
        <f t="shared" si="71"/>
        <v>5999589</v>
      </c>
      <c r="AK167" s="36">
        <v>7534704</v>
      </c>
      <c r="AL167" s="36">
        <f t="shared" si="76"/>
        <v>-1535115</v>
      </c>
      <c r="AM167" s="59">
        <f t="shared" si="72"/>
        <v>7534704</v>
      </c>
      <c r="AN167" s="59">
        <f t="shared" si="73"/>
        <v>0</v>
      </c>
      <c r="AO167" s="60">
        <f t="shared" si="74"/>
        <v>7534704</v>
      </c>
      <c r="AP167" s="36"/>
      <c r="AQ167" s="22"/>
      <c r="AS167" s="22"/>
      <c r="AT167" s="22"/>
      <c r="AX167" s="22"/>
      <c r="AY167" s="22"/>
      <c r="AZ167" s="22"/>
      <c r="BA167" s="22"/>
      <c r="BB167" s="22"/>
    </row>
    <row r="168" spans="1:54" x14ac:dyDescent="0.25">
      <c r="A168" s="8" t="s">
        <v>125</v>
      </c>
      <c r="B168" s="8"/>
      <c r="C168" s="26"/>
      <c r="D168" s="26"/>
      <c r="E168" s="26"/>
      <c r="F168" s="1">
        <v>5</v>
      </c>
      <c r="G168" s="57">
        <v>216.23936178687032</v>
      </c>
      <c r="H168" s="8">
        <v>142</v>
      </c>
      <c r="I168" s="3" t="s">
        <v>275</v>
      </c>
      <c r="J168" s="13">
        <f t="shared" si="57"/>
        <v>0</v>
      </c>
      <c r="K168" s="62">
        <v>2552.61</v>
      </c>
      <c r="L168" s="36"/>
      <c r="M168" s="35"/>
      <c r="N168" s="63">
        <v>207</v>
      </c>
      <c r="O168" s="58">
        <f t="shared" si="58"/>
        <v>8.1093469037573307E-2</v>
      </c>
      <c r="P168" s="58">
        <f t="shared" si="59"/>
        <v>0</v>
      </c>
      <c r="Q168" s="36">
        <f t="shared" si="60"/>
        <v>0</v>
      </c>
      <c r="R168" s="36">
        <f t="shared" si="75"/>
        <v>0</v>
      </c>
      <c r="S168" s="63">
        <v>11</v>
      </c>
      <c r="T168" s="37">
        <f t="shared" si="61"/>
        <v>62.1</v>
      </c>
      <c r="U168" s="9">
        <f t="shared" si="62"/>
        <v>2616.36</v>
      </c>
      <c r="V168" s="62">
        <v>1811061018.3299999</v>
      </c>
      <c r="W168" s="63">
        <v>14849</v>
      </c>
      <c r="X168" s="18">
        <f t="shared" si="63"/>
        <v>121965.18</v>
      </c>
      <c r="Y168" s="38">
        <f t="shared" si="64"/>
        <v>0.67405899999999996</v>
      </c>
      <c r="Z168" s="63">
        <v>110593</v>
      </c>
      <c r="AA168" s="38">
        <f t="shared" si="65"/>
        <v>1.0033160000000001</v>
      </c>
      <c r="AB168" s="38">
        <f t="shared" si="66"/>
        <v>0.227164</v>
      </c>
      <c r="AC168" s="39">
        <f t="shared" si="67"/>
        <v>0.227164</v>
      </c>
      <c r="AD168" s="39">
        <f t="shared" si="77"/>
        <v>0.227164</v>
      </c>
      <c r="AE168" s="63">
        <v>0</v>
      </c>
      <c r="AF168" s="40">
        <v>0</v>
      </c>
      <c r="AG168" s="9">
        <f t="shared" si="68"/>
        <v>0</v>
      </c>
      <c r="AH168" s="11">
        <f t="shared" si="69"/>
        <v>0</v>
      </c>
      <c r="AI168" s="11">
        <f t="shared" si="70"/>
        <v>6849801</v>
      </c>
      <c r="AJ168" s="11">
        <f t="shared" si="71"/>
        <v>6849801</v>
      </c>
      <c r="AK168" s="36">
        <v>10699177</v>
      </c>
      <c r="AL168" s="36">
        <f t="shared" si="76"/>
        <v>-3849376</v>
      </c>
      <c r="AM168" s="59">
        <f t="shared" si="72"/>
        <v>6849801</v>
      </c>
      <c r="AN168" s="59">
        <f t="shared" si="73"/>
        <v>-3849376</v>
      </c>
      <c r="AO168" s="60">
        <f t="shared" si="74"/>
        <v>9736833</v>
      </c>
      <c r="AP168" s="36"/>
      <c r="AQ168" s="22"/>
      <c r="AS168" s="22"/>
      <c r="AT168" s="22"/>
      <c r="AX168" s="22"/>
      <c r="AY168" s="22"/>
      <c r="AZ168" s="22"/>
      <c r="BA168" s="22"/>
      <c r="BB168" s="22"/>
    </row>
    <row r="169" spans="1:54" x14ac:dyDescent="0.25">
      <c r="A169" s="8" t="s">
        <v>140</v>
      </c>
      <c r="B169" s="8"/>
      <c r="C169" s="26">
        <v>1</v>
      </c>
      <c r="D169" s="26"/>
      <c r="E169" s="26"/>
      <c r="F169" s="1">
        <v>10</v>
      </c>
      <c r="G169" s="61">
        <v>302.81153524981949</v>
      </c>
      <c r="H169" s="8">
        <v>143</v>
      </c>
      <c r="I169" s="3" t="s">
        <v>276</v>
      </c>
      <c r="J169" s="13">
        <f t="shared" si="57"/>
        <v>0</v>
      </c>
      <c r="K169" s="62">
        <v>4351.45</v>
      </c>
      <c r="L169" s="36"/>
      <c r="M169" s="35"/>
      <c r="N169" s="63">
        <v>2256</v>
      </c>
      <c r="O169" s="58">
        <f t="shared" si="58"/>
        <v>0.5184478736972733</v>
      </c>
      <c r="P169" s="58">
        <f t="shared" si="59"/>
        <v>0</v>
      </c>
      <c r="Q169" s="36">
        <f t="shared" si="60"/>
        <v>0</v>
      </c>
      <c r="R169" s="36">
        <f t="shared" si="75"/>
        <v>0</v>
      </c>
      <c r="S169" s="63">
        <v>393</v>
      </c>
      <c r="T169" s="37">
        <f t="shared" si="61"/>
        <v>676.8</v>
      </c>
      <c r="U169" s="9">
        <f t="shared" si="62"/>
        <v>5087.2</v>
      </c>
      <c r="V169" s="62">
        <v>2812095030</v>
      </c>
      <c r="W169" s="63">
        <v>34906</v>
      </c>
      <c r="X169" s="18">
        <f t="shared" si="63"/>
        <v>80561.94</v>
      </c>
      <c r="Y169" s="38">
        <f t="shared" si="64"/>
        <v>0.44523800000000002</v>
      </c>
      <c r="Z169" s="63">
        <v>56264</v>
      </c>
      <c r="AA169" s="38">
        <f t="shared" si="65"/>
        <v>0.51043499999999997</v>
      </c>
      <c r="AB169" s="38">
        <f t="shared" si="66"/>
        <v>0.53520299999999998</v>
      </c>
      <c r="AC169" s="39">
        <f t="shared" si="67"/>
        <v>0.53520299999999998</v>
      </c>
      <c r="AD169" s="39">
        <f>IF(G169&gt;300,+AC169+$AD$19,AC169)</f>
        <v>0.56520300000000001</v>
      </c>
      <c r="AE169" s="63">
        <v>0</v>
      </c>
      <c r="AF169" s="40">
        <v>0</v>
      </c>
      <c r="AG169" s="9">
        <f t="shared" si="68"/>
        <v>0</v>
      </c>
      <c r="AH169" s="11">
        <f t="shared" si="69"/>
        <v>0</v>
      </c>
      <c r="AI169" s="11">
        <f t="shared" si="70"/>
        <v>33137841</v>
      </c>
      <c r="AJ169" s="11">
        <f t="shared" si="71"/>
        <v>33137841</v>
      </c>
      <c r="AK169" s="36">
        <v>24482865</v>
      </c>
      <c r="AL169" s="36">
        <f t="shared" si="76"/>
        <v>8654976</v>
      </c>
      <c r="AM169" s="59">
        <f t="shared" si="72"/>
        <v>33137841</v>
      </c>
      <c r="AN169" s="59">
        <f t="shared" si="73"/>
        <v>8654976</v>
      </c>
      <c r="AO169" s="60">
        <f t="shared" si="74"/>
        <v>24837719.015999999</v>
      </c>
      <c r="AP169" s="36"/>
      <c r="AQ169" s="22"/>
      <c r="AS169" s="22"/>
      <c r="AT169" s="22"/>
      <c r="AX169" s="22"/>
      <c r="AY169" s="22"/>
      <c r="AZ169" s="22"/>
      <c r="BA169" s="22"/>
      <c r="BB169" s="22"/>
    </row>
    <row r="170" spans="1:54" x14ac:dyDescent="0.25">
      <c r="A170" s="8" t="s">
        <v>131</v>
      </c>
      <c r="B170" s="8"/>
      <c r="C170" s="26"/>
      <c r="D170" s="26"/>
      <c r="E170" s="26"/>
      <c r="F170" s="1">
        <v>3</v>
      </c>
      <c r="G170" s="57">
        <v>217.6285489845896</v>
      </c>
      <c r="H170" s="8">
        <v>144</v>
      </c>
      <c r="I170" s="3" t="s">
        <v>277</v>
      </c>
      <c r="J170" s="13">
        <f t="shared" si="57"/>
        <v>0</v>
      </c>
      <c r="K170" s="62">
        <v>6576.26</v>
      </c>
      <c r="L170" s="36"/>
      <c r="M170" s="35"/>
      <c r="N170" s="63">
        <v>625</v>
      </c>
      <c r="O170" s="58">
        <f t="shared" si="58"/>
        <v>9.503882145778908E-2</v>
      </c>
      <c r="P170" s="58">
        <f t="shared" si="59"/>
        <v>0</v>
      </c>
      <c r="Q170" s="36">
        <f t="shared" si="60"/>
        <v>0</v>
      </c>
      <c r="R170" s="36">
        <f t="shared" si="75"/>
        <v>0</v>
      </c>
      <c r="S170" s="63">
        <v>141</v>
      </c>
      <c r="T170" s="37">
        <f t="shared" si="61"/>
        <v>187.5</v>
      </c>
      <c r="U170" s="9">
        <f t="shared" si="62"/>
        <v>6784.91</v>
      </c>
      <c r="V170" s="62">
        <v>6661989535.3299999</v>
      </c>
      <c r="W170" s="63">
        <v>36628</v>
      </c>
      <c r="X170" s="18">
        <f t="shared" si="63"/>
        <v>181882.43</v>
      </c>
      <c r="Y170" s="38">
        <f t="shared" si="64"/>
        <v>1.005201</v>
      </c>
      <c r="Z170" s="63">
        <v>111312</v>
      </c>
      <c r="AA170" s="38">
        <f t="shared" si="65"/>
        <v>1.0098389999999999</v>
      </c>
      <c r="AB170" s="38">
        <f t="shared" si="66"/>
        <v>-6.5919999999999998E-3</v>
      </c>
      <c r="AC170" s="39">
        <f t="shared" si="67"/>
        <v>0.01</v>
      </c>
      <c r="AD170" s="39">
        <f t="shared" ref="AD170:AD176" si="78">IF(G170&gt;300,+AC170+$AD$17,AC170)</f>
        <v>0.01</v>
      </c>
      <c r="AE170" s="63">
        <v>0</v>
      </c>
      <c r="AF170" s="40">
        <v>0</v>
      </c>
      <c r="AG170" s="9">
        <f t="shared" si="68"/>
        <v>0</v>
      </c>
      <c r="AH170" s="11">
        <f t="shared" si="69"/>
        <v>0</v>
      </c>
      <c r="AI170" s="11">
        <f t="shared" si="70"/>
        <v>781961</v>
      </c>
      <c r="AJ170" s="11">
        <f t="shared" si="71"/>
        <v>781961</v>
      </c>
      <c r="AK170" s="36">
        <v>3418401</v>
      </c>
      <c r="AL170" s="36">
        <f t="shared" si="76"/>
        <v>-2636440</v>
      </c>
      <c r="AM170" s="59">
        <f t="shared" si="72"/>
        <v>781961</v>
      </c>
      <c r="AN170" s="59">
        <f t="shared" si="73"/>
        <v>-2636440</v>
      </c>
      <c r="AO170" s="60">
        <f t="shared" si="74"/>
        <v>2759291</v>
      </c>
      <c r="AP170" s="36"/>
      <c r="AQ170" s="22"/>
      <c r="AS170" s="22"/>
      <c r="AT170" s="22"/>
      <c r="AX170" s="22"/>
      <c r="AY170" s="22"/>
      <c r="AZ170" s="22"/>
      <c r="BA170" s="22"/>
      <c r="BB170" s="22"/>
    </row>
    <row r="171" spans="1:54" x14ac:dyDescent="0.25">
      <c r="A171" s="8" t="s">
        <v>129</v>
      </c>
      <c r="B171" s="8"/>
      <c r="C171" s="26"/>
      <c r="D171" s="26"/>
      <c r="E171" s="26"/>
      <c r="F171" s="1">
        <v>4</v>
      </c>
      <c r="G171" s="57">
        <v>227.71497425918034</v>
      </c>
      <c r="H171" s="8">
        <v>145</v>
      </c>
      <c r="I171" s="3" t="s">
        <v>278</v>
      </c>
      <c r="J171" s="13">
        <f t="shared" si="57"/>
        <v>0</v>
      </c>
      <c r="K171" s="62">
        <v>90</v>
      </c>
      <c r="L171" s="36"/>
      <c r="M171" s="35"/>
      <c r="N171" s="63">
        <v>7</v>
      </c>
      <c r="O171" s="58">
        <f t="shared" si="58"/>
        <v>7.7777777777777779E-2</v>
      </c>
      <c r="P171" s="58">
        <f t="shared" si="59"/>
        <v>0</v>
      </c>
      <c r="Q171" s="36">
        <f t="shared" si="60"/>
        <v>0</v>
      </c>
      <c r="R171" s="36">
        <f t="shared" si="75"/>
        <v>0</v>
      </c>
      <c r="S171" s="63">
        <v>0</v>
      </c>
      <c r="T171" s="37">
        <f t="shared" si="61"/>
        <v>2.1</v>
      </c>
      <c r="U171" s="9">
        <f t="shared" si="62"/>
        <v>92.1</v>
      </c>
      <c r="V171" s="62">
        <v>125784799.67</v>
      </c>
      <c r="W171" s="63">
        <v>843</v>
      </c>
      <c r="X171" s="18">
        <f t="shared" si="63"/>
        <v>149210.91</v>
      </c>
      <c r="Y171" s="38">
        <f t="shared" si="64"/>
        <v>0.82463699999999995</v>
      </c>
      <c r="Z171" s="63">
        <v>95865</v>
      </c>
      <c r="AA171" s="38">
        <f t="shared" si="65"/>
        <v>0.86970099999999995</v>
      </c>
      <c r="AB171" s="38">
        <f t="shared" si="66"/>
        <v>0.16184399999999999</v>
      </c>
      <c r="AC171" s="39">
        <f t="shared" si="67"/>
        <v>0.16184399999999999</v>
      </c>
      <c r="AD171" s="39">
        <f t="shared" si="78"/>
        <v>0.16184399999999999</v>
      </c>
      <c r="AE171" s="63">
        <v>0</v>
      </c>
      <c r="AF171" s="40">
        <v>0</v>
      </c>
      <c r="AG171" s="9">
        <f t="shared" si="68"/>
        <v>0</v>
      </c>
      <c r="AH171" s="11">
        <f t="shared" si="69"/>
        <v>0</v>
      </c>
      <c r="AI171" s="11">
        <f t="shared" si="70"/>
        <v>171790</v>
      </c>
      <c r="AJ171" s="11">
        <f t="shared" si="71"/>
        <v>171790</v>
      </c>
      <c r="AK171" s="36">
        <v>237166</v>
      </c>
      <c r="AL171" s="36">
        <f t="shared" si="76"/>
        <v>-65376</v>
      </c>
      <c r="AM171" s="59">
        <f t="shared" si="72"/>
        <v>171790</v>
      </c>
      <c r="AN171" s="59">
        <f t="shared" si="73"/>
        <v>-65376</v>
      </c>
      <c r="AO171" s="60">
        <f t="shared" si="74"/>
        <v>220822</v>
      </c>
      <c r="AP171" s="36"/>
      <c r="AQ171" s="22"/>
      <c r="AS171" s="22"/>
      <c r="AT171" s="22"/>
      <c r="AX171" s="22"/>
      <c r="AY171" s="22"/>
      <c r="AZ171" s="22"/>
      <c r="BA171" s="22"/>
      <c r="BB171" s="22"/>
    </row>
    <row r="172" spans="1:54" x14ac:dyDescent="0.25">
      <c r="A172" s="8" t="s">
        <v>140</v>
      </c>
      <c r="B172" s="8"/>
      <c r="C172" s="26">
        <v>1</v>
      </c>
      <c r="D172" s="26">
        <v>1</v>
      </c>
      <c r="E172" s="26"/>
      <c r="F172" s="1">
        <v>9</v>
      </c>
      <c r="G172" s="61">
        <v>283.13078146263609</v>
      </c>
      <c r="H172" s="8">
        <v>146</v>
      </c>
      <c r="I172" s="3" t="s">
        <v>279</v>
      </c>
      <c r="J172" s="13">
        <f t="shared" si="57"/>
        <v>0</v>
      </c>
      <c r="K172" s="62">
        <v>3411.33</v>
      </c>
      <c r="L172" s="36"/>
      <c r="M172" s="35"/>
      <c r="N172" s="63">
        <v>1485</v>
      </c>
      <c r="O172" s="58">
        <f t="shared" si="58"/>
        <v>0.43531408570850666</v>
      </c>
      <c r="P172" s="58">
        <f t="shared" si="59"/>
        <v>0</v>
      </c>
      <c r="Q172" s="36">
        <f t="shared" si="60"/>
        <v>0</v>
      </c>
      <c r="R172" s="36">
        <f t="shared" si="75"/>
        <v>0</v>
      </c>
      <c r="S172" s="63">
        <v>98</v>
      </c>
      <c r="T172" s="37">
        <f t="shared" si="61"/>
        <v>445.5</v>
      </c>
      <c r="U172" s="9">
        <f t="shared" si="62"/>
        <v>3871.5299999999997</v>
      </c>
      <c r="V172" s="62">
        <v>2527535002.6700001</v>
      </c>
      <c r="W172" s="63">
        <v>28959</v>
      </c>
      <c r="X172" s="18">
        <f t="shared" si="63"/>
        <v>87279.77</v>
      </c>
      <c r="Y172" s="38">
        <f t="shared" si="64"/>
        <v>0.48236499999999999</v>
      </c>
      <c r="Z172" s="63">
        <v>59961</v>
      </c>
      <c r="AA172" s="38">
        <f t="shared" si="65"/>
        <v>0.54397499999999999</v>
      </c>
      <c r="AB172" s="38">
        <f t="shared" si="66"/>
        <v>0.49915199999999998</v>
      </c>
      <c r="AC172" s="39">
        <f t="shared" si="67"/>
        <v>0.49915199999999998</v>
      </c>
      <c r="AD172" s="39">
        <f t="shared" si="78"/>
        <v>0.49915199999999998</v>
      </c>
      <c r="AE172" s="63">
        <v>0</v>
      </c>
      <c r="AF172" s="40">
        <v>0</v>
      </c>
      <c r="AG172" s="9">
        <f t="shared" si="68"/>
        <v>0</v>
      </c>
      <c r="AH172" s="11">
        <f t="shared" si="69"/>
        <v>0</v>
      </c>
      <c r="AI172" s="11">
        <f t="shared" si="70"/>
        <v>22271854</v>
      </c>
      <c r="AJ172" s="11">
        <f t="shared" si="71"/>
        <v>22271854</v>
      </c>
      <c r="AK172" s="36">
        <v>19250233</v>
      </c>
      <c r="AL172" s="36">
        <f t="shared" si="76"/>
        <v>3021621</v>
      </c>
      <c r="AM172" s="59">
        <f t="shared" si="72"/>
        <v>22271854</v>
      </c>
      <c r="AN172" s="59">
        <f t="shared" si="73"/>
        <v>3021621</v>
      </c>
      <c r="AO172" s="60">
        <f t="shared" si="74"/>
        <v>19374119.460999999</v>
      </c>
      <c r="AP172" s="36"/>
      <c r="AQ172" s="22"/>
      <c r="AS172" s="22"/>
      <c r="AT172" s="22"/>
      <c r="AX172" s="22"/>
      <c r="AY172" s="22"/>
      <c r="AZ172" s="22"/>
      <c r="BA172" s="22"/>
      <c r="BB172" s="22"/>
    </row>
    <row r="173" spans="1:54" x14ac:dyDescent="0.25">
      <c r="A173" s="8" t="s">
        <v>153</v>
      </c>
      <c r="B173" s="8"/>
      <c r="C173" s="26"/>
      <c r="D173" s="26"/>
      <c r="E173" s="26"/>
      <c r="F173" s="1">
        <v>8</v>
      </c>
      <c r="G173" s="61">
        <v>259.85952291865129</v>
      </c>
      <c r="H173" s="8">
        <v>147</v>
      </c>
      <c r="I173" s="3" t="s">
        <v>280</v>
      </c>
      <c r="J173" s="13">
        <f t="shared" si="57"/>
        <v>0</v>
      </c>
      <c r="K173" s="62">
        <v>368.62</v>
      </c>
      <c r="L173" s="36"/>
      <c r="M173" s="35"/>
      <c r="N173" s="63">
        <v>74</v>
      </c>
      <c r="O173" s="58">
        <f t="shared" si="58"/>
        <v>0.20074873853833217</v>
      </c>
      <c r="P173" s="58">
        <f t="shared" si="59"/>
        <v>0</v>
      </c>
      <c r="Q173" s="36">
        <f t="shared" si="60"/>
        <v>0</v>
      </c>
      <c r="R173" s="36">
        <f t="shared" si="75"/>
        <v>0</v>
      </c>
      <c r="S173" s="63">
        <v>0</v>
      </c>
      <c r="T173" s="37">
        <f t="shared" si="61"/>
        <v>22.2</v>
      </c>
      <c r="U173" s="9">
        <f t="shared" si="62"/>
        <v>390.82</v>
      </c>
      <c r="V173" s="62">
        <v>282643208.32999998</v>
      </c>
      <c r="W173" s="63">
        <v>2579</v>
      </c>
      <c r="X173" s="18">
        <f t="shared" si="63"/>
        <v>109594.11</v>
      </c>
      <c r="Y173" s="38">
        <f t="shared" si="64"/>
        <v>0.60568900000000003</v>
      </c>
      <c r="Z173" s="63">
        <v>76012</v>
      </c>
      <c r="AA173" s="38">
        <f t="shared" si="65"/>
        <v>0.68959199999999998</v>
      </c>
      <c r="AB173" s="38">
        <f t="shared" si="66"/>
        <v>0.36914000000000002</v>
      </c>
      <c r="AC173" s="39">
        <f t="shared" si="67"/>
        <v>0.36914000000000002</v>
      </c>
      <c r="AD173" s="39">
        <f t="shared" si="78"/>
        <v>0.36914000000000002</v>
      </c>
      <c r="AE173" s="63">
        <v>0</v>
      </c>
      <c r="AF173" s="40">
        <v>0</v>
      </c>
      <c r="AG173" s="9">
        <f t="shared" si="68"/>
        <v>0</v>
      </c>
      <c r="AH173" s="11">
        <f t="shared" si="69"/>
        <v>0</v>
      </c>
      <c r="AI173" s="11">
        <f t="shared" si="70"/>
        <v>1662681</v>
      </c>
      <c r="AJ173" s="11">
        <f t="shared" si="71"/>
        <v>1662681</v>
      </c>
      <c r="AK173" s="36">
        <v>2502621</v>
      </c>
      <c r="AL173" s="36">
        <f t="shared" si="76"/>
        <v>-839940</v>
      </c>
      <c r="AM173" s="59">
        <f t="shared" si="72"/>
        <v>1662681</v>
      </c>
      <c r="AN173" s="59">
        <f t="shared" si="73"/>
        <v>-839940</v>
      </c>
      <c r="AO173" s="60">
        <f t="shared" si="74"/>
        <v>2292636</v>
      </c>
      <c r="AP173" s="36"/>
      <c r="AQ173" s="22"/>
      <c r="AS173" s="22"/>
      <c r="AT173" s="22"/>
      <c r="AX173" s="22"/>
      <c r="AY173" s="22"/>
      <c r="AZ173" s="22"/>
      <c r="BA173" s="22"/>
      <c r="BB173" s="22"/>
    </row>
    <row r="174" spans="1:54" x14ac:dyDescent="0.25">
      <c r="A174" s="8" t="s">
        <v>135</v>
      </c>
      <c r="B174" s="8"/>
      <c r="C174" s="26"/>
      <c r="D174" s="26"/>
      <c r="E174" s="26"/>
      <c r="F174" s="1">
        <v>6</v>
      </c>
      <c r="G174" s="57">
        <v>231.67023831954708</v>
      </c>
      <c r="H174" s="8">
        <v>148</v>
      </c>
      <c r="I174" s="3" t="s">
        <v>281</v>
      </c>
      <c r="J174" s="13">
        <f t="shared" si="57"/>
        <v>0</v>
      </c>
      <c r="K174" s="62">
        <v>5939</v>
      </c>
      <c r="L174" s="36"/>
      <c r="M174" s="35"/>
      <c r="N174" s="63">
        <v>1313</v>
      </c>
      <c r="O174" s="58">
        <f t="shared" si="58"/>
        <v>0.22108099006566762</v>
      </c>
      <c r="P174" s="58">
        <f t="shared" si="59"/>
        <v>0</v>
      </c>
      <c r="Q174" s="36">
        <f t="shared" si="60"/>
        <v>0</v>
      </c>
      <c r="R174" s="36">
        <f t="shared" si="75"/>
        <v>0</v>
      </c>
      <c r="S174" s="63">
        <v>328</v>
      </c>
      <c r="T174" s="37">
        <f t="shared" si="61"/>
        <v>393.9</v>
      </c>
      <c r="U174" s="9">
        <f t="shared" si="62"/>
        <v>6382.0999999999995</v>
      </c>
      <c r="V174" s="62">
        <v>6071938212.3299999</v>
      </c>
      <c r="W174" s="63">
        <v>44893</v>
      </c>
      <c r="X174" s="18">
        <f t="shared" si="63"/>
        <v>135253.56</v>
      </c>
      <c r="Y174" s="38">
        <f t="shared" si="64"/>
        <v>0.74750000000000005</v>
      </c>
      <c r="Z174" s="63">
        <v>74060</v>
      </c>
      <c r="AA174" s="38">
        <f t="shared" si="65"/>
        <v>0.67188300000000001</v>
      </c>
      <c r="AB174" s="38">
        <f t="shared" si="66"/>
        <v>0.27518500000000001</v>
      </c>
      <c r="AC174" s="39">
        <f t="shared" si="67"/>
        <v>0.27518500000000001</v>
      </c>
      <c r="AD174" s="39">
        <f t="shared" si="78"/>
        <v>0.27518500000000001</v>
      </c>
      <c r="AE174" s="63">
        <v>0</v>
      </c>
      <c r="AF174" s="40">
        <v>0</v>
      </c>
      <c r="AG174" s="9">
        <f t="shared" si="68"/>
        <v>0</v>
      </c>
      <c r="AH174" s="11">
        <f t="shared" si="69"/>
        <v>0</v>
      </c>
      <c r="AI174" s="11">
        <f t="shared" si="70"/>
        <v>20240876</v>
      </c>
      <c r="AJ174" s="11">
        <f t="shared" si="71"/>
        <v>20240876</v>
      </c>
      <c r="AK174" s="36">
        <v>21301522</v>
      </c>
      <c r="AL174" s="36">
        <f t="shared" si="76"/>
        <v>-1060646</v>
      </c>
      <c r="AM174" s="59">
        <f t="shared" si="72"/>
        <v>20240876</v>
      </c>
      <c r="AN174" s="59">
        <f t="shared" si="73"/>
        <v>-1060646</v>
      </c>
      <c r="AO174" s="60">
        <f t="shared" si="74"/>
        <v>21036360.5</v>
      </c>
      <c r="AP174" s="36"/>
      <c r="AQ174" s="22"/>
      <c r="AS174" s="22"/>
      <c r="AT174" s="22"/>
      <c r="AX174" s="22"/>
      <c r="AY174" s="22"/>
      <c r="AZ174" s="22"/>
      <c r="BA174" s="22"/>
      <c r="BB174" s="22"/>
    </row>
    <row r="175" spans="1:54" x14ac:dyDescent="0.25">
      <c r="A175" s="8" t="s">
        <v>129</v>
      </c>
      <c r="B175" s="8"/>
      <c r="C175" s="26"/>
      <c r="D175" s="26"/>
      <c r="E175" s="26"/>
      <c r="F175" s="1">
        <v>1</v>
      </c>
      <c r="G175" s="57">
        <v>158.60610497706691</v>
      </c>
      <c r="H175" s="8">
        <v>149</v>
      </c>
      <c r="I175" s="3" t="s">
        <v>282</v>
      </c>
      <c r="J175" s="13">
        <f t="shared" si="57"/>
        <v>0</v>
      </c>
      <c r="K175" s="62">
        <v>138.41</v>
      </c>
      <c r="L175" s="36"/>
      <c r="M175" s="35"/>
      <c r="N175" s="63">
        <v>8</v>
      </c>
      <c r="O175" s="58">
        <f t="shared" si="58"/>
        <v>5.7799291958673504E-2</v>
      </c>
      <c r="P175" s="58">
        <f t="shared" si="59"/>
        <v>0</v>
      </c>
      <c r="Q175" s="36">
        <f t="shared" si="60"/>
        <v>0</v>
      </c>
      <c r="R175" s="36">
        <f t="shared" si="75"/>
        <v>0</v>
      </c>
      <c r="S175" s="63">
        <v>0</v>
      </c>
      <c r="T175" s="37">
        <f t="shared" si="61"/>
        <v>2.4</v>
      </c>
      <c r="U175" s="9">
        <f t="shared" si="62"/>
        <v>140.81</v>
      </c>
      <c r="V175" s="62">
        <v>535729511</v>
      </c>
      <c r="W175" s="63">
        <v>1417</v>
      </c>
      <c r="X175" s="18">
        <f t="shared" si="63"/>
        <v>378073.05</v>
      </c>
      <c r="Y175" s="38">
        <f t="shared" si="64"/>
        <v>2.0894789999999999</v>
      </c>
      <c r="Z175" s="63">
        <v>90865</v>
      </c>
      <c r="AA175" s="38">
        <f t="shared" si="65"/>
        <v>0.82434099999999999</v>
      </c>
      <c r="AB175" s="38">
        <f t="shared" si="66"/>
        <v>-0.70993799999999996</v>
      </c>
      <c r="AC175" s="39">
        <f t="shared" si="67"/>
        <v>0.01</v>
      </c>
      <c r="AD175" s="39">
        <f t="shared" si="78"/>
        <v>0.01</v>
      </c>
      <c r="AE175" s="63">
        <v>142</v>
      </c>
      <c r="AF175" s="40">
        <v>13</v>
      </c>
      <c r="AG175" s="9">
        <f t="shared" si="68"/>
        <v>100</v>
      </c>
      <c r="AH175" s="11">
        <f t="shared" si="69"/>
        <v>14200</v>
      </c>
      <c r="AI175" s="11">
        <f t="shared" si="70"/>
        <v>16228</v>
      </c>
      <c r="AJ175" s="11">
        <f t="shared" si="71"/>
        <v>30428</v>
      </c>
      <c r="AK175" s="36">
        <v>33205</v>
      </c>
      <c r="AL175" s="36">
        <f t="shared" si="76"/>
        <v>-2777</v>
      </c>
      <c r="AM175" s="59">
        <f t="shared" si="72"/>
        <v>30428</v>
      </c>
      <c r="AN175" s="59">
        <f t="shared" si="73"/>
        <v>-2777</v>
      </c>
      <c r="AO175" s="60">
        <f t="shared" si="74"/>
        <v>32510.75</v>
      </c>
      <c r="AP175" s="36"/>
      <c r="AQ175" s="22"/>
      <c r="AS175" s="22"/>
      <c r="AT175" s="22"/>
      <c r="AX175" s="22"/>
      <c r="AY175" s="22"/>
      <c r="AZ175" s="22"/>
      <c r="BA175" s="22"/>
      <c r="BB175" s="22"/>
    </row>
    <row r="176" spans="1:54" x14ac:dyDescent="0.25">
      <c r="A176" s="8" t="s">
        <v>125</v>
      </c>
      <c r="B176" s="8"/>
      <c r="C176" s="26"/>
      <c r="D176" s="26"/>
      <c r="E176" s="26"/>
      <c r="F176" s="1">
        <v>1</v>
      </c>
      <c r="G176" s="57">
        <v>129.98329043510034</v>
      </c>
      <c r="H176" s="8">
        <v>150</v>
      </c>
      <c r="I176" s="3" t="s">
        <v>283</v>
      </c>
      <c r="J176" s="13">
        <f t="shared" si="57"/>
        <v>0</v>
      </c>
      <c r="K176" s="62">
        <v>275.77999999999997</v>
      </c>
      <c r="L176" s="36"/>
      <c r="M176" s="35"/>
      <c r="N176" s="63">
        <v>40</v>
      </c>
      <c r="O176" s="58">
        <f t="shared" si="58"/>
        <v>0.14504315033722534</v>
      </c>
      <c r="P176" s="58">
        <f t="shared" si="59"/>
        <v>0</v>
      </c>
      <c r="Q176" s="36">
        <f t="shared" si="60"/>
        <v>0</v>
      </c>
      <c r="R176" s="36">
        <f t="shared" si="75"/>
        <v>0</v>
      </c>
      <c r="S176" s="63">
        <v>11</v>
      </c>
      <c r="T176" s="37">
        <f t="shared" si="61"/>
        <v>12</v>
      </c>
      <c r="U176" s="9">
        <f t="shared" si="62"/>
        <v>289.42999999999995</v>
      </c>
      <c r="V176" s="62">
        <v>1698943529</v>
      </c>
      <c r="W176" s="63">
        <v>3466</v>
      </c>
      <c r="X176" s="18">
        <f t="shared" si="63"/>
        <v>490174.13</v>
      </c>
      <c r="Y176" s="38">
        <f t="shared" si="64"/>
        <v>2.7090230000000002</v>
      </c>
      <c r="Z176" s="63">
        <v>81354</v>
      </c>
      <c r="AA176" s="38">
        <f t="shared" si="65"/>
        <v>0.73805500000000002</v>
      </c>
      <c r="AB176" s="38">
        <f t="shared" si="66"/>
        <v>-1.1177330000000001</v>
      </c>
      <c r="AC176" s="39">
        <f t="shared" si="67"/>
        <v>0.01</v>
      </c>
      <c r="AD176" s="39">
        <f t="shared" si="78"/>
        <v>0.01</v>
      </c>
      <c r="AE176" s="63">
        <v>272</v>
      </c>
      <c r="AF176" s="40">
        <v>13</v>
      </c>
      <c r="AG176" s="9">
        <f t="shared" si="68"/>
        <v>100</v>
      </c>
      <c r="AH176" s="11">
        <f t="shared" si="69"/>
        <v>27200</v>
      </c>
      <c r="AI176" s="11">
        <f t="shared" si="70"/>
        <v>33357</v>
      </c>
      <c r="AJ176" s="11">
        <f t="shared" si="71"/>
        <v>60557</v>
      </c>
      <c r="AK176" s="36">
        <v>50646</v>
      </c>
      <c r="AL176" s="36">
        <f t="shared" si="76"/>
        <v>9911</v>
      </c>
      <c r="AM176" s="59">
        <f t="shared" si="72"/>
        <v>60557</v>
      </c>
      <c r="AN176" s="59">
        <f t="shared" si="73"/>
        <v>9911</v>
      </c>
      <c r="AO176" s="60">
        <f t="shared" si="74"/>
        <v>51052.351000000002</v>
      </c>
      <c r="AP176" s="36"/>
      <c r="AQ176" s="22"/>
      <c r="AS176" s="22"/>
      <c r="AT176" s="22"/>
      <c r="AX176" s="22"/>
      <c r="AY176" s="22"/>
      <c r="AZ176" s="22"/>
      <c r="BA176" s="22"/>
      <c r="BB176" s="22"/>
    </row>
    <row r="177" spans="1:54" x14ac:dyDescent="0.25">
      <c r="A177" s="8" t="s">
        <v>145</v>
      </c>
      <c r="B177" s="8">
        <v>1</v>
      </c>
      <c r="C177" s="26">
        <v>1</v>
      </c>
      <c r="D177" s="26">
        <v>0</v>
      </c>
      <c r="E177" s="26">
        <v>1</v>
      </c>
      <c r="F177" s="1">
        <v>10</v>
      </c>
      <c r="G177" s="61">
        <v>402.68181951801034</v>
      </c>
      <c r="H177" s="8">
        <v>151</v>
      </c>
      <c r="I177" s="3" t="s">
        <v>284</v>
      </c>
      <c r="J177" s="13">
        <f t="shared" si="57"/>
        <v>0</v>
      </c>
      <c r="K177" s="62">
        <v>18426.87</v>
      </c>
      <c r="L177" s="36"/>
      <c r="M177" s="35"/>
      <c r="N177" s="63">
        <v>13452</v>
      </c>
      <c r="O177" s="58">
        <f t="shared" si="58"/>
        <v>0.73002088797500608</v>
      </c>
      <c r="P177" s="58">
        <f t="shared" si="59"/>
        <v>0</v>
      </c>
      <c r="Q177" s="36">
        <f t="shared" si="60"/>
        <v>0</v>
      </c>
      <c r="R177" s="36">
        <f t="shared" si="75"/>
        <v>0</v>
      </c>
      <c r="S177" s="63">
        <v>2604</v>
      </c>
      <c r="T177" s="37">
        <f t="shared" si="61"/>
        <v>4035.6</v>
      </c>
      <c r="U177" s="9">
        <f t="shared" si="62"/>
        <v>22853.069999999996</v>
      </c>
      <c r="V177" s="62">
        <v>5688486825.3299999</v>
      </c>
      <c r="W177" s="63">
        <v>108802</v>
      </c>
      <c r="X177" s="18">
        <f t="shared" si="63"/>
        <v>52282.93</v>
      </c>
      <c r="Y177" s="38">
        <f t="shared" si="64"/>
        <v>0.28894999999999998</v>
      </c>
      <c r="Z177" s="63">
        <v>40467</v>
      </c>
      <c r="AA177" s="38">
        <f t="shared" si="65"/>
        <v>0.36712299999999998</v>
      </c>
      <c r="AB177" s="38">
        <f t="shared" si="66"/>
        <v>0.68759800000000004</v>
      </c>
      <c r="AC177" s="39">
        <f t="shared" si="67"/>
        <v>0.68759800000000004</v>
      </c>
      <c r="AD177" s="39">
        <f>IF(G177&gt;300,+AC177+$AD$16,AC177)</f>
        <v>0.74759799999999998</v>
      </c>
      <c r="AE177" s="63">
        <v>0</v>
      </c>
      <c r="AF177" s="40">
        <v>0</v>
      </c>
      <c r="AG177" s="9">
        <f t="shared" si="68"/>
        <v>0</v>
      </c>
      <c r="AH177" s="11">
        <f t="shared" si="69"/>
        <v>0</v>
      </c>
      <c r="AI177" s="11">
        <f t="shared" si="70"/>
        <v>196903581</v>
      </c>
      <c r="AJ177" s="11">
        <f t="shared" si="71"/>
        <v>196903581</v>
      </c>
      <c r="AK177" s="36">
        <v>133606066</v>
      </c>
      <c r="AL177" s="36">
        <f t="shared" si="76"/>
        <v>63297515</v>
      </c>
      <c r="AM177" s="59">
        <f t="shared" si="72"/>
        <v>196903581</v>
      </c>
      <c r="AN177" s="59">
        <f t="shared" si="73"/>
        <v>63297515</v>
      </c>
      <c r="AO177" s="60">
        <f t="shared" si="74"/>
        <v>136201264.11500001</v>
      </c>
      <c r="AP177" s="36"/>
      <c r="AQ177" s="22"/>
      <c r="AS177" s="22"/>
      <c r="AT177" s="22"/>
      <c r="AX177" s="22"/>
      <c r="AY177" s="22"/>
      <c r="AZ177" s="22"/>
      <c r="BA177" s="22"/>
      <c r="BB177" s="22"/>
    </row>
    <row r="178" spans="1:54" x14ac:dyDescent="0.25">
      <c r="A178" s="8" t="s">
        <v>135</v>
      </c>
      <c r="B178" s="8"/>
      <c r="C178" s="26"/>
      <c r="D178" s="26"/>
      <c r="E178" s="26"/>
      <c r="F178" s="1">
        <v>2</v>
      </c>
      <c r="G178" s="57">
        <v>220.94062236969006</v>
      </c>
      <c r="H178" s="8">
        <v>152</v>
      </c>
      <c r="I178" s="3" t="s">
        <v>285</v>
      </c>
      <c r="J178" s="13">
        <f t="shared" si="57"/>
        <v>0</v>
      </c>
      <c r="K178" s="62">
        <v>2800.24</v>
      </c>
      <c r="L178" s="36"/>
      <c r="M178" s="35"/>
      <c r="N178" s="63">
        <v>595</v>
      </c>
      <c r="O178" s="58">
        <f t="shared" si="58"/>
        <v>0.21248178727537642</v>
      </c>
      <c r="P178" s="58">
        <f t="shared" si="59"/>
        <v>0</v>
      </c>
      <c r="Q178" s="36">
        <f t="shared" si="60"/>
        <v>0</v>
      </c>
      <c r="R178" s="36">
        <f t="shared" si="75"/>
        <v>0</v>
      </c>
      <c r="S178" s="63">
        <v>58</v>
      </c>
      <c r="T178" s="37">
        <f t="shared" si="61"/>
        <v>178.5</v>
      </c>
      <c r="U178" s="9">
        <f t="shared" si="62"/>
        <v>2987.4399999999996</v>
      </c>
      <c r="V178" s="62">
        <v>4591077946.6700001</v>
      </c>
      <c r="W178" s="63">
        <v>19281</v>
      </c>
      <c r="X178" s="18">
        <f t="shared" si="63"/>
        <v>238114.1</v>
      </c>
      <c r="Y178" s="38">
        <f t="shared" si="64"/>
        <v>1.315974</v>
      </c>
      <c r="Z178" s="63">
        <v>75956</v>
      </c>
      <c r="AA178" s="38">
        <f t="shared" si="65"/>
        <v>0.68908400000000003</v>
      </c>
      <c r="AB178" s="38">
        <f t="shared" si="66"/>
        <v>-0.12790699999999999</v>
      </c>
      <c r="AC178" s="39">
        <f t="shared" si="67"/>
        <v>0.01</v>
      </c>
      <c r="AD178" s="39">
        <f>IF(G178&gt;300,+AC178+$AD$17,AC178)</f>
        <v>0.01</v>
      </c>
      <c r="AE178" s="63">
        <v>0</v>
      </c>
      <c r="AF178" s="40">
        <v>0</v>
      </c>
      <c r="AG178" s="9">
        <f t="shared" si="68"/>
        <v>0</v>
      </c>
      <c r="AH178" s="11">
        <f t="shared" si="69"/>
        <v>0</v>
      </c>
      <c r="AI178" s="11">
        <f t="shared" si="70"/>
        <v>344302</v>
      </c>
      <c r="AJ178" s="11">
        <f t="shared" si="71"/>
        <v>344302</v>
      </c>
      <c r="AK178" s="36">
        <v>321279</v>
      </c>
      <c r="AL178" s="36">
        <f t="shared" si="76"/>
        <v>23023</v>
      </c>
      <c r="AM178" s="59">
        <f t="shared" si="72"/>
        <v>344302</v>
      </c>
      <c r="AN178" s="59">
        <f t="shared" si="73"/>
        <v>23023</v>
      </c>
      <c r="AO178" s="60">
        <f t="shared" si="74"/>
        <v>322222.94300000003</v>
      </c>
      <c r="AP178" s="36"/>
      <c r="AQ178" s="22"/>
      <c r="AS178" s="22"/>
      <c r="AT178" s="22"/>
      <c r="AX178" s="22"/>
      <c r="AY178" s="22"/>
      <c r="AZ178" s="22"/>
      <c r="BA178" s="22"/>
      <c r="BB178" s="22"/>
    </row>
    <row r="179" spans="1:54" x14ac:dyDescent="0.25">
      <c r="A179" s="8" t="s">
        <v>135</v>
      </c>
      <c r="B179" s="8"/>
      <c r="C179" s="26"/>
      <c r="D179" s="26"/>
      <c r="E179" s="26"/>
      <c r="F179" s="1">
        <v>7</v>
      </c>
      <c r="G179" s="57">
        <v>236.48455696059608</v>
      </c>
      <c r="H179" s="8">
        <v>153</v>
      </c>
      <c r="I179" s="3" t="s">
        <v>286</v>
      </c>
      <c r="J179" s="13">
        <f t="shared" si="57"/>
        <v>0</v>
      </c>
      <c r="K179" s="62">
        <v>2805.18</v>
      </c>
      <c r="L179" s="36"/>
      <c r="M179" s="35"/>
      <c r="N179" s="63">
        <v>739</v>
      </c>
      <c r="O179" s="58">
        <f t="shared" si="58"/>
        <v>0.26344120519895337</v>
      </c>
      <c r="P179" s="58">
        <f t="shared" si="59"/>
        <v>0</v>
      </c>
      <c r="Q179" s="36">
        <f t="shared" si="60"/>
        <v>0</v>
      </c>
      <c r="R179" s="36">
        <f t="shared" si="75"/>
        <v>0</v>
      </c>
      <c r="S179" s="63">
        <v>77</v>
      </c>
      <c r="T179" s="37">
        <f t="shared" si="61"/>
        <v>221.7</v>
      </c>
      <c r="U179" s="9">
        <f t="shared" si="62"/>
        <v>3038.43</v>
      </c>
      <c r="V179" s="62">
        <v>2560867012</v>
      </c>
      <c r="W179" s="63">
        <v>21911</v>
      </c>
      <c r="X179" s="18">
        <f t="shared" si="63"/>
        <v>116875.86</v>
      </c>
      <c r="Y179" s="38">
        <f t="shared" si="64"/>
        <v>0.64593299999999998</v>
      </c>
      <c r="Z179" s="63">
        <v>78722</v>
      </c>
      <c r="AA179" s="38">
        <f t="shared" si="65"/>
        <v>0.71417699999999995</v>
      </c>
      <c r="AB179" s="38">
        <f t="shared" si="66"/>
        <v>0.333594</v>
      </c>
      <c r="AC179" s="39">
        <f t="shared" si="67"/>
        <v>0.333594</v>
      </c>
      <c r="AD179" s="39">
        <f>IF(G179&gt;300,+AC179+$AD$17,AC179)</f>
        <v>0.333594</v>
      </c>
      <c r="AE179" s="63">
        <v>0</v>
      </c>
      <c r="AF179" s="40">
        <v>0</v>
      </c>
      <c r="AG179" s="9">
        <f t="shared" si="68"/>
        <v>0</v>
      </c>
      <c r="AH179" s="11">
        <f t="shared" si="69"/>
        <v>0</v>
      </c>
      <c r="AI179" s="11">
        <f t="shared" si="70"/>
        <v>11681763</v>
      </c>
      <c r="AJ179" s="11">
        <f t="shared" si="71"/>
        <v>11681763</v>
      </c>
      <c r="AK179" s="36">
        <v>11753175</v>
      </c>
      <c r="AL179" s="36">
        <f t="shared" si="76"/>
        <v>-71412</v>
      </c>
      <c r="AM179" s="59">
        <f t="shared" si="72"/>
        <v>11681763</v>
      </c>
      <c r="AN179" s="59">
        <f t="shared" si="73"/>
        <v>-71412</v>
      </c>
      <c r="AO179" s="60">
        <f t="shared" si="74"/>
        <v>11735322</v>
      </c>
      <c r="AP179" s="36"/>
      <c r="AQ179" s="22"/>
      <c r="AS179" s="22"/>
      <c r="AT179" s="22"/>
      <c r="AX179" s="22"/>
      <c r="AY179" s="22"/>
      <c r="AZ179" s="22"/>
      <c r="BA179" s="22"/>
      <c r="BB179" s="22"/>
    </row>
    <row r="180" spans="1:54" x14ac:dyDescent="0.25">
      <c r="A180" s="8" t="s">
        <v>129</v>
      </c>
      <c r="B180" s="8"/>
      <c r="C180" s="26"/>
      <c r="D180" s="26"/>
      <c r="E180" s="26"/>
      <c r="F180" s="1">
        <v>2</v>
      </c>
      <c r="G180" s="57">
        <v>204.48422680006027</v>
      </c>
      <c r="H180" s="8">
        <v>154</v>
      </c>
      <c r="I180" s="3" t="s">
        <v>287</v>
      </c>
      <c r="J180" s="13">
        <f t="shared" si="57"/>
        <v>0</v>
      </c>
      <c r="K180" s="62">
        <v>742.26</v>
      </c>
      <c r="L180" s="36"/>
      <c r="M180" s="35"/>
      <c r="N180" s="63">
        <v>137</v>
      </c>
      <c r="O180" s="58">
        <f t="shared" si="58"/>
        <v>0.18457144396842076</v>
      </c>
      <c r="P180" s="58">
        <f t="shared" si="59"/>
        <v>0</v>
      </c>
      <c r="Q180" s="36">
        <f t="shared" si="60"/>
        <v>0</v>
      </c>
      <c r="R180" s="36">
        <f t="shared" si="75"/>
        <v>0</v>
      </c>
      <c r="S180" s="63">
        <v>69</v>
      </c>
      <c r="T180" s="37">
        <f t="shared" si="61"/>
        <v>41.1</v>
      </c>
      <c r="U180" s="9">
        <f t="shared" si="62"/>
        <v>793.71</v>
      </c>
      <c r="V180" s="62">
        <v>1793236831.6700001</v>
      </c>
      <c r="W180" s="63">
        <v>6902</v>
      </c>
      <c r="X180" s="18">
        <f t="shared" si="63"/>
        <v>259814.09</v>
      </c>
      <c r="Y180" s="38">
        <f t="shared" si="64"/>
        <v>1.4359029999999999</v>
      </c>
      <c r="Z180" s="63">
        <v>78346</v>
      </c>
      <c r="AA180" s="38">
        <f t="shared" si="65"/>
        <v>0.71076600000000001</v>
      </c>
      <c r="AB180" s="38">
        <f t="shared" si="66"/>
        <v>-0.218362</v>
      </c>
      <c r="AC180" s="39">
        <f t="shared" si="67"/>
        <v>0.01</v>
      </c>
      <c r="AD180" s="39">
        <f>IF(G180&gt;300,+AC180+$AD$17,AC180)</f>
        <v>0.01</v>
      </c>
      <c r="AE180" s="63">
        <v>0</v>
      </c>
      <c r="AF180" s="40">
        <v>0</v>
      </c>
      <c r="AG180" s="9">
        <f t="shared" si="68"/>
        <v>0</v>
      </c>
      <c r="AH180" s="11">
        <f t="shared" si="69"/>
        <v>0</v>
      </c>
      <c r="AI180" s="11">
        <f t="shared" si="70"/>
        <v>91475</v>
      </c>
      <c r="AJ180" s="11">
        <f t="shared" si="71"/>
        <v>91475</v>
      </c>
      <c r="AK180" s="36">
        <v>70393</v>
      </c>
      <c r="AL180" s="36">
        <f t="shared" si="76"/>
        <v>21082</v>
      </c>
      <c r="AM180" s="59">
        <f t="shared" si="72"/>
        <v>91475</v>
      </c>
      <c r="AN180" s="59">
        <f t="shared" si="73"/>
        <v>21082</v>
      </c>
      <c r="AO180" s="60">
        <f t="shared" si="74"/>
        <v>71257.361999999994</v>
      </c>
      <c r="AP180" s="36"/>
      <c r="AQ180" s="22"/>
      <c r="AS180" s="22"/>
      <c r="AT180" s="22"/>
      <c r="AX180" s="22"/>
      <c r="AY180" s="22"/>
      <c r="AZ180" s="22"/>
      <c r="BA180" s="22"/>
      <c r="BB180" s="22"/>
    </row>
    <row r="181" spans="1:54" x14ac:dyDescent="0.25">
      <c r="A181" s="8" t="s">
        <v>131</v>
      </c>
      <c r="B181" s="8"/>
      <c r="C181" s="26"/>
      <c r="D181" s="26"/>
      <c r="E181" s="26"/>
      <c r="F181" s="1">
        <v>7</v>
      </c>
      <c r="G181" s="61">
        <v>222.4127320726532</v>
      </c>
      <c r="H181" s="8">
        <v>155</v>
      </c>
      <c r="I181" s="3" t="s">
        <v>288</v>
      </c>
      <c r="J181" s="13">
        <f t="shared" si="57"/>
        <v>0</v>
      </c>
      <c r="K181" s="62">
        <v>10007.85</v>
      </c>
      <c r="L181" s="36"/>
      <c r="M181" s="35"/>
      <c r="N181" s="63">
        <v>2018</v>
      </c>
      <c r="O181" s="58">
        <f t="shared" si="58"/>
        <v>0.20164171125666353</v>
      </c>
      <c r="P181" s="58">
        <f t="shared" si="59"/>
        <v>0</v>
      </c>
      <c r="Q181" s="36">
        <f t="shared" si="60"/>
        <v>0</v>
      </c>
      <c r="R181" s="36">
        <f t="shared" si="75"/>
        <v>0</v>
      </c>
      <c r="S181" s="63">
        <v>573</v>
      </c>
      <c r="T181" s="37">
        <f t="shared" si="61"/>
        <v>605.4</v>
      </c>
      <c r="U181" s="9">
        <f t="shared" si="62"/>
        <v>10699.2</v>
      </c>
      <c r="V181" s="62">
        <v>9243892093.6700001</v>
      </c>
      <c r="W181" s="63">
        <v>63053</v>
      </c>
      <c r="X181" s="18">
        <f t="shared" si="63"/>
        <v>146605.10999999999</v>
      </c>
      <c r="Y181" s="38">
        <f t="shared" si="64"/>
        <v>0.81023599999999996</v>
      </c>
      <c r="Z181" s="63">
        <v>86569</v>
      </c>
      <c r="AA181" s="38">
        <f t="shared" si="65"/>
        <v>0.78536700000000004</v>
      </c>
      <c r="AB181" s="38">
        <f t="shared" si="66"/>
        <v>0.19722500000000001</v>
      </c>
      <c r="AC181" s="39">
        <f t="shared" si="67"/>
        <v>0.19722500000000001</v>
      </c>
      <c r="AD181" s="39">
        <f>IF(G181&gt;300,+AC181+$AD$17,AC181)</f>
        <v>0.19722500000000001</v>
      </c>
      <c r="AE181" s="63">
        <v>0</v>
      </c>
      <c r="AF181" s="40">
        <v>0</v>
      </c>
      <c r="AG181" s="9">
        <f t="shared" si="68"/>
        <v>0</v>
      </c>
      <c r="AH181" s="11">
        <f t="shared" si="69"/>
        <v>0</v>
      </c>
      <c r="AI181" s="11">
        <f t="shared" si="70"/>
        <v>24319476</v>
      </c>
      <c r="AJ181" s="11">
        <f t="shared" si="71"/>
        <v>24319476</v>
      </c>
      <c r="AK181" s="36">
        <v>20961352</v>
      </c>
      <c r="AL181" s="36">
        <f t="shared" si="76"/>
        <v>3358124</v>
      </c>
      <c r="AM181" s="59">
        <f t="shared" si="72"/>
        <v>24319476</v>
      </c>
      <c r="AN181" s="59">
        <f t="shared" si="73"/>
        <v>3358124</v>
      </c>
      <c r="AO181" s="60">
        <f t="shared" si="74"/>
        <v>21099035.083999999</v>
      </c>
      <c r="AP181" s="36"/>
      <c r="AQ181" s="22"/>
      <c r="AS181" s="22"/>
      <c r="AT181" s="22"/>
      <c r="AX181" s="22"/>
      <c r="AY181" s="22"/>
      <c r="AZ181" s="22"/>
      <c r="BA181" s="22"/>
      <c r="BB181" s="22"/>
    </row>
    <row r="182" spans="1:54" x14ac:dyDescent="0.25">
      <c r="A182" s="8" t="s">
        <v>127</v>
      </c>
      <c r="B182" s="8"/>
      <c r="C182" s="26">
        <v>1</v>
      </c>
      <c r="D182" s="26">
        <v>1</v>
      </c>
      <c r="E182" s="26"/>
      <c r="F182" s="1">
        <v>10</v>
      </c>
      <c r="G182" s="61">
        <v>311.06056394251897</v>
      </c>
      <c r="H182" s="8">
        <v>156</v>
      </c>
      <c r="I182" s="3" t="s">
        <v>289</v>
      </c>
      <c r="J182" s="13">
        <f t="shared" si="57"/>
        <v>0</v>
      </c>
      <c r="K182" s="62">
        <v>6952.01</v>
      </c>
      <c r="L182" s="36"/>
      <c r="M182" s="35"/>
      <c r="N182" s="63">
        <v>4384</v>
      </c>
      <c r="O182" s="58">
        <f t="shared" si="58"/>
        <v>0.63060898934265053</v>
      </c>
      <c r="P182" s="58">
        <f t="shared" si="59"/>
        <v>0</v>
      </c>
      <c r="Q182" s="36">
        <f t="shared" si="60"/>
        <v>0</v>
      </c>
      <c r="R182" s="36">
        <f t="shared" si="75"/>
        <v>0</v>
      </c>
      <c r="S182" s="63">
        <v>838</v>
      </c>
      <c r="T182" s="37">
        <f t="shared" si="61"/>
        <v>1315.2</v>
      </c>
      <c r="U182" s="9">
        <f t="shared" si="62"/>
        <v>8392.9100000000017</v>
      </c>
      <c r="V182" s="62">
        <v>3855578408.6700001</v>
      </c>
      <c r="W182" s="63">
        <v>54927</v>
      </c>
      <c r="X182" s="18">
        <f t="shared" si="63"/>
        <v>70194.59</v>
      </c>
      <c r="Y182" s="38">
        <f t="shared" si="64"/>
        <v>0.38794099999999998</v>
      </c>
      <c r="Z182" s="63">
        <v>50846</v>
      </c>
      <c r="AA182" s="38">
        <f t="shared" si="65"/>
        <v>0.46128200000000003</v>
      </c>
      <c r="AB182" s="38">
        <f t="shared" si="66"/>
        <v>0.59005700000000005</v>
      </c>
      <c r="AC182" s="39">
        <f t="shared" si="67"/>
        <v>0.59005700000000005</v>
      </c>
      <c r="AD182" s="39">
        <f>IF(G182&gt;300,+AC182+$AD$18,AC182)</f>
        <v>0.63005700000000009</v>
      </c>
      <c r="AE182" s="63">
        <v>0</v>
      </c>
      <c r="AF182" s="40">
        <v>0</v>
      </c>
      <c r="AG182" s="9">
        <f t="shared" si="68"/>
        <v>0</v>
      </c>
      <c r="AH182" s="11">
        <f t="shared" si="69"/>
        <v>0</v>
      </c>
      <c r="AI182" s="11">
        <f t="shared" si="70"/>
        <v>60944335</v>
      </c>
      <c r="AJ182" s="11">
        <f t="shared" si="71"/>
        <v>60944335</v>
      </c>
      <c r="AK182" s="36">
        <v>45140487</v>
      </c>
      <c r="AL182" s="36">
        <f t="shared" si="76"/>
        <v>15803848</v>
      </c>
      <c r="AM182" s="59">
        <f t="shared" si="72"/>
        <v>60944335</v>
      </c>
      <c r="AN182" s="59">
        <f t="shared" si="73"/>
        <v>15803848</v>
      </c>
      <c r="AO182" s="60">
        <f t="shared" si="74"/>
        <v>45788444.767999999</v>
      </c>
      <c r="AP182" s="36"/>
      <c r="AQ182" s="22"/>
      <c r="AS182" s="22"/>
      <c r="AT182" s="22"/>
      <c r="AX182" s="22"/>
      <c r="AY182" s="22"/>
      <c r="AZ182" s="22"/>
      <c r="BA182" s="22"/>
      <c r="BB182" s="22"/>
    </row>
    <row r="183" spans="1:54" x14ac:dyDescent="0.25">
      <c r="A183" s="8" t="s">
        <v>167</v>
      </c>
      <c r="B183" s="8"/>
      <c r="C183" s="26"/>
      <c r="D183" s="26"/>
      <c r="E183" s="26"/>
      <c r="F183" s="1">
        <v>1</v>
      </c>
      <c r="G183" s="57">
        <v>110.49630038351826</v>
      </c>
      <c r="H183" s="8">
        <v>157</v>
      </c>
      <c r="I183" s="3" t="s">
        <v>290</v>
      </c>
      <c r="J183" s="13">
        <f t="shared" si="57"/>
        <v>0</v>
      </c>
      <c r="K183" s="62">
        <v>2310.86</v>
      </c>
      <c r="L183" s="36"/>
      <c r="M183" s="35"/>
      <c r="N183" s="63">
        <v>49</v>
      </c>
      <c r="O183" s="58">
        <f t="shared" si="58"/>
        <v>2.1204226997741101E-2</v>
      </c>
      <c r="P183" s="58">
        <f t="shared" si="59"/>
        <v>0</v>
      </c>
      <c r="Q183" s="36">
        <f t="shared" si="60"/>
        <v>0</v>
      </c>
      <c r="R183" s="36">
        <f t="shared" si="75"/>
        <v>0</v>
      </c>
      <c r="S183" s="63">
        <v>18</v>
      </c>
      <c r="T183" s="37">
        <f t="shared" si="61"/>
        <v>14.7</v>
      </c>
      <c r="U183" s="9">
        <f t="shared" si="62"/>
        <v>2328.2599999999998</v>
      </c>
      <c r="V183" s="62">
        <v>3484328221.6700001</v>
      </c>
      <c r="W183" s="63">
        <v>10387</v>
      </c>
      <c r="X183" s="18">
        <f t="shared" si="63"/>
        <v>335450.87</v>
      </c>
      <c r="Y183" s="38">
        <f t="shared" si="64"/>
        <v>1.8539209999999999</v>
      </c>
      <c r="Z183" s="63">
        <v>217171</v>
      </c>
      <c r="AA183" s="38">
        <f t="shared" si="65"/>
        <v>1.970207</v>
      </c>
      <c r="AB183" s="38">
        <f t="shared" si="66"/>
        <v>-0.88880700000000001</v>
      </c>
      <c r="AC183" s="39">
        <f t="shared" si="67"/>
        <v>0.01</v>
      </c>
      <c r="AD183" s="39">
        <f t="shared" ref="AD183:AD195" si="79">IF(G183&gt;300,+AC183+$AD$17,AC183)</f>
        <v>0.01</v>
      </c>
      <c r="AE183" s="63">
        <v>0</v>
      </c>
      <c r="AF183" s="40">
        <v>0</v>
      </c>
      <c r="AG183" s="9">
        <f t="shared" si="68"/>
        <v>0</v>
      </c>
      <c r="AH183" s="11">
        <f t="shared" si="69"/>
        <v>0</v>
      </c>
      <c r="AI183" s="11">
        <f t="shared" si="70"/>
        <v>268332</v>
      </c>
      <c r="AJ183" s="11">
        <f t="shared" si="71"/>
        <v>268332</v>
      </c>
      <c r="AK183" s="36">
        <v>263431</v>
      </c>
      <c r="AL183" s="36">
        <f t="shared" si="76"/>
        <v>4901</v>
      </c>
      <c r="AM183" s="59">
        <f t="shared" si="72"/>
        <v>268332</v>
      </c>
      <c r="AN183" s="59">
        <f t="shared" si="73"/>
        <v>4901</v>
      </c>
      <c r="AO183" s="60">
        <f t="shared" si="74"/>
        <v>263631.94099999999</v>
      </c>
      <c r="AP183" s="36"/>
      <c r="AQ183" s="22"/>
      <c r="AS183" s="22"/>
      <c r="AT183" s="22"/>
      <c r="AX183" s="22"/>
      <c r="AY183" s="22"/>
      <c r="AZ183" s="22"/>
      <c r="BA183" s="22"/>
      <c r="BB183" s="22"/>
    </row>
    <row r="184" spans="1:54" x14ac:dyDescent="0.25">
      <c r="A184" s="8" t="s">
        <v>167</v>
      </c>
      <c r="B184" s="8"/>
      <c r="C184" s="26"/>
      <c r="D184" s="26"/>
      <c r="E184" s="26"/>
      <c r="F184" s="1">
        <v>1</v>
      </c>
      <c r="G184" s="57">
        <v>60.355788058475099</v>
      </c>
      <c r="H184" s="8">
        <v>158</v>
      </c>
      <c r="I184" s="3" t="s">
        <v>291</v>
      </c>
      <c r="J184" s="13">
        <f t="shared" si="57"/>
        <v>0</v>
      </c>
      <c r="K184" s="62">
        <v>5588.43</v>
      </c>
      <c r="L184" s="36"/>
      <c r="M184" s="35"/>
      <c r="N184" s="63">
        <v>178</v>
      </c>
      <c r="O184" s="58">
        <f t="shared" si="58"/>
        <v>3.185152180487185E-2</v>
      </c>
      <c r="P184" s="58">
        <f t="shared" si="59"/>
        <v>0</v>
      </c>
      <c r="Q184" s="36">
        <f t="shared" si="60"/>
        <v>0</v>
      </c>
      <c r="R184" s="36">
        <f t="shared" si="75"/>
        <v>0</v>
      </c>
      <c r="S184" s="63">
        <v>56</v>
      </c>
      <c r="T184" s="37">
        <f t="shared" si="61"/>
        <v>53.4</v>
      </c>
      <c r="U184" s="9">
        <f t="shared" si="62"/>
        <v>5650.23</v>
      </c>
      <c r="V184" s="62">
        <v>16077959554.33</v>
      </c>
      <c r="W184" s="63">
        <v>27899</v>
      </c>
      <c r="X184" s="18">
        <f t="shared" si="63"/>
        <v>576291.61</v>
      </c>
      <c r="Y184" s="38">
        <f t="shared" si="64"/>
        <v>3.184965</v>
      </c>
      <c r="Z184" s="63">
        <v>162907</v>
      </c>
      <c r="AA184" s="38">
        <f t="shared" si="65"/>
        <v>1.477916</v>
      </c>
      <c r="AB184" s="38">
        <f t="shared" si="66"/>
        <v>-1.6728499999999999</v>
      </c>
      <c r="AC184" s="39">
        <f t="shared" si="67"/>
        <v>0.01</v>
      </c>
      <c r="AD184" s="39">
        <f t="shared" si="79"/>
        <v>0.01</v>
      </c>
      <c r="AE184" s="63">
        <v>0</v>
      </c>
      <c r="AF184" s="40">
        <v>0</v>
      </c>
      <c r="AG184" s="9">
        <f t="shared" si="68"/>
        <v>0</v>
      </c>
      <c r="AH184" s="11">
        <f t="shared" si="69"/>
        <v>0</v>
      </c>
      <c r="AI184" s="11">
        <f t="shared" si="70"/>
        <v>651189</v>
      </c>
      <c r="AJ184" s="11">
        <f t="shared" si="71"/>
        <v>651189</v>
      </c>
      <c r="AK184" s="36">
        <v>465334</v>
      </c>
      <c r="AL184" s="36">
        <f t="shared" si="76"/>
        <v>185855</v>
      </c>
      <c r="AM184" s="59">
        <f t="shared" si="72"/>
        <v>651189</v>
      </c>
      <c r="AN184" s="59">
        <f t="shared" si="73"/>
        <v>185855</v>
      </c>
      <c r="AO184" s="60">
        <f t="shared" si="74"/>
        <v>472954.05499999999</v>
      </c>
      <c r="AP184" s="36"/>
      <c r="AQ184" s="22"/>
      <c r="AS184" s="22"/>
      <c r="AT184" s="22"/>
      <c r="AX184" s="22"/>
      <c r="AY184" s="22"/>
      <c r="AZ184" s="22"/>
      <c r="BA184" s="22"/>
      <c r="BB184" s="22"/>
    </row>
    <row r="185" spans="1:54" x14ac:dyDescent="0.25">
      <c r="A185" s="8" t="s">
        <v>135</v>
      </c>
      <c r="B185" s="8"/>
      <c r="C185" s="26"/>
      <c r="D185" s="26"/>
      <c r="E185" s="26"/>
      <c r="F185" s="1">
        <v>8</v>
      </c>
      <c r="G185" s="57">
        <v>247.57193211911547</v>
      </c>
      <c r="H185" s="8">
        <v>159</v>
      </c>
      <c r="I185" s="3" t="s">
        <v>292</v>
      </c>
      <c r="J185" s="13">
        <f t="shared" si="57"/>
        <v>0</v>
      </c>
      <c r="K185" s="62">
        <v>3869.7</v>
      </c>
      <c r="L185" s="36"/>
      <c r="M185" s="35"/>
      <c r="N185" s="63">
        <v>733</v>
      </c>
      <c r="O185" s="58">
        <f t="shared" si="58"/>
        <v>0.18942036850401842</v>
      </c>
      <c r="P185" s="58">
        <f t="shared" si="59"/>
        <v>0</v>
      </c>
      <c r="Q185" s="36">
        <f t="shared" si="60"/>
        <v>0</v>
      </c>
      <c r="R185" s="36">
        <f t="shared" si="75"/>
        <v>0</v>
      </c>
      <c r="S185" s="63">
        <v>303</v>
      </c>
      <c r="T185" s="37">
        <f t="shared" si="61"/>
        <v>219.9</v>
      </c>
      <c r="U185" s="9">
        <f t="shared" si="62"/>
        <v>4135.05</v>
      </c>
      <c r="V185" s="62">
        <v>3144133006.6700001</v>
      </c>
      <c r="W185" s="63">
        <v>26367</v>
      </c>
      <c r="X185" s="18">
        <f t="shared" si="63"/>
        <v>119245</v>
      </c>
      <c r="Y185" s="38">
        <f t="shared" si="64"/>
        <v>0.659026</v>
      </c>
      <c r="Z185" s="63">
        <v>77195</v>
      </c>
      <c r="AA185" s="38">
        <f t="shared" si="65"/>
        <v>0.70032399999999995</v>
      </c>
      <c r="AB185" s="38">
        <f t="shared" si="66"/>
        <v>0.32858500000000002</v>
      </c>
      <c r="AC185" s="39">
        <f t="shared" si="67"/>
        <v>0.32858500000000002</v>
      </c>
      <c r="AD185" s="39">
        <f t="shared" si="79"/>
        <v>0.32858500000000002</v>
      </c>
      <c r="AE185" s="63">
        <v>0</v>
      </c>
      <c r="AF185" s="40">
        <v>0</v>
      </c>
      <c r="AG185" s="9">
        <f t="shared" si="68"/>
        <v>0</v>
      </c>
      <c r="AH185" s="11">
        <f t="shared" si="69"/>
        <v>0</v>
      </c>
      <c r="AI185" s="11">
        <f t="shared" si="70"/>
        <v>15659195</v>
      </c>
      <c r="AJ185" s="11">
        <f t="shared" si="71"/>
        <v>15659195</v>
      </c>
      <c r="AK185" s="36">
        <v>9348852</v>
      </c>
      <c r="AL185" s="36">
        <f t="shared" si="76"/>
        <v>6310343</v>
      </c>
      <c r="AM185" s="59">
        <f t="shared" si="72"/>
        <v>15659195</v>
      </c>
      <c r="AN185" s="59">
        <f t="shared" si="73"/>
        <v>6310343</v>
      </c>
      <c r="AO185" s="60">
        <f t="shared" si="74"/>
        <v>9607576.0629999992</v>
      </c>
      <c r="AP185" s="36"/>
      <c r="AQ185" s="22"/>
      <c r="AS185" s="22"/>
      <c r="AT185" s="22"/>
      <c r="AX185" s="22"/>
      <c r="AY185" s="22"/>
      <c r="AZ185" s="22"/>
      <c r="BA185" s="22"/>
      <c r="BB185" s="22"/>
    </row>
    <row r="186" spans="1:54" x14ac:dyDescent="0.25">
      <c r="A186" s="8" t="s">
        <v>129</v>
      </c>
      <c r="B186" s="8"/>
      <c r="C186" s="26"/>
      <c r="D186" s="26"/>
      <c r="E186" s="26"/>
      <c r="F186" s="1">
        <v>8</v>
      </c>
      <c r="G186" s="57">
        <v>227.93069935403838</v>
      </c>
      <c r="H186" s="8">
        <v>160</v>
      </c>
      <c r="I186" s="3" t="s">
        <v>293</v>
      </c>
      <c r="J186" s="13">
        <f t="shared" si="57"/>
        <v>0</v>
      </c>
      <c r="K186" s="62">
        <v>662.11</v>
      </c>
      <c r="L186" s="36"/>
      <c r="M186" s="35"/>
      <c r="N186" s="63">
        <v>143</v>
      </c>
      <c r="O186" s="58">
        <f t="shared" si="58"/>
        <v>0.21597619730860432</v>
      </c>
      <c r="P186" s="58">
        <f t="shared" si="59"/>
        <v>0</v>
      </c>
      <c r="Q186" s="36">
        <f t="shared" si="60"/>
        <v>0</v>
      </c>
      <c r="R186" s="36">
        <f t="shared" si="75"/>
        <v>0</v>
      </c>
      <c r="S186" s="63">
        <v>5</v>
      </c>
      <c r="T186" s="37">
        <f t="shared" si="61"/>
        <v>42.9</v>
      </c>
      <c r="U186" s="9">
        <f t="shared" si="62"/>
        <v>705.76</v>
      </c>
      <c r="V186" s="62">
        <v>616804828.33000004</v>
      </c>
      <c r="W186" s="63">
        <v>5908</v>
      </c>
      <c r="X186" s="18">
        <f t="shared" si="63"/>
        <v>104401.63</v>
      </c>
      <c r="Y186" s="38">
        <f t="shared" si="64"/>
        <v>0.57699199999999995</v>
      </c>
      <c r="Z186" s="63">
        <v>73526</v>
      </c>
      <c r="AA186" s="38">
        <f t="shared" si="65"/>
        <v>0.66703900000000005</v>
      </c>
      <c r="AB186" s="38">
        <f t="shared" si="66"/>
        <v>0.39599400000000001</v>
      </c>
      <c r="AC186" s="39">
        <f t="shared" si="67"/>
        <v>0.39599400000000001</v>
      </c>
      <c r="AD186" s="39">
        <f t="shared" si="79"/>
        <v>0.39599400000000001</v>
      </c>
      <c r="AE186" s="63">
        <v>212</v>
      </c>
      <c r="AF186" s="40">
        <v>4</v>
      </c>
      <c r="AG186" s="9">
        <f t="shared" si="68"/>
        <v>30.77</v>
      </c>
      <c r="AH186" s="11">
        <f t="shared" si="69"/>
        <v>6523</v>
      </c>
      <c r="AI186" s="11">
        <f t="shared" si="70"/>
        <v>3220969</v>
      </c>
      <c r="AJ186" s="11">
        <f t="shared" si="71"/>
        <v>3227492</v>
      </c>
      <c r="AK186" s="36">
        <v>3637161</v>
      </c>
      <c r="AL186" s="36">
        <f t="shared" si="76"/>
        <v>-409669</v>
      </c>
      <c r="AM186" s="59">
        <f t="shared" si="72"/>
        <v>3227492</v>
      </c>
      <c r="AN186" s="59">
        <f t="shared" si="73"/>
        <v>-409669</v>
      </c>
      <c r="AO186" s="60">
        <f t="shared" si="74"/>
        <v>3534743.75</v>
      </c>
      <c r="AP186" s="36"/>
      <c r="AQ186" s="22"/>
      <c r="AS186" s="22"/>
      <c r="AT186" s="22"/>
      <c r="AX186" s="22"/>
      <c r="AY186" s="22"/>
      <c r="AZ186" s="22"/>
      <c r="BA186" s="22"/>
      <c r="BB186" s="22"/>
    </row>
    <row r="187" spans="1:54" x14ac:dyDescent="0.25">
      <c r="A187" s="8" t="s">
        <v>167</v>
      </c>
      <c r="B187" s="8"/>
      <c r="C187" s="26"/>
      <c r="D187" s="26"/>
      <c r="E187" s="26"/>
      <c r="F187" s="1">
        <v>1</v>
      </c>
      <c r="G187" s="57">
        <v>134.00307949956596</v>
      </c>
      <c r="H187" s="8">
        <v>161</v>
      </c>
      <c r="I187" s="3" t="s">
        <v>294</v>
      </c>
      <c r="J187" s="13">
        <f t="shared" si="57"/>
        <v>0</v>
      </c>
      <c r="K187" s="62">
        <v>4035.65</v>
      </c>
      <c r="L187" s="36"/>
      <c r="M187" s="35"/>
      <c r="N187" s="63">
        <v>93</v>
      </c>
      <c r="O187" s="58">
        <f t="shared" si="58"/>
        <v>2.3044614869971381E-2</v>
      </c>
      <c r="P187" s="58">
        <f t="shared" si="59"/>
        <v>0</v>
      </c>
      <c r="Q187" s="36">
        <f t="shared" si="60"/>
        <v>0</v>
      </c>
      <c r="R187" s="36">
        <f t="shared" si="75"/>
        <v>0</v>
      </c>
      <c r="S187" s="63">
        <v>25</v>
      </c>
      <c r="T187" s="37">
        <f t="shared" ref="T187:T195" si="80">ROUND(N187*$T$2,2)</f>
        <v>27.9</v>
      </c>
      <c r="U187" s="9">
        <f t="shared" ref="U187:U195" si="81">K187+T187+0.15*S187+0.05*Q187</f>
        <v>4067.3</v>
      </c>
      <c r="V187" s="62">
        <v>6642843898.6700001</v>
      </c>
      <c r="W187" s="63">
        <v>18714</v>
      </c>
      <c r="X187" s="18">
        <f t="shared" si="63"/>
        <v>354966.54</v>
      </c>
      <c r="Y187" s="38">
        <f t="shared" si="64"/>
        <v>1.961778</v>
      </c>
      <c r="Z187" s="63">
        <v>172095</v>
      </c>
      <c r="AA187" s="38">
        <f t="shared" si="65"/>
        <v>1.5612710000000001</v>
      </c>
      <c r="AB187" s="38">
        <f t="shared" si="66"/>
        <v>-0.84162599999999999</v>
      </c>
      <c r="AC187" s="39">
        <f t="shared" ref="AC187:AC195" si="82">IF(C187=1,MAX($T$7,AB187),MAX($T$6,AB187))</f>
        <v>0.01</v>
      </c>
      <c r="AD187" s="39">
        <f t="shared" si="79"/>
        <v>0.01</v>
      </c>
      <c r="AE187" s="63">
        <v>0</v>
      </c>
      <c r="AF187" s="40">
        <v>0</v>
      </c>
      <c r="AG187" s="9">
        <f t="shared" si="68"/>
        <v>0</v>
      </c>
      <c r="AH187" s="11">
        <f t="shared" si="69"/>
        <v>0</v>
      </c>
      <c r="AI187" s="11">
        <f t="shared" si="70"/>
        <v>468756</v>
      </c>
      <c r="AJ187" s="11">
        <f t="shared" si="71"/>
        <v>468756</v>
      </c>
      <c r="AK187" s="36">
        <v>462941</v>
      </c>
      <c r="AL187" s="36">
        <f t="shared" si="76"/>
        <v>5815</v>
      </c>
      <c r="AM187" s="59">
        <f t="shared" ref="AM187:AM195" si="83">IF(AND(C187=1,AK187&gt;AJ187),AK187,AJ187)</f>
        <v>468756</v>
      </c>
      <c r="AN187" s="59">
        <f t="shared" si="73"/>
        <v>5815</v>
      </c>
      <c r="AO187" s="60">
        <f t="shared" si="74"/>
        <v>463179.41499999998</v>
      </c>
      <c r="AP187" s="36"/>
      <c r="AQ187" s="22"/>
      <c r="AS187" s="22"/>
      <c r="AT187" s="22"/>
      <c r="AX187" s="22"/>
      <c r="AY187" s="22"/>
      <c r="AZ187" s="22"/>
      <c r="BA187" s="22"/>
      <c r="BB187" s="22"/>
    </row>
    <row r="188" spans="1:54" x14ac:dyDescent="0.25">
      <c r="A188" s="8" t="s">
        <v>140</v>
      </c>
      <c r="B188" s="8"/>
      <c r="C188" s="26">
        <v>1</v>
      </c>
      <c r="D188" s="26">
        <v>1</v>
      </c>
      <c r="E188" s="26"/>
      <c r="F188" s="1">
        <v>9</v>
      </c>
      <c r="G188" s="61">
        <v>287.36778847916821</v>
      </c>
      <c r="H188" s="8">
        <v>162</v>
      </c>
      <c r="I188" s="3" t="s">
        <v>295</v>
      </c>
      <c r="J188" s="13">
        <f t="shared" si="57"/>
        <v>0</v>
      </c>
      <c r="K188" s="62">
        <v>1137.9000000000001</v>
      </c>
      <c r="L188" s="36"/>
      <c r="M188" s="35"/>
      <c r="N188" s="63">
        <v>555</v>
      </c>
      <c r="O188" s="58">
        <f t="shared" si="58"/>
        <v>0.48774057474294752</v>
      </c>
      <c r="P188" s="58">
        <f t="shared" si="59"/>
        <v>0</v>
      </c>
      <c r="Q188" s="36">
        <f t="shared" si="60"/>
        <v>0</v>
      </c>
      <c r="R188" s="36">
        <f t="shared" si="75"/>
        <v>0</v>
      </c>
      <c r="S188" s="63">
        <v>52</v>
      </c>
      <c r="T188" s="37">
        <f t="shared" si="80"/>
        <v>166.5</v>
      </c>
      <c r="U188" s="9">
        <f t="shared" si="81"/>
        <v>1312.2</v>
      </c>
      <c r="V188" s="62">
        <v>974314280.33000004</v>
      </c>
      <c r="W188" s="63">
        <v>10829</v>
      </c>
      <c r="X188" s="18">
        <f t="shared" si="63"/>
        <v>89972.69</v>
      </c>
      <c r="Y188" s="38">
        <f t="shared" si="64"/>
        <v>0.49724800000000002</v>
      </c>
      <c r="Z188" s="63">
        <v>52757</v>
      </c>
      <c r="AA188" s="38">
        <f t="shared" si="65"/>
        <v>0.47861900000000002</v>
      </c>
      <c r="AB188" s="38">
        <f t="shared" si="66"/>
        <v>0.50834100000000004</v>
      </c>
      <c r="AC188" s="39">
        <f t="shared" si="82"/>
        <v>0.50834100000000004</v>
      </c>
      <c r="AD188" s="39">
        <f t="shared" si="79"/>
        <v>0.50834100000000004</v>
      </c>
      <c r="AE188" s="63">
        <v>0</v>
      </c>
      <c r="AF188" s="40">
        <v>0</v>
      </c>
      <c r="AG188" s="9">
        <f t="shared" si="68"/>
        <v>0</v>
      </c>
      <c r="AH188" s="11">
        <f t="shared" si="69"/>
        <v>0</v>
      </c>
      <c r="AI188" s="11">
        <f t="shared" si="70"/>
        <v>7687694</v>
      </c>
      <c r="AJ188" s="11">
        <f t="shared" si="71"/>
        <v>7687694</v>
      </c>
      <c r="AK188" s="36">
        <v>8024957</v>
      </c>
      <c r="AL188" s="36">
        <f t="shared" si="76"/>
        <v>-337263</v>
      </c>
      <c r="AM188" s="59">
        <f t="shared" si="83"/>
        <v>8024957</v>
      </c>
      <c r="AN188" s="59">
        <f t="shared" si="73"/>
        <v>0</v>
      </c>
      <c r="AO188" s="60">
        <f t="shared" si="74"/>
        <v>8024957</v>
      </c>
      <c r="AP188" s="36"/>
      <c r="AQ188" s="22"/>
      <c r="AS188" s="22"/>
      <c r="AT188" s="22"/>
      <c r="AX188" s="22"/>
      <c r="AY188" s="22"/>
      <c r="AZ188" s="22"/>
      <c r="BA188" s="22"/>
      <c r="BB188" s="22"/>
    </row>
    <row r="189" spans="1:54" x14ac:dyDescent="0.25">
      <c r="A189" s="8" t="s">
        <v>145</v>
      </c>
      <c r="B189" s="8">
        <v>1</v>
      </c>
      <c r="C189" s="26">
        <v>1</v>
      </c>
      <c r="D189" s="26">
        <v>0</v>
      </c>
      <c r="E189" s="26">
        <v>1</v>
      </c>
      <c r="F189" s="1">
        <v>10</v>
      </c>
      <c r="G189" s="61">
        <v>355.2474776648902</v>
      </c>
      <c r="H189" s="8">
        <v>163</v>
      </c>
      <c r="I189" s="3" t="s">
        <v>296</v>
      </c>
      <c r="J189" s="13">
        <f t="shared" si="57"/>
        <v>0</v>
      </c>
      <c r="K189" s="62">
        <v>3312.16</v>
      </c>
      <c r="L189" s="36"/>
      <c r="M189" s="35"/>
      <c r="N189" s="63">
        <v>2768</v>
      </c>
      <c r="O189" s="58">
        <f t="shared" si="58"/>
        <v>0.83570841988309752</v>
      </c>
      <c r="P189" s="58">
        <f t="shared" si="59"/>
        <v>8.570841988309752E-2</v>
      </c>
      <c r="Q189" s="36">
        <f t="shared" si="60"/>
        <v>283.88000000000028</v>
      </c>
      <c r="R189" s="36">
        <f t="shared" si="75"/>
        <v>14.194000000000015</v>
      </c>
      <c r="S189" s="63">
        <v>883</v>
      </c>
      <c r="T189" s="37">
        <f t="shared" si="80"/>
        <v>830.4</v>
      </c>
      <c r="U189" s="9">
        <f t="shared" si="81"/>
        <v>4289.2039999999997</v>
      </c>
      <c r="V189" s="62">
        <v>1271892397.3299999</v>
      </c>
      <c r="W189" s="63">
        <v>24799</v>
      </c>
      <c r="X189" s="18">
        <f t="shared" si="63"/>
        <v>51288.05</v>
      </c>
      <c r="Y189" s="38">
        <f t="shared" si="64"/>
        <v>0.28345100000000001</v>
      </c>
      <c r="Z189" s="63">
        <v>41398</v>
      </c>
      <c r="AA189" s="38">
        <f t="shared" si="65"/>
        <v>0.37556899999999999</v>
      </c>
      <c r="AB189" s="38">
        <f t="shared" si="66"/>
        <v>0.68891400000000003</v>
      </c>
      <c r="AC189" s="39">
        <f t="shared" si="82"/>
        <v>0.68891400000000003</v>
      </c>
      <c r="AD189" s="39">
        <f t="shared" si="79"/>
        <v>0.73891400000000007</v>
      </c>
      <c r="AE189" s="63">
        <v>0</v>
      </c>
      <c r="AF189" s="40">
        <v>0</v>
      </c>
      <c r="AG189" s="9">
        <f t="shared" si="68"/>
        <v>0</v>
      </c>
      <c r="AH189" s="11">
        <f t="shared" si="69"/>
        <v>0</v>
      </c>
      <c r="AI189" s="11">
        <f t="shared" si="70"/>
        <v>36526792</v>
      </c>
      <c r="AJ189" s="11">
        <f t="shared" si="71"/>
        <v>36526792</v>
      </c>
      <c r="AK189" s="36">
        <v>26582071</v>
      </c>
      <c r="AL189" s="36">
        <f t="shared" si="76"/>
        <v>9944721</v>
      </c>
      <c r="AM189" s="59">
        <f t="shared" si="83"/>
        <v>36526792</v>
      </c>
      <c r="AN189" s="59">
        <f t="shared" si="73"/>
        <v>9944721</v>
      </c>
      <c r="AO189" s="60">
        <f t="shared" si="74"/>
        <v>26989804.561000001</v>
      </c>
      <c r="AP189" s="36"/>
      <c r="AQ189" s="22"/>
      <c r="AS189" s="22"/>
      <c r="AT189" s="22"/>
      <c r="AX189" s="22"/>
      <c r="AY189" s="22"/>
      <c r="AZ189" s="22"/>
      <c r="BA189" s="22"/>
      <c r="BB189" s="22"/>
    </row>
    <row r="190" spans="1:54" x14ac:dyDescent="0.25">
      <c r="A190" s="8" t="s">
        <v>135</v>
      </c>
      <c r="B190" s="8"/>
      <c r="C190" s="26">
        <v>1</v>
      </c>
      <c r="D190" s="26">
        <v>1</v>
      </c>
      <c r="E190" s="26"/>
      <c r="F190" s="1">
        <v>6</v>
      </c>
      <c r="G190" s="61">
        <v>256.56342788476485</v>
      </c>
      <c r="H190" s="8">
        <v>164</v>
      </c>
      <c r="I190" s="3" t="s">
        <v>297</v>
      </c>
      <c r="J190" s="13">
        <f t="shared" si="57"/>
        <v>0</v>
      </c>
      <c r="K190" s="62">
        <v>3954.38</v>
      </c>
      <c r="L190" s="36"/>
      <c r="M190" s="35"/>
      <c r="N190" s="63">
        <v>1431</v>
      </c>
      <c r="O190" s="58">
        <f t="shared" si="58"/>
        <v>0.36187720957520519</v>
      </c>
      <c r="P190" s="58">
        <f t="shared" si="59"/>
        <v>0</v>
      </c>
      <c r="Q190" s="36">
        <f t="shared" si="60"/>
        <v>0</v>
      </c>
      <c r="R190" s="36">
        <f t="shared" si="75"/>
        <v>0</v>
      </c>
      <c r="S190" s="63">
        <v>124</v>
      </c>
      <c r="T190" s="37">
        <f t="shared" si="80"/>
        <v>429.3</v>
      </c>
      <c r="U190" s="9">
        <f t="shared" si="81"/>
        <v>4402.2800000000007</v>
      </c>
      <c r="V190" s="62">
        <v>4249019622.6700001</v>
      </c>
      <c r="W190" s="63">
        <v>29016</v>
      </c>
      <c r="X190" s="18">
        <f t="shared" si="63"/>
        <v>146437.13</v>
      </c>
      <c r="Y190" s="38">
        <f t="shared" si="64"/>
        <v>0.809307</v>
      </c>
      <c r="Z190" s="63">
        <v>81982</v>
      </c>
      <c r="AA190" s="38">
        <f t="shared" si="65"/>
        <v>0.743753</v>
      </c>
      <c r="AB190" s="38">
        <f t="shared" si="66"/>
        <v>0.21035899999999999</v>
      </c>
      <c r="AC190" s="39">
        <f t="shared" si="82"/>
        <v>0.21035899999999999</v>
      </c>
      <c r="AD190" s="39">
        <f t="shared" si="79"/>
        <v>0.21035899999999999</v>
      </c>
      <c r="AE190" s="63">
        <v>0</v>
      </c>
      <c r="AF190" s="40">
        <v>0</v>
      </c>
      <c r="AG190" s="9">
        <f t="shared" si="68"/>
        <v>0</v>
      </c>
      <c r="AH190" s="11">
        <f t="shared" si="69"/>
        <v>0</v>
      </c>
      <c r="AI190" s="11">
        <f t="shared" si="70"/>
        <v>10672832</v>
      </c>
      <c r="AJ190" s="11">
        <f t="shared" si="71"/>
        <v>10672832</v>
      </c>
      <c r="AK190" s="36">
        <v>12130392</v>
      </c>
      <c r="AL190" s="36">
        <f t="shared" si="76"/>
        <v>-1457560</v>
      </c>
      <c r="AM190" s="59">
        <f t="shared" si="83"/>
        <v>12130392</v>
      </c>
      <c r="AN190" s="59">
        <f t="shared" si="73"/>
        <v>0</v>
      </c>
      <c r="AO190" s="60">
        <f t="shared" si="74"/>
        <v>12130392</v>
      </c>
      <c r="AP190" s="36"/>
      <c r="AQ190" s="22"/>
      <c r="AS190" s="22"/>
      <c r="AT190" s="22"/>
      <c r="AX190" s="22"/>
      <c r="AY190" s="22"/>
      <c r="AZ190" s="22"/>
      <c r="BA190" s="22"/>
      <c r="BB190" s="22"/>
    </row>
    <row r="191" spans="1:54" x14ac:dyDescent="0.25">
      <c r="A191" s="8" t="s">
        <v>153</v>
      </c>
      <c r="B191" s="8"/>
      <c r="C191" s="26">
        <v>1</v>
      </c>
      <c r="D191" s="26">
        <v>1</v>
      </c>
      <c r="E191" s="26"/>
      <c r="F191" s="1">
        <v>7</v>
      </c>
      <c r="G191" s="57">
        <v>246.90997703725645</v>
      </c>
      <c r="H191" s="8">
        <v>165</v>
      </c>
      <c r="I191" s="3" t="s">
        <v>298</v>
      </c>
      <c r="J191" s="13">
        <f t="shared" si="57"/>
        <v>0</v>
      </c>
      <c r="K191" s="62">
        <v>1612.24</v>
      </c>
      <c r="L191" s="36"/>
      <c r="M191" s="35"/>
      <c r="N191" s="63">
        <v>598</v>
      </c>
      <c r="O191" s="58">
        <f t="shared" si="58"/>
        <v>0.37091251922790652</v>
      </c>
      <c r="P191" s="58">
        <f t="shared" si="59"/>
        <v>0</v>
      </c>
      <c r="Q191" s="36">
        <f t="shared" si="60"/>
        <v>0</v>
      </c>
      <c r="R191" s="36">
        <f t="shared" si="75"/>
        <v>0</v>
      </c>
      <c r="S191" s="63">
        <v>66</v>
      </c>
      <c r="T191" s="37">
        <f t="shared" si="80"/>
        <v>179.4</v>
      </c>
      <c r="U191" s="9">
        <f t="shared" si="81"/>
        <v>1801.5400000000002</v>
      </c>
      <c r="V191" s="62">
        <v>1781331508</v>
      </c>
      <c r="W191" s="63">
        <v>12537</v>
      </c>
      <c r="X191" s="18">
        <f t="shared" si="63"/>
        <v>142085.95000000001</v>
      </c>
      <c r="Y191" s="38">
        <f t="shared" si="64"/>
        <v>0.78525999999999996</v>
      </c>
      <c r="Z191" s="63">
        <v>68944</v>
      </c>
      <c r="AA191" s="38">
        <f t="shared" si="65"/>
        <v>0.62546999999999997</v>
      </c>
      <c r="AB191" s="38">
        <f t="shared" si="66"/>
        <v>0.26267699999999999</v>
      </c>
      <c r="AC191" s="39">
        <f t="shared" si="82"/>
        <v>0.26267699999999999</v>
      </c>
      <c r="AD191" s="39">
        <f t="shared" si="79"/>
        <v>0.26267699999999999</v>
      </c>
      <c r="AE191" s="63">
        <v>0</v>
      </c>
      <c r="AF191" s="40">
        <v>0</v>
      </c>
      <c r="AG191" s="9">
        <f t="shared" si="68"/>
        <v>0</v>
      </c>
      <c r="AH191" s="11">
        <f t="shared" si="69"/>
        <v>0</v>
      </c>
      <c r="AI191" s="11">
        <f t="shared" si="70"/>
        <v>5453896</v>
      </c>
      <c r="AJ191" s="11">
        <f t="shared" si="71"/>
        <v>5453896</v>
      </c>
      <c r="AK191" s="36">
        <v>5167806</v>
      </c>
      <c r="AL191" s="36">
        <f t="shared" si="76"/>
        <v>286090</v>
      </c>
      <c r="AM191" s="59">
        <f t="shared" si="83"/>
        <v>5453896</v>
      </c>
      <c r="AN191" s="59">
        <f t="shared" si="73"/>
        <v>286090</v>
      </c>
      <c r="AO191" s="60">
        <f t="shared" si="74"/>
        <v>5179535.6900000004</v>
      </c>
      <c r="AP191" s="36"/>
      <c r="AQ191" s="22"/>
      <c r="AS191" s="22"/>
      <c r="AT191" s="22"/>
      <c r="AX191" s="22"/>
      <c r="AY191" s="22"/>
      <c r="AZ191" s="22"/>
      <c r="BA191" s="22"/>
      <c r="BB191" s="22"/>
    </row>
    <row r="192" spans="1:54" x14ac:dyDescent="0.25">
      <c r="A192" s="8" t="s">
        <v>153</v>
      </c>
      <c r="B192" s="8"/>
      <c r="C192" s="26"/>
      <c r="D192" s="26"/>
      <c r="E192" s="26"/>
      <c r="F192" s="1">
        <v>7</v>
      </c>
      <c r="G192" s="57">
        <v>227.18784407300831</v>
      </c>
      <c r="H192" s="8">
        <v>166</v>
      </c>
      <c r="I192" s="3" t="s">
        <v>299</v>
      </c>
      <c r="J192" s="13">
        <f t="shared" si="57"/>
        <v>0</v>
      </c>
      <c r="K192" s="62">
        <v>2469.9699999999998</v>
      </c>
      <c r="L192" s="36"/>
      <c r="M192" s="35"/>
      <c r="N192" s="63">
        <v>563</v>
      </c>
      <c r="O192" s="58">
        <f t="shared" si="58"/>
        <v>0.2279379911496901</v>
      </c>
      <c r="P192" s="58">
        <f t="shared" si="59"/>
        <v>0</v>
      </c>
      <c r="Q192" s="36">
        <f t="shared" si="60"/>
        <v>0</v>
      </c>
      <c r="R192" s="36">
        <f t="shared" si="75"/>
        <v>0</v>
      </c>
      <c r="S192" s="63">
        <v>52</v>
      </c>
      <c r="T192" s="37">
        <f t="shared" si="80"/>
        <v>168.9</v>
      </c>
      <c r="U192" s="9">
        <f t="shared" si="81"/>
        <v>2646.67</v>
      </c>
      <c r="V192" s="62">
        <v>1832484176.3299999</v>
      </c>
      <c r="W192" s="63">
        <v>16673</v>
      </c>
      <c r="X192" s="18">
        <f t="shared" si="63"/>
        <v>109907.29</v>
      </c>
      <c r="Y192" s="38">
        <f t="shared" si="64"/>
        <v>0.60741999999999996</v>
      </c>
      <c r="Z192" s="63">
        <v>80323</v>
      </c>
      <c r="AA192" s="38">
        <f t="shared" si="65"/>
        <v>0.72870199999999996</v>
      </c>
      <c r="AB192" s="38">
        <f t="shared" si="66"/>
        <v>0.35619499999999998</v>
      </c>
      <c r="AC192" s="39">
        <f t="shared" si="82"/>
        <v>0.35619499999999998</v>
      </c>
      <c r="AD192" s="39">
        <f t="shared" si="79"/>
        <v>0.35619499999999998</v>
      </c>
      <c r="AE192" s="63">
        <v>0</v>
      </c>
      <c r="AF192" s="40">
        <v>0</v>
      </c>
      <c r="AG192" s="9">
        <f t="shared" si="68"/>
        <v>0</v>
      </c>
      <c r="AH192" s="11">
        <f t="shared" si="69"/>
        <v>0</v>
      </c>
      <c r="AI192" s="11">
        <f t="shared" si="70"/>
        <v>10864970</v>
      </c>
      <c r="AJ192" s="11">
        <f t="shared" si="71"/>
        <v>10864970</v>
      </c>
      <c r="AK192" s="36">
        <v>13423576</v>
      </c>
      <c r="AL192" s="36">
        <f t="shared" si="76"/>
        <v>-2558606</v>
      </c>
      <c r="AM192" s="59">
        <f t="shared" si="83"/>
        <v>10864970</v>
      </c>
      <c r="AN192" s="59">
        <f t="shared" si="73"/>
        <v>-2558606</v>
      </c>
      <c r="AO192" s="60">
        <f t="shared" si="74"/>
        <v>12783924.5</v>
      </c>
      <c r="AP192" s="36"/>
      <c r="AQ192" s="22"/>
      <c r="AS192" s="22"/>
      <c r="AT192" s="22"/>
      <c r="AX192" s="22"/>
      <c r="AY192" s="22"/>
      <c r="AZ192" s="22"/>
      <c r="BA192" s="22"/>
      <c r="BB192" s="22"/>
    </row>
    <row r="193" spans="1:54" x14ac:dyDescent="0.25">
      <c r="A193" s="8" t="s">
        <v>131</v>
      </c>
      <c r="B193" s="8"/>
      <c r="C193" s="26"/>
      <c r="D193" s="26"/>
      <c r="E193" s="26"/>
      <c r="F193" s="1">
        <v>2</v>
      </c>
      <c r="G193" s="57">
        <v>189.90648789552557</v>
      </c>
      <c r="H193" s="8">
        <v>167</v>
      </c>
      <c r="I193" s="3" t="s">
        <v>300</v>
      </c>
      <c r="J193" s="13">
        <f t="shared" si="57"/>
        <v>0</v>
      </c>
      <c r="K193" s="62">
        <v>1521.84</v>
      </c>
      <c r="L193" s="36"/>
      <c r="M193" s="35"/>
      <c r="N193" s="63">
        <v>90</v>
      </c>
      <c r="O193" s="58">
        <f t="shared" si="58"/>
        <v>5.9138937076170954E-2</v>
      </c>
      <c r="P193" s="58">
        <f t="shared" si="59"/>
        <v>0</v>
      </c>
      <c r="Q193" s="36">
        <f t="shared" si="60"/>
        <v>0</v>
      </c>
      <c r="R193" s="36">
        <f t="shared" si="75"/>
        <v>0</v>
      </c>
      <c r="S193" s="63">
        <v>21</v>
      </c>
      <c r="T193" s="37">
        <f t="shared" si="80"/>
        <v>27</v>
      </c>
      <c r="U193" s="9">
        <f t="shared" si="81"/>
        <v>1551.99</v>
      </c>
      <c r="V193" s="62">
        <v>1642753080.6700001</v>
      </c>
      <c r="W193" s="63">
        <v>8886</v>
      </c>
      <c r="X193" s="18">
        <f t="shared" si="63"/>
        <v>184869.8</v>
      </c>
      <c r="Y193" s="38">
        <f t="shared" si="64"/>
        <v>1.021712</v>
      </c>
      <c r="Z193" s="63">
        <v>133412</v>
      </c>
      <c r="AA193" s="38">
        <f t="shared" si="65"/>
        <v>1.2103330000000001</v>
      </c>
      <c r="AB193" s="38">
        <f t="shared" si="66"/>
        <v>-7.8298000000000006E-2</v>
      </c>
      <c r="AC193" s="39">
        <f t="shared" si="82"/>
        <v>0.01</v>
      </c>
      <c r="AD193" s="39">
        <f t="shared" si="79"/>
        <v>0.01</v>
      </c>
      <c r="AE193" s="63">
        <v>679</v>
      </c>
      <c r="AF193" s="40">
        <v>6</v>
      </c>
      <c r="AG193" s="9">
        <f t="shared" si="68"/>
        <v>46.15</v>
      </c>
      <c r="AH193" s="11">
        <f t="shared" si="69"/>
        <v>31336</v>
      </c>
      <c r="AI193" s="11">
        <f t="shared" si="70"/>
        <v>178867</v>
      </c>
      <c r="AJ193" s="11">
        <f t="shared" si="71"/>
        <v>210203</v>
      </c>
      <c r="AK193" s="36">
        <v>656185</v>
      </c>
      <c r="AL193" s="36">
        <f t="shared" si="76"/>
        <v>-445982</v>
      </c>
      <c r="AM193" s="59">
        <f t="shared" si="83"/>
        <v>210203</v>
      </c>
      <c r="AN193" s="59">
        <f t="shared" si="73"/>
        <v>-445982</v>
      </c>
      <c r="AO193" s="60">
        <f t="shared" si="74"/>
        <v>544689.5</v>
      </c>
      <c r="AP193" s="36"/>
      <c r="AQ193" s="22"/>
      <c r="AS193" s="22"/>
      <c r="AT193" s="22"/>
      <c r="AX193" s="22"/>
      <c r="AY193" s="22"/>
      <c r="AZ193" s="22"/>
      <c r="BA193" s="22"/>
      <c r="BB193" s="22"/>
    </row>
    <row r="194" spans="1:54" x14ac:dyDescent="0.25">
      <c r="A194" s="8" t="s">
        <v>125</v>
      </c>
      <c r="B194" s="8"/>
      <c r="C194" s="26"/>
      <c r="D194" s="26"/>
      <c r="E194" s="26"/>
      <c r="F194" s="1">
        <v>4</v>
      </c>
      <c r="G194" s="57">
        <v>210.79962088787397</v>
      </c>
      <c r="H194" s="8">
        <v>168</v>
      </c>
      <c r="I194" s="3" t="s">
        <v>301</v>
      </c>
      <c r="J194" s="13">
        <f t="shared" si="57"/>
        <v>0</v>
      </c>
      <c r="K194" s="62">
        <v>1136.02</v>
      </c>
      <c r="L194" s="36"/>
      <c r="M194" s="35"/>
      <c r="N194" s="63">
        <v>79</v>
      </c>
      <c r="O194" s="58">
        <f t="shared" si="58"/>
        <v>6.9541029207232263E-2</v>
      </c>
      <c r="P194" s="58">
        <f t="shared" si="59"/>
        <v>0</v>
      </c>
      <c r="Q194" s="36">
        <f t="shared" si="60"/>
        <v>0</v>
      </c>
      <c r="R194" s="36">
        <f t="shared" si="75"/>
        <v>0</v>
      </c>
      <c r="S194" s="63">
        <v>21</v>
      </c>
      <c r="T194" s="37">
        <f t="shared" si="80"/>
        <v>23.7</v>
      </c>
      <c r="U194" s="9">
        <f t="shared" si="81"/>
        <v>1162.8700000000001</v>
      </c>
      <c r="V194" s="62">
        <v>1566612046.6700001</v>
      </c>
      <c r="W194" s="63">
        <v>9636</v>
      </c>
      <c r="X194" s="18">
        <f t="shared" si="63"/>
        <v>162579.07999999999</v>
      </c>
      <c r="Y194" s="38">
        <f t="shared" si="64"/>
        <v>0.89851800000000004</v>
      </c>
      <c r="Z194" s="63">
        <v>80350</v>
      </c>
      <c r="AA194" s="38">
        <f t="shared" si="65"/>
        <v>0.72894700000000001</v>
      </c>
      <c r="AB194" s="38">
        <f t="shared" si="66"/>
        <v>0.15235299999999999</v>
      </c>
      <c r="AC194" s="39">
        <f t="shared" si="82"/>
        <v>0.15235299999999999</v>
      </c>
      <c r="AD194" s="39">
        <f t="shared" si="79"/>
        <v>0.15235299999999999</v>
      </c>
      <c r="AE194" s="63">
        <v>1125</v>
      </c>
      <c r="AF194" s="40">
        <v>13</v>
      </c>
      <c r="AG194" s="9">
        <f t="shared" si="68"/>
        <v>100</v>
      </c>
      <c r="AH194" s="11">
        <f t="shared" si="69"/>
        <v>112500</v>
      </c>
      <c r="AI194" s="11">
        <f t="shared" si="70"/>
        <v>2041847</v>
      </c>
      <c r="AJ194" s="11">
        <f t="shared" si="71"/>
        <v>2154347</v>
      </c>
      <c r="AK194" s="36">
        <v>1276811</v>
      </c>
      <c r="AL194" s="36">
        <f t="shared" si="76"/>
        <v>877536</v>
      </c>
      <c r="AM194" s="59">
        <f t="shared" si="83"/>
        <v>2154347</v>
      </c>
      <c r="AN194" s="59">
        <f t="shared" si="73"/>
        <v>877536</v>
      </c>
      <c r="AO194" s="60">
        <f t="shared" si="74"/>
        <v>1312789.976</v>
      </c>
      <c r="AP194" s="36"/>
      <c r="AQ194" s="22"/>
      <c r="AS194" s="22"/>
      <c r="AT194" s="22"/>
      <c r="AX194" s="22"/>
      <c r="AY194" s="22"/>
      <c r="AZ194" s="22"/>
      <c r="BA194" s="22"/>
      <c r="BB194" s="22"/>
    </row>
    <row r="195" spans="1:54" x14ac:dyDescent="0.25">
      <c r="A195" s="8" t="s">
        <v>129</v>
      </c>
      <c r="B195" s="8"/>
      <c r="C195" s="26"/>
      <c r="D195" s="26"/>
      <c r="E195" s="26"/>
      <c r="F195" s="1">
        <v>7</v>
      </c>
      <c r="G195" s="57">
        <v>219.7269293629617</v>
      </c>
      <c r="H195" s="8">
        <v>169</v>
      </c>
      <c r="I195" s="3" t="s">
        <v>302</v>
      </c>
      <c r="J195" s="13">
        <f t="shared" si="57"/>
        <v>0</v>
      </c>
      <c r="K195" s="62">
        <v>1313.18</v>
      </c>
      <c r="L195" s="36"/>
      <c r="M195" s="35"/>
      <c r="N195" s="63">
        <v>94</v>
      </c>
      <c r="O195" s="58">
        <f t="shared" si="58"/>
        <v>7.1581961345740866E-2</v>
      </c>
      <c r="P195" s="58">
        <f t="shared" si="59"/>
        <v>0</v>
      </c>
      <c r="Q195" s="36">
        <f t="shared" si="60"/>
        <v>0</v>
      </c>
      <c r="R195" s="36">
        <f t="shared" si="75"/>
        <v>0</v>
      </c>
      <c r="S195" s="63">
        <v>4</v>
      </c>
      <c r="T195" s="37">
        <f t="shared" si="80"/>
        <v>28.2</v>
      </c>
      <c r="U195" s="9">
        <f t="shared" si="81"/>
        <v>1341.98</v>
      </c>
      <c r="V195" s="62">
        <v>998223258.33000004</v>
      </c>
      <c r="W195" s="63">
        <v>7838</v>
      </c>
      <c r="X195" s="18">
        <f t="shared" si="63"/>
        <v>127356.88</v>
      </c>
      <c r="Y195" s="38">
        <f t="shared" si="64"/>
        <v>0.70385799999999998</v>
      </c>
      <c r="Z195" s="63">
        <v>78594</v>
      </c>
      <c r="AA195" s="38">
        <f t="shared" si="65"/>
        <v>0.71301599999999998</v>
      </c>
      <c r="AB195" s="38">
        <f t="shared" si="66"/>
        <v>0.29339500000000002</v>
      </c>
      <c r="AC195" s="39">
        <f t="shared" si="82"/>
        <v>0.29339500000000002</v>
      </c>
      <c r="AD195" s="39">
        <f t="shared" si="79"/>
        <v>0.29339500000000002</v>
      </c>
      <c r="AE195" s="63">
        <v>0</v>
      </c>
      <c r="AF195" s="40">
        <v>0</v>
      </c>
      <c r="AG195" s="9">
        <f t="shared" si="68"/>
        <v>0</v>
      </c>
      <c r="AH195" s="11">
        <f t="shared" si="69"/>
        <v>0</v>
      </c>
      <c r="AI195" s="11">
        <f t="shared" si="70"/>
        <v>4537741</v>
      </c>
      <c r="AJ195" s="11">
        <f t="shared" si="71"/>
        <v>4537741</v>
      </c>
      <c r="AK195" s="36">
        <v>5356542</v>
      </c>
      <c r="AL195" s="36">
        <f t="shared" si="76"/>
        <v>-818801</v>
      </c>
      <c r="AM195" s="59">
        <f t="shared" si="83"/>
        <v>4537741</v>
      </c>
      <c r="AN195" s="59">
        <f t="shared" si="73"/>
        <v>-818801</v>
      </c>
      <c r="AO195" s="60">
        <f t="shared" si="74"/>
        <v>5151841.75</v>
      </c>
      <c r="AP195" s="36"/>
      <c r="AQ195" s="22"/>
      <c r="AS195" s="22"/>
      <c r="AT195" s="22"/>
      <c r="AX195" s="22"/>
      <c r="AY195" s="22"/>
      <c r="AZ195" s="22"/>
      <c r="BA195" s="22"/>
      <c r="BB195" s="22"/>
    </row>
    <row r="196" spans="1:54" x14ac:dyDescent="0.25">
      <c r="V196" s="1"/>
      <c r="X196" s="1"/>
      <c r="AE196" s="11"/>
    </row>
    <row r="197" spans="1:54" x14ac:dyDescent="0.25">
      <c r="K197" s="9"/>
      <c r="L197" s="9"/>
      <c r="M197" s="9"/>
      <c r="V197" s="37">
        <f>SUM(V27:V195)</f>
        <v>538360300942.97009</v>
      </c>
      <c r="X197" s="37"/>
      <c r="Y197" s="21"/>
      <c r="AE197" s="11"/>
    </row>
    <row r="198" spans="1:54" x14ac:dyDescent="0.25">
      <c r="K198" s="9"/>
      <c r="L198" s="9"/>
      <c r="M198" s="9"/>
      <c r="U198" s="9"/>
      <c r="AE198" s="11"/>
    </row>
    <row r="199" spans="1:54" x14ac:dyDescent="0.25">
      <c r="K199" s="9"/>
      <c r="L199" s="9"/>
      <c r="M199" s="9"/>
      <c r="U199" s="9"/>
      <c r="AE199" s="11"/>
    </row>
    <row r="200" spans="1:54" x14ac:dyDescent="0.25">
      <c r="K200" s="9"/>
      <c r="L200" s="9"/>
      <c r="M200" s="9"/>
      <c r="U200" s="9"/>
      <c r="AE200" s="11"/>
    </row>
    <row r="201" spans="1:54" x14ac:dyDescent="0.25">
      <c r="K201" s="9"/>
      <c r="L201" s="9"/>
      <c r="M201" s="9"/>
      <c r="U201" s="9"/>
    </row>
    <row r="202" spans="1:54" x14ac:dyDescent="0.25">
      <c r="K202" s="9"/>
      <c r="L202" s="9"/>
      <c r="M202" s="9"/>
      <c r="U202" s="9"/>
    </row>
    <row r="203" spans="1:54" x14ac:dyDescent="0.25">
      <c r="K203" s="9"/>
      <c r="L203" s="9"/>
      <c r="M203" s="9"/>
      <c r="U203" s="9"/>
    </row>
    <row r="204" spans="1:54" x14ac:dyDescent="0.25">
      <c r="K204" s="9"/>
      <c r="L204" s="9"/>
      <c r="M204" s="9"/>
      <c r="U204" s="9"/>
    </row>
    <row r="205" spans="1:54" x14ac:dyDescent="0.25">
      <c r="K205" s="9"/>
      <c r="L205" s="9"/>
      <c r="M205" s="9"/>
      <c r="U205" s="9"/>
    </row>
    <row r="206" spans="1:5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9"/>
      <c r="L206" s="9"/>
      <c r="M206" s="9"/>
      <c r="U206" s="9"/>
    </row>
    <row r="207" spans="1:5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9"/>
      <c r="L207" s="9"/>
      <c r="M207" s="9"/>
      <c r="U207" s="9"/>
    </row>
    <row r="208" spans="1:5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9"/>
      <c r="L208" s="9"/>
      <c r="M208" s="9"/>
      <c r="U208" s="9"/>
    </row>
    <row r="209" spans="11:41" s="1" customFormat="1" x14ac:dyDescent="0.25">
      <c r="K209" s="9"/>
      <c r="L209" s="9"/>
      <c r="M209" s="9"/>
      <c r="N209" s="3"/>
      <c r="O209" s="3"/>
      <c r="P209" s="3"/>
      <c r="Q209" s="3"/>
      <c r="R209" s="3"/>
      <c r="S209" s="3"/>
      <c r="T209" s="3"/>
      <c r="U209" s="9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2"/>
      <c r="AN209" s="42"/>
      <c r="AO209" s="43"/>
    </row>
    <row r="210" spans="11:41" s="1" customFormat="1" x14ac:dyDescent="0.25">
      <c r="K210" s="9"/>
      <c r="L210" s="9"/>
      <c r="M210" s="9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2"/>
      <c r="AN210" s="42"/>
      <c r="AO210" s="43"/>
    </row>
    <row r="211" spans="11:41" s="1" customFormat="1" x14ac:dyDescent="0.25">
      <c r="K211" s="9"/>
      <c r="L211" s="9"/>
      <c r="M211" s="9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2"/>
      <c r="AN211" s="42"/>
      <c r="AO211" s="43"/>
    </row>
    <row r="212" spans="11:41" s="1" customFormat="1" x14ac:dyDescent="0.25">
      <c r="K212" s="9"/>
      <c r="L212" s="9"/>
      <c r="M212" s="9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2"/>
      <c r="AN212" s="42"/>
      <c r="AO212" s="43"/>
    </row>
    <row r="213" spans="11:41" s="1" customFormat="1" x14ac:dyDescent="0.25">
      <c r="K213" s="9"/>
      <c r="L213" s="9"/>
      <c r="M213" s="9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2"/>
      <c r="AN213" s="42"/>
      <c r="AO213" s="43"/>
    </row>
    <row r="214" spans="11:41" s="1" customFormat="1" x14ac:dyDescent="0.25">
      <c r="K214" s="9"/>
      <c r="L214" s="9"/>
      <c r="M214" s="9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2"/>
      <c r="AN214" s="42"/>
      <c r="AO214" s="43"/>
    </row>
    <row r="215" spans="11:41" s="1" customFormat="1" x14ac:dyDescent="0.25">
      <c r="K215" s="9"/>
      <c r="L215" s="9"/>
      <c r="M215" s="9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2"/>
      <c r="AN215" s="42"/>
      <c r="AO215" s="43"/>
    </row>
    <row r="216" spans="11:41" s="1" customFormat="1" x14ac:dyDescent="0.25">
      <c r="K216" s="9"/>
      <c r="L216" s="9"/>
      <c r="M216" s="9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2"/>
      <c r="AN216" s="42"/>
      <c r="AO216" s="43"/>
    </row>
    <row r="217" spans="11:41" s="1" customFormat="1" x14ac:dyDescent="0.25">
      <c r="K217" s="9"/>
      <c r="L217" s="9"/>
      <c r="M217" s="9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2"/>
      <c r="AN217" s="42"/>
      <c r="AO217" s="43"/>
    </row>
    <row r="218" spans="11:41" s="1" customFormat="1" x14ac:dyDescent="0.25">
      <c r="K218" s="9"/>
      <c r="L218" s="9"/>
      <c r="M218" s="9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2"/>
      <c r="AN218" s="42"/>
      <c r="AO218" s="43"/>
    </row>
    <row r="219" spans="11:41" s="1" customFormat="1" x14ac:dyDescent="0.25">
      <c r="K219" s="9"/>
      <c r="L219" s="9"/>
      <c r="M219" s="9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2"/>
      <c r="AN219" s="42"/>
      <c r="AO219" s="43"/>
    </row>
    <row r="220" spans="11:41" s="1" customFormat="1" x14ac:dyDescent="0.25">
      <c r="K220" s="9"/>
      <c r="L220" s="9"/>
      <c r="M220" s="9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2"/>
      <c r="AN220" s="42"/>
      <c r="AO220" s="43"/>
    </row>
    <row r="221" spans="11:41" s="1" customFormat="1" x14ac:dyDescent="0.25">
      <c r="K221" s="9"/>
      <c r="L221" s="9"/>
      <c r="M221" s="9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2"/>
      <c r="AN221" s="42"/>
      <c r="AO221" s="43"/>
    </row>
    <row r="222" spans="11:41" s="3" customFormat="1" x14ac:dyDescent="0.25">
      <c r="K222" s="9"/>
      <c r="L222" s="9"/>
      <c r="M222" s="9"/>
      <c r="AM222" s="42"/>
      <c r="AN222" s="42"/>
      <c r="AO222" s="43"/>
    </row>
    <row r="223" spans="11:41" s="3" customFormat="1" x14ac:dyDescent="0.25">
      <c r="K223" s="9"/>
      <c r="L223" s="9"/>
      <c r="M223" s="9"/>
      <c r="AM223" s="42"/>
      <c r="AN223" s="42"/>
      <c r="AO223" s="43"/>
    </row>
    <row r="224" spans="11:41" s="3" customFormat="1" x14ac:dyDescent="0.25">
      <c r="K224" s="9"/>
      <c r="L224" s="9"/>
      <c r="M224" s="9"/>
      <c r="AM224" s="42"/>
      <c r="AN224" s="42"/>
      <c r="AO224" s="43"/>
    </row>
    <row r="225" spans="1:42" s="3" customFormat="1" x14ac:dyDescent="0.25">
      <c r="K225" s="9"/>
      <c r="L225" s="9"/>
      <c r="M225" s="9"/>
      <c r="AM225" s="42"/>
      <c r="AN225" s="42"/>
      <c r="AO225" s="43"/>
    </row>
    <row r="226" spans="1:42" s="3" customFormat="1" x14ac:dyDescent="0.25">
      <c r="K226" s="9"/>
      <c r="L226" s="9"/>
      <c r="M226" s="9"/>
      <c r="AM226" s="42"/>
      <c r="AN226" s="42"/>
      <c r="AO226" s="43"/>
    </row>
    <row r="227" spans="1:42" s="3" customFormat="1" x14ac:dyDescent="0.25">
      <c r="K227" s="9"/>
      <c r="L227" s="9"/>
      <c r="M227" s="9"/>
      <c r="AM227" s="42"/>
      <c r="AN227" s="42"/>
      <c r="AO227" s="43"/>
    </row>
    <row r="228" spans="1:42" s="3" customFormat="1" x14ac:dyDescent="0.25">
      <c r="K228" s="9"/>
      <c r="L228" s="9"/>
      <c r="M228" s="9"/>
      <c r="AM228" s="42"/>
      <c r="AN228" s="42"/>
      <c r="AO228" s="43"/>
    </row>
    <row r="229" spans="1:42" s="3" customFormat="1" x14ac:dyDescent="0.25">
      <c r="K229" s="9"/>
      <c r="L229" s="9"/>
      <c r="M229" s="9"/>
      <c r="AM229" s="42"/>
      <c r="AN229" s="42"/>
      <c r="AO229" s="43"/>
    </row>
    <row r="230" spans="1:42" s="3" customFormat="1" x14ac:dyDescent="0.25">
      <c r="A230" s="1"/>
      <c r="B230" s="1"/>
      <c r="K230" s="9"/>
      <c r="L230" s="9"/>
      <c r="M230" s="9"/>
      <c r="AM230" s="42"/>
      <c r="AN230" s="42"/>
      <c r="AO230" s="43"/>
    </row>
    <row r="231" spans="1:42" s="3" customFormat="1" x14ac:dyDescent="0.25">
      <c r="A231" s="1"/>
      <c r="B231" s="1"/>
      <c r="K231" s="9"/>
      <c r="L231" s="9"/>
      <c r="M231" s="9"/>
      <c r="AM231" s="42"/>
      <c r="AN231" s="42"/>
      <c r="AO231" s="43"/>
    </row>
    <row r="232" spans="1:42" s="3" customFormat="1" x14ac:dyDescent="0.25">
      <c r="A232" s="1"/>
      <c r="B232" s="1"/>
      <c r="K232" s="9"/>
      <c r="L232" s="9"/>
      <c r="M232" s="9"/>
      <c r="AM232" s="42"/>
      <c r="AN232" s="42"/>
      <c r="AO232" s="43"/>
    </row>
    <row r="233" spans="1:42" s="3" customFormat="1" x14ac:dyDescent="0.25">
      <c r="A233" s="1"/>
      <c r="B233" s="1"/>
      <c r="K233" s="9"/>
      <c r="L233" s="9"/>
      <c r="M233" s="9"/>
      <c r="AM233" s="42"/>
      <c r="AN233" s="42"/>
      <c r="AO233" s="43"/>
    </row>
    <row r="234" spans="1:42" s="3" customFormat="1" x14ac:dyDescent="0.25">
      <c r="K234" s="9"/>
      <c r="L234" s="9"/>
      <c r="M234" s="9"/>
      <c r="AM234" s="42"/>
      <c r="AN234" s="42"/>
      <c r="AO234" s="43"/>
    </row>
    <row r="235" spans="1:42" s="3" customFormat="1" x14ac:dyDescent="0.25">
      <c r="K235" s="9"/>
      <c r="L235" s="9"/>
      <c r="M235" s="9"/>
      <c r="AM235" s="42"/>
      <c r="AN235" s="42"/>
      <c r="AO235" s="43"/>
    </row>
    <row r="236" spans="1:42" s="3" customFormat="1" x14ac:dyDescent="0.25">
      <c r="K236" s="9"/>
      <c r="L236" s="9"/>
      <c r="M236" s="9"/>
      <c r="AM236" s="42"/>
      <c r="AN236" s="42"/>
      <c r="AO236" s="43"/>
    </row>
    <row r="237" spans="1:42" s="3" customFormat="1" x14ac:dyDescent="0.25">
      <c r="K237" s="9"/>
      <c r="L237" s="9"/>
      <c r="M237" s="9"/>
      <c r="AM237" s="42"/>
      <c r="AN237" s="42"/>
      <c r="AO237" s="43"/>
    </row>
    <row r="238" spans="1:4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9"/>
      <c r="L238" s="9"/>
      <c r="M238" s="9"/>
      <c r="AP238" s="1"/>
    </row>
    <row r="239" spans="1:4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9"/>
      <c r="L239" s="9"/>
      <c r="M239" s="9"/>
      <c r="AP239" s="1"/>
    </row>
    <row r="240" spans="1:4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9"/>
      <c r="L240" s="9"/>
      <c r="M240" s="9"/>
      <c r="AP240" s="1"/>
    </row>
    <row r="241" spans="11:13" s="1" customFormat="1" x14ac:dyDescent="0.25">
      <c r="K241" s="9"/>
      <c r="L241" s="9"/>
      <c r="M241" s="9"/>
    </row>
    <row r="242" spans="11:13" s="1" customFormat="1" x14ac:dyDescent="0.25">
      <c r="K242" s="9"/>
      <c r="L242" s="9"/>
      <c r="M242" s="9"/>
    </row>
    <row r="243" spans="11:13" s="1" customFormat="1" x14ac:dyDescent="0.25">
      <c r="K243" s="9"/>
      <c r="L243" s="9"/>
      <c r="M243" s="9"/>
    </row>
    <row r="244" spans="11:13" s="1" customFormat="1" x14ac:dyDescent="0.25">
      <c r="K244" s="9"/>
      <c r="L244" s="9"/>
      <c r="M244" s="9"/>
    </row>
    <row r="245" spans="11:13" s="1" customFormat="1" x14ac:dyDescent="0.25">
      <c r="K245" s="9"/>
      <c r="L245" s="9"/>
      <c r="M245" s="9"/>
    </row>
    <row r="246" spans="11:13" s="1" customFormat="1" x14ac:dyDescent="0.25">
      <c r="K246" s="9"/>
      <c r="L246" s="9"/>
      <c r="M246" s="9"/>
    </row>
    <row r="247" spans="11:13" s="1" customFormat="1" x14ac:dyDescent="0.25">
      <c r="K247" s="9"/>
      <c r="L247" s="9"/>
      <c r="M247" s="9"/>
    </row>
    <row r="248" spans="11:13" s="1" customFormat="1" x14ac:dyDescent="0.25">
      <c r="K248" s="9"/>
      <c r="L248" s="9"/>
      <c r="M248" s="9"/>
    </row>
    <row r="249" spans="11:13" s="1" customFormat="1" x14ac:dyDescent="0.25">
      <c r="K249" s="9"/>
      <c r="L249" s="9"/>
      <c r="M249" s="9"/>
    </row>
    <row r="250" spans="11:13" s="1" customFormat="1" x14ac:dyDescent="0.25">
      <c r="K250" s="9"/>
      <c r="L250" s="9"/>
      <c r="M250" s="9"/>
    </row>
    <row r="251" spans="11:13" s="1" customFormat="1" x14ac:dyDescent="0.25">
      <c r="K251" s="9"/>
      <c r="L251" s="9"/>
      <c r="M251" s="9"/>
    </row>
    <row r="252" spans="11:13" s="1" customFormat="1" x14ac:dyDescent="0.25">
      <c r="K252" s="9"/>
      <c r="L252" s="9"/>
      <c r="M252" s="9"/>
    </row>
    <row r="253" spans="11:13" s="1" customFormat="1" x14ac:dyDescent="0.25">
      <c r="K253" s="9"/>
      <c r="L253" s="9"/>
      <c r="M253" s="9"/>
    </row>
    <row r="254" spans="11:13" s="1" customFormat="1" x14ac:dyDescent="0.25">
      <c r="K254" s="9"/>
      <c r="L254" s="9"/>
      <c r="M254" s="9"/>
    </row>
    <row r="255" spans="11:13" s="1" customFormat="1" x14ac:dyDescent="0.25">
      <c r="K255" s="9"/>
      <c r="L255" s="9"/>
      <c r="M255" s="9"/>
    </row>
    <row r="256" spans="11:13" s="1" customFormat="1" x14ac:dyDescent="0.25">
      <c r="K256" s="9"/>
      <c r="L256" s="9"/>
      <c r="M256" s="9"/>
    </row>
    <row r="257" spans="11:30" s="1" customFormat="1" x14ac:dyDescent="0.25">
      <c r="K257" s="9"/>
      <c r="L257" s="9"/>
      <c r="M257" s="9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1:30" s="1" customFormat="1" x14ac:dyDescent="0.25">
      <c r="K258" s="9"/>
      <c r="L258" s="9"/>
      <c r="M258" s="9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1:30" s="1" customFormat="1" x14ac:dyDescent="0.25">
      <c r="K259" s="9"/>
      <c r="L259" s="9"/>
      <c r="M259" s="9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1:30" s="1" customFormat="1" x14ac:dyDescent="0.25">
      <c r="K260" s="9"/>
      <c r="L260" s="9"/>
      <c r="M260" s="9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1:30" s="1" customFormat="1" x14ac:dyDescent="0.25">
      <c r="K261" s="9"/>
      <c r="L261" s="9"/>
      <c r="M261" s="9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1:30" s="1" customFormat="1" x14ac:dyDescent="0.25">
      <c r="K262" s="9"/>
      <c r="L262" s="9"/>
      <c r="M262" s="9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1:30" s="1" customFormat="1" x14ac:dyDescent="0.25">
      <c r="K263" s="9"/>
      <c r="L263" s="9"/>
      <c r="M263" s="9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1:30" s="1" customFormat="1" x14ac:dyDescent="0.25">
      <c r="K264" s="9"/>
      <c r="L264" s="9"/>
      <c r="M264" s="9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1:30" s="1" customFormat="1" x14ac:dyDescent="0.25">
      <c r="K265" s="9"/>
      <c r="L265" s="9"/>
      <c r="M265" s="9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1:30" s="1" customFormat="1" x14ac:dyDescent="0.25">
      <c r="K266" s="9"/>
      <c r="L266" s="9"/>
      <c r="M266" s="9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1:30" s="1" customFormat="1" x14ac:dyDescent="0.25">
      <c r="K267" s="9"/>
      <c r="L267" s="9"/>
      <c r="M267" s="9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1:30" s="1" customFormat="1" x14ac:dyDescent="0.25">
      <c r="K268" s="9"/>
      <c r="L268" s="9"/>
      <c r="M268" s="9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1:30" s="1" customFormat="1" x14ac:dyDescent="0.25">
      <c r="K269" s="9"/>
      <c r="L269" s="9"/>
      <c r="M269" s="9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1:30" s="1" customFormat="1" x14ac:dyDescent="0.25">
      <c r="K270" s="9"/>
      <c r="L270" s="9"/>
      <c r="M270" s="9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1:30" s="1" customFormat="1" x14ac:dyDescent="0.25">
      <c r="K271" s="9"/>
      <c r="L271" s="9"/>
      <c r="M271" s="9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1:30" s="1" customFormat="1" x14ac:dyDescent="0.25">
      <c r="K272" s="9"/>
      <c r="L272" s="9"/>
      <c r="M272" s="9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1:13" s="1" customFormat="1" x14ac:dyDescent="0.25">
      <c r="K273" s="9"/>
      <c r="L273" s="9"/>
      <c r="M273" s="9"/>
    </row>
    <row r="274" spans="11:13" s="1" customFormat="1" x14ac:dyDescent="0.25">
      <c r="K274" s="9"/>
      <c r="L274" s="9"/>
      <c r="M274" s="9"/>
    </row>
    <row r="275" spans="11:13" s="1" customFormat="1" x14ac:dyDescent="0.25">
      <c r="K275" s="9"/>
      <c r="L275" s="9"/>
      <c r="M275" s="9"/>
    </row>
    <row r="276" spans="11:13" s="1" customFormat="1" x14ac:dyDescent="0.25">
      <c r="K276" s="9"/>
      <c r="L276" s="9"/>
      <c r="M276" s="9"/>
    </row>
    <row r="277" spans="11:13" s="1" customFormat="1" x14ac:dyDescent="0.25">
      <c r="K277" s="9"/>
      <c r="L277" s="9"/>
      <c r="M277" s="9"/>
    </row>
    <row r="278" spans="11:13" s="1" customFormat="1" x14ac:dyDescent="0.25">
      <c r="K278" s="9"/>
      <c r="L278" s="9"/>
      <c r="M278" s="9"/>
    </row>
    <row r="279" spans="11:13" s="1" customFormat="1" x14ac:dyDescent="0.25">
      <c r="K279" s="9"/>
      <c r="L279" s="9"/>
      <c r="M279" s="9"/>
    </row>
    <row r="280" spans="11:13" s="1" customFormat="1" x14ac:dyDescent="0.25">
      <c r="K280" s="9"/>
      <c r="L280" s="9"/>
      <c r="M280" s="9"/>
    </row>
    <row r="281" spans="11:13" s="1" customFormat="1" x14ac:dyDescent="0.25">
      <c r="K281" s="9"/>
      <c r="L281" s="9"/>
      <c r="M281" s="9"/>
    </row>
    <row r="282" spans="11:13" s="1" customFormat="1" x14ac:dyDescent="0.25">
      <c r="K282" s="9"/>
      <c r="L282" s="9"/>
      <c r="M282" s="9"/>
    </row>
    <row r="283" spans="11:13" s="1" customFormat="1" x14ac:dyDescent="0.25">
      <c r="K283" s="9"/>
      <c r="L283" s="9"/>
      <c r="M283" s="9"/>
    </row>
    <row r="284" spans="11:13" s="1" customFormat="1" x14ac:dyDescent="0.25">
      <c r="K284" s="9"/>
      <c r="L284" s="9"/>
      <c r="M284" s="9"/>
    </row>
    <row r="285" spans="11:13" s="1" customFormat="1" x14ac:dyDescent="0.25">
      <c r="K285" s="9"/>
      <c r="L285" s="9"/>
      <c r="M285" s="9"/>
    </row>
    <row r="286" spans="11:13" s="1" customFormat="1" x14ac:dyDescent="0.25">
      <c r="K286" s="9"/>
      <c r="L286" s="9"/>
      <c r="M286" s="9"/>
    </row>
    <row r="287" spans="11:13" s="1" customFormat="1" x14ac:dyDescent="0.25">
      <c r="K287" s="9"/>
      <c r="L287" s="9"/>
      <c r="M287" s="9"/>
    </row>
    <row r="288" spans="11:13" s="1" customFormat="1" x14ac:dyDescent="0.25">
      <c r="K288" s="9"/>
      <c r="L288" s="9"/>
      <c r="M288" s="9"/>
    </row>
    <row r="289" spans="11:13" s="1" customFormat="1" x14ac:dyDescent="0.25">
      <c r="K289" s="9"/>
      <c r="L289" s="9"/>
      <c r="M289" s="9"/>
    </row>
    <row r="290" spans="11:13" s="1" customFormat="1" x14ac:dyDescent="0.25">
      <c r="K290" s="9"/>
      <c r="L290" s="9"/>
      <c r="M290" s="9"/>
    </row>
    <row r="291" spans="11:13" s="1" customFormat="1" x14ac:dyDescent="0.25">
      <c r="K291" s="9"/>
      <c r="L291" s="9"/>
      <c r="M291" s="9"/>
    </row>
    <row r="292" spans="11:13" s="1" customFormat="1" x14ac:dyDescent="0.25">
      <c r="K292" s="9"/>
      <c r="L292" s="9"/>
      <c r="M292" s="9"/>
    </row>
    <row r="293" spans="11:13" s="1" customFormat="1" x14ac:dyDescent="0.25">
      <c r="K293" s="9"/>
      <c r="L293" s="9"/>
      <c r="M293" s="9"/>
    </row>
    <row r="294" spans="11:13" s="1" customFormat="1" x14ac:dyDescent="0.25">
      <c r="K294" s="9"/>
      <c r="L294" s="9"/>
      <c r="M294" s="9"/>
    </row>
    <row r="295" spans="11:13" s="1" customFormat="1" x14ac:dyDescent="0.25">
      <c r="K295" s="9"/>
      <c r="L295" s="9"/>
      <c r="M295" s="9"/>
    </row>
    <row r="296" spans="11:13" s="1" customFormat="1" x14ac:dyDescent="0.25">
      <c r="K296" s="9"/>
      <c r="L296" s="9"/>
      <c r="M296" s="9"/>
    </row>
    <row r="297" spans="11:13" s="1" customFormat="1" x14ac:dyDescent="0.25">
      <c r="K297" s="9"/>
      <c r="L297" s="9"/>
      <c r="M297" s="9"/>
    </row>
    <row r="298" spans="11:13" s="1" customFormat="1" x14ac:dyDescent="0.25">
      <c r="K298" s="9"/>
      <c r="L298" s="9"/>
      <c r="M298" s="9"/>
    </row>
    <row r="299" spans="11:13" s="1" customFormat="1" x14ac:dyDescent="0.25">
      <c r="K299" s="9"/>
      <c r="L299" s="9"/>
      <c r="M299" s="9"/>
    </row>
    <row r="300" spans="11:13" s="1" customFormat="1" x14ac:dyDescent="0.25">
      <c r="K300" s="9"/>
      <c r="L300" s="9"/>
      <c r="M300" s="9"/>
    </row>
    <row r="301" spans="11:13" s="1" customFormat="1" x14ac:dyDescent="0.25">
      <c r="K301" s="9"/>
      <c r="L301" s="9"/>
      <c r="M301" s="9"/>
    </row>
    <row r="302" spans="11:13" s="1" customFormat="1" x14ac:dyDescent="0.25">
      <c r="K302" s="9"/>
      <c r="L302" s="9"/>
      <c r="M302" s="9"/>
    </row>
    <row r="303" spans="11:13" s="1" customFormat="1" x14ac:dyDescent="0.25">
      <c r="K303" s="9"/>
      <c r="L303" s="9"/>
      <c r="M303" s="9"/>
    </row>
    <row r="304" spans="11:13" s="1" customFormat="1" x14ac:dyDescent="0.25">
      <c r="K304" s="9"/>
      <c r="L304" s="9"/>
      <c r="M304" s="9"/>
    </row>
    <row r="305" spans="11:13" s="1" customFormat="1" x14ac:dyDescent="0.25">
      <c r="K305" s="9"/>
      <c r="L305" s="9"/>
      <c r="M305" s="9"/>
    </row>
    <row r="306" spans="11:13" s="1" customFormat="1" x14ac:dyDescent="0.25">
      <c r="K306" s="9"/>
      <c r="L306" s="9"/>
      <c r="M306" s="9"/>
    </row>
    <row r="307" spans="11:13" s="1" customFormat="1" x14ac:dyDescent="0.25">
      <c r="K307" s="9"/>
      <c r="L307" s="9"/>
      <c r="M307" s="9"/>
    </row>
    <row r="308" spans="11:13" s="1" customFormat="1" x14ac:dyDescent="0.25">
      <c r="K308" s="9"/>
      <c r="L308" s="9"/>
      <c r="M308" s="9"/>
    </row>
    <row r="309" spans="11:13" s="1" customFormat="1" x14ac:dyDescent="0.25">
      <c r="K309" s="9"/>
      <c r="L309" s="9"/>
      <c r="M309" s="9"/>
    </row>
    <row r="310" spans="11:13" s="1" customFormat="1" x14ac:dyDescent="0.25">
      <c r="K310" s="9"/>
      <c r="L310" s="9"/>
      <c r="M310" s="9"/>
    </row>
    <row r="311" spans="11:13" s="1" customFormat="1" x14ac:dyDescent="0.25">
      <c r="K311" s="9"/>
      <c r="L311" s="9"/>
      <c r="M311" s="9"/>
    </row>
    <row r="312" spans="11:13" s="1" customFormat="1" x14ac:dyDescent="0.25">
      <c r="K312" s="9"/>
      <c r="L312" s="9"/>
      <c r="M312" s="9"/>
    </row>
    <row r="313" spans="11:13" s="1" customFormat="1" x14ac:dyDescent="0.25">
      <c r="K313" s="9"/>
      <c r="L313" s="9"/>
      <c r="M313" s="9"/>
    </row>
    <row r="314" spans="11:13" s="1" customFormat="1" x14ac:dyDescent="0.25">
      <c r="K314" s="9"/>
      <c r="L314" s="9"/>
      <c r="M314" s="9"/>
    </row>
    <row r="315" spans="11:13" s="1" customFormat="1" x14ac:dyDescent="0.25">
      <c r="K315" s="9"/>
      <c r="L315" s="9"/>
      <c r="M315" s="9"/>
    </row>
    <row r="316" spans="11:13" s="1" customFormat="1" x14ac:dyDescent="0.25">
      <c r="K316" s="9"/>
      <c r="L316" s="9"/>
      <c r="M316" s="9"/>
    </row>
    <row r="317" spans="11:13" s="1" customFormat="1" x14ac:dyDescent="0.25">
      <c r="K317" s="9"/>
      <c r="L317" s="9"/>
      <c r="M317" s="9"/>
    </row>
    <row r="318" spans="11:13" s="1" customFormat="1" x14ac:dyDescent="0.25">
      <c r="K318" s="9"/>
      <c r="L318" s="9"/>
      <c r="M318" s="9"/>
    </row>
    <row r="319" spans="11:13" s="1" customFormat="1" x14ac:dyDescent="0.25">
      <c r="K319" s="9"/>
      <c r="L319" s="9"/>
      <c r="M319" s="9"/>
    </row>
    <row r="320" spans="11:13" s="1" customFormat="1" x14ac:dyDescent="0.25">
      <c r="K320" s="9"/>
      <c r="L320" s="9"/>
      <c r="M320" s="9"/>
    </row>
    <row r="321" spans="11:13" s="1" customFormat="1" x14ac:dyDescent="0.25">
      <c r="K321" s="9"/>
      <c r="L321" s="9"/>
      <c r="M321" s="9"/>
    </row>
    <row r="322" spans="11:13" s="1" customFormat="1" x14ac:dyDescent="0.25">
      <c r="K322" s="9"/>
      <c r="L322" s="9"/>
      <c r="M322" s="9"/>
    </row>
    <row r="323" spans="11:13" s="1" customFormat="1" x14ac:dyDescent="0.25">
      <c r="K323" s="9"/>
      <c r="L323" s="9"/>
      <c r="M323" s="9"/>
    </row>
    <row r="324" spans="11:13" s="1" customFormat="1" x14ac:dyDescent="0.25">
      <c r="K324" s="9"/>
      <c r="L324" s="9"/>
      <c r="M324" s="9"/>
    </row>
    <row r="325" spans="11:13" s="1" customFormat="1" x14ac:dyDescent="0.25">
      <c r="K325" s="9"/>
      <c r="L325" s="9"/>
      <c r="M325" s="9"/>
    </row>
    <row r="326" spans="11:13" s="1" customFormat="1" x14ac:dyDescent="0.25">
      <c r="K326" s="9"/>
      <c r="L326" s="9"/>
      <c r="M326" s="9"/>
    </row>
    <row r="327" spans="11:13" s="1" customFormat="1" x14ac:dyDescent="0.25">
      <c r="K327" s="9"/>
      <c r="L327" s="9"/>
      <c r="M327" s="9"/>
    </row>
    <row r="328" spans="11:13" s="1" customFormat="1" x14ac:dyDescent="0.25">
      <c r="K328" s="9"/>
      <c r="L328" s="9"/>
      <c r="M328" s="9"/>
    </row>
    <row r="329" spans="11:13" s="1" customFormat="1" x14ac:dyDescent="0.25">
      <c r="K329" s="9"/>
      <c r="L329" s="9"/>
      <c r="M329" s="9"/>
    </row>
    <row r="330" spans="11:13" s="1" customFormat="1" x14ac:dyDescent="0.25">
      <c r="K330" s="9"/>
      <c r="L330" s="9"/>
      <c r="M330" s="9"/>
    </row>
    <row r="331" spans="11:13" s="1" customFormat="1" x14ac:dyDescent="0.25">
      <c r="K331" s="9"/>
      <c r="L331" s="9"/>
      <c r="M331" s="9"/>
    </row>
    <row r="332" spans="11:13" s="1" customFormat="1" x14ac:dyDescent="0.25">
      <c r="K332" s="9"/>
      <c r="L332" s="9"/>
      <c r="M332" s="9"/>
    </row>
    <row r="333" spans="11:13" s="1" customFormat="1" x14ac:dyDescent="0.25">
      <c r="K333" s="9"/>
      <c r="L333" s="9"/>
      <c r="M333" s="9"/>
    </row>
    <row r="334" spans="11:13" s="1" customFormat="1" x14ac:dyDescent="0.25">
      <c r="K334" s="9"/>
      <c r="L334" s="9"/>
      <c r="M334" s="9"/>
    </row>
    <row r="335" spans="11:13" s="1" customFormat="1" x14ac:dyDescent="0.25">
      <c r="K335" s="9"/>
      <c r="L335" s="9"/>
      <c r="M335" s="9"/>
    </row>
    <row r="336" spans="11:13" s="1" customFormat="1" x14ac:dyDescent="0.25">
      <c r="K336" s="9"/>
      <c r="L336" s="9"/>
      <c r="M336" s="9"/>
    </row>
    <row r="337" spans="11:13" s="1" customFormat="1" x14ac:dyDescent="0.25">
      <c r="K337" s="9"/>
      <c r="L337" s="9"/>
      <c r="M337" s="9"/>
    </row>
    <row r="338" spans="11:13" s="1" customFormat="1" x14ac:dyDescent="0.25">
      <c r="K338" s="9"/>
      <c r="L338" s="9"/>
      <c r="M338" s="9"/>
    </row>
    <row r="339" spans="11:13" s="1" customFormat="1" x14ac:dyDescent="0.25">
      <c r="K339" s="9"/>
      <c r="L339" s="9"/>
      <c r="M339" s="9"/>
    </row>
    <row r="340" spans="11:13" s="1" customFormat="1" x14ac:dyDescent="0.25">
      <c r="K340" s="9"/>
      <c r="L340" s="9"/>
      <c r="M340" s="9"/>
    </row>
    <row r="341" spans="11:13" s="1" customFormat="1" x14ac:dyDescent="0.25">
      <c r="K341" s="9"/>
      <c r="L341" s="9"/>
      <c r="M341" s="9"/>
    </row>
    <row r="342" spans="11:13" s="1" customFormat="1" x14ac:dyDescent="0.25">
      <c r="K342" s="9"/>
      <c r="L342" s="9"/>
      <c r="M342" s="9"/>
    </row>
    <row r="343" spans="11:13" s="1" customFormat="1" x14ac:dyDescent="0.25">
      <c r="K343" s="9"/>
      <c r="L343" s="9"/>
      <c r="M343" s="9"/>
    </row>
    <row r="344" spans="11:13" s="1" customFormat="1" x14ac:dyDescent="0.25">
      <c r="K344" s="9"/>
      <c r="L344" s="9"/>
      <c r="M344" s="9"/>
    </row>
    <row r="345" spans="11:13" s="1" customFormat="1" x14ac:dyDescent="0.25">
      <c r="K345" s="9"/>
      <c r="L345" s="9"/>
      <c r="M345" s="9"/>
    </row>
    <row r="346" spans="11:13" s="1" customFormat="1" x14ac:dyDescent="0.25">
      <c r="K346" s="9"/>
      <c r="L346" s="9"/>
      <c r="M346" s="9"/>
    </row>
    <row r="347" spans="11:13" s="1" customFormat="1" x14ac:dyDescent="0.25">
      <c r="K347" s="9"/>
      <c r="L347" s="9"/>
      <c r="M347" s="9"/>
    </row>
    <row r="348" spans="11:13" s="1" customFormat="1" x14ac:dyDescent="0.25">
      <c r="K348" s="9"/>
      <c r="L348" s="9"/>
      <c r="M348" s="9"/>
    </row>
    <row r="349" spans="11:13" s="1" customFormat="1" x14ac:dyDescent="0.25">
      <c r="K349" s="9"/>
      <c r="L349" s="9"/>
      <c r="M349" s="9"/>
    </row>
    <row r="350" spans="11:13" s="1" customFormat="1" x14ac:dyDescent="0.25">
      <c r="K350" s="9"/>
      <c r="L350" s="9"/>
      <c r="M350" s="9"/>
    </row>
    <row r="351" spans="11:13" s="1" customFormat="1" x14ac:dyDescent="0.25">
      <c r="K351" s="9"/>
      <c r="L351" s="9"/>
      <c r="M351" s="9"/>
    </row>
    <row r="352" spans="11:13" s="1" customFormat="1" x14ac:dyDescent="0.25">
      <c r="K352" s="9"/>
      <c r="L352" s="9"/>
      <c r="M352" s="9"/>
    </row>
    <row r="353" spans="11:13" s="1" customFormat="1" x14ac:dyDescent="0.25">
      <c r="K353" s="9"/>
      <c r="L353" s="9"/>
      <c r="M353" s="9"/>
    </row>
    <row r="354" spans="11:13" s="1" customFormat="1" x14ac:dyDescent="0.25">
      <c r="K354" s="9"/>
      <c r="L354" s="9"/>
      <c r="M354" s="9"/>
    </row>
    <row r="355" spans="11:13" s="1" customFormat="1" x14ac:dyDescent="0.25">
      <c r="K355" s="9"/>
      <c r="L355" s="9"/>
      <c r="M355" s="9"/>
    </row>
    <row r="356" spans="11:13" s="1" customFormat="1" x14ac:dyDescent="0.25">
      <c r="K356" s="9"/>
      <c r="L356" s="9"/>
      <c r="M356" s="9"/>
    </row>
    <row r="357" spans="11:13" s="1" customFormat="1" x14ac:dyDescent="0.25">
      <c r="K357" s="9"/>
      <c r="L357" s="9"/>
      <c r="M357" s="9"/>
    </row>
    <row r="358" spans="11:13" s="1" customFormat="1" x14ac:dyDescent="0.25">
      <c r="K358" s="9"/>
      <c r="L358" s="9"/>
      <c r="M358" s="9"/>
    </row>
    <row r="359" spans="11:13" s="1" customFormat="1" x14ac:dyDescent="0.25">
      <c r="K359" s="9"/>
      <c r="L359" s="9"/>
      <c r="M359" s="9"/>
    </row>
    <row r="360" spans="11:13" s="1" customFormat="1" x14ac:dyDescent="0.25">
      <c r="K360" s="9"/>
      <c r="L360" s="9"/>
      <c r="M360" s="9"/>
    </row>
    <row r="361" spans="11:13" s="1" customFormat="1" x14ac:dyDescent="0.25">
      <c r="K361" s="9"/>
      <c r="L361" s="9"/>
      <c r="M361" s="9"/>
    </row>
    <row r="362" spans="11:13" s="1" customFormat="1" x14ac:dyDescent="0.25">
      <c r="K362" s="9"/>
      <c r="L362" s="9"/>
      <c r="M362" s="9"/>
    </row>
    <row r="363" spans="11:13" s="1" customFormat="1" x14ac:dyDescent="0.25">
      <c r="K363" s="9"/>
      <c r="L363" s="9"/>
      <c r="M363" s="9"/>
    </row>
  </sheetData>
  <pageMargins left="0.25" right="0.25" top="0.32" bottom="0.3" header="0.3" footer="0.3"/>
  <pageSetup scale="11" fitToHeight="6" orientation="landscape" r:id="rId1"/>
  <headerFooter>
    <oddFooter>&amp;L&amp;"Book Antiqua,Regular"Office of Fiscal Analysis&amp;C&amp;"Book Antiqua,Regular"10/11/2017&amp;R&amp;"Book Antiqua,Regular"&amp;P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 2018-19</vt:lpstr>
      <vt:lpstr>'FY 2018-19'!Print_Titles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Chambers,K</cp:lastModifiedBy>
  <cp:lastPrinted>2017-10-18T16:13:22Z</cp:lastPrinted>
  <dcterms:created xsi:type="dcterms:W3CDTF">2017-10-18T15:13:08Z</dcterms:created>
  <dcterms:modified xsi:type="dcterms:W3CDTF">2019-02-28T12:59:26Z</dcterms:modified>
</cp:coreProperties>
</file>