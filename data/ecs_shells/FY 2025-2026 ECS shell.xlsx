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5-2026\ECS\"/>
    </mc:Choice>
  </mc:AlternateContent>
  <xr:revisionPtr revIDLastSave="0" documentId="13_ncr:1_{BE2C23CB-2C66-4B5B-9C28-4DC0C37E8043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FY 26" sheetId="8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95" i="89" l="1"/>
  <c r="AL195" i="89"/>
  <c r="AH195" i="89"/>
  <c r="AB195" i="89"/>
  <c r="X195" i="89"/>
  <c r="W195" i="89"/>
  <c r="T195" i="89"/>
  <c r="U195" i="89" s="1"/>
  <c r="R195" i="89"/>
  <c r="S195" i="89" s="1"/>
  <c r="P195" i="89"/>
  <c r="Q195" i="89" s="1"/>
  <c r="Y195" i="89" s="1"/>
  <c r="O195" i="89"/>
  <c r="N195" i="89"/>
  <c r="AO194" i="89"/>
  <c r="AL194" i="89"/>
  <c r="AH194" i="89"/>
  <c r="AB194" i="89"/>
  <c r="X194" i="89"/>
  <c r="W194" i="89"/>
  <c r="T194" i="89"/>
  <c r="U194" i="89" s="1"/>
  <c r="S194" i="89"/>
  <c r="R194" i="89"/>
  <c r="P194" i="89"/>
  <c r="Q194" i="89" s="1"/>
  <c r="O194" i="89"/>
  <c r="N194" i="89"/>
  <c r="Y194" i="89" s="1"/>
  <c r="AO193" i="89"/>
  <c r="AL193" i="89"/>
  <c r="AH193" i="89"/>
  <c r="AB193" i="89"/>
  <c r="X193" i="89"/>
  <c r="W193" i="89"/>
  <c r="T193" i="89"/>
  <c r="U193" i="89" s="1"/>
  <c r="R193" i="89"/>
  <c r="S193" i="89" s="1"/>
  <c r="P193" i="89"/>
  <c r="Q193" i="89" s="1"/>
  <c r="Y193" i="89" s="1"/>
  <c r="O193" i="89"/>
  <c r="N193" i="89"/>
  <c r="AO192" i="89"/>
  <c r="AL192" i="89"/>
  <c r="AH192" i="89"/>
  <c r="AB192" i="89"/>
  <c r="X192" i="89"/>
  <c r="W192" i="89"/>
  <c r="U192" i="89"/>
  <c r="T192" i="89"/>
  <c r="S192" i="89"/>
  <c r="R192" i="89"/>
  <c r="P192" i="89"/>
  <c r="Q192" i="89" s="1"/>
  <c r="O192" i="89"/>
  <c r="N192" i="89"/>
  <c r="Y192" i="89" s="1"/>
  <c r="AO191" i="89"/>
  <c r="AL191" i="89"/>
  <c r="AH191" i="89"/>
  <c r="AB191" i="89"/>
  <c r="X191" i="89"/>
  <c r="W191" i="89"/>
  <c r="T191" i="89"/>
  <c r="U191" i="89" s="1"/>
  <c r="R191" i="89"/>
  <c r="S191" i="89" s="1"/>
  <c r="Q191" i="89"/>
  <c r="Y191" i="89" s="1"/>
  <c r="P191" i="89"/>
  <c r="O191" i="89"/>
  <c r="N191" i="89"/>
  <c r="AO190" i="89"/>
  <c r="AL190" i="89"/>
  <c r="AH190" i="89"/>
  <c r="AB190" i="89"/>
  <c r="Y190" i="89"/>
  <c r="X190" i="89"/>
  <c r="W190" i="89"/>
  <c r="U190" i="89"/>
  <c r="T190" i="89"/>
  <c r="S190" i="89"/>
  <c r="R190" i="89"/>
  <c r="P190" i="89"/>
  <c r="Q190" i="89" s="1"/>
  <c r="O190" i="89"/>
  <c r="N190" i="89"/>
  <c r="AO189" i="89"/>
  <c r="AL189" i="89"/>
  <c r="AH189" i="89"/>
  <c r="AB189" i="89"/>
  <c r="Y189" i="89"/>
  <c r="X189" i="89"/>
  <c r="W189" i="89"/>
  <c r="T189" i="89"/>
  <c r="U189" i="89" s="1"/>
  <c r="R189" i="89"/>
  <c r="S189" i="89" s="1"/>
  <c r="O189" i="89"/>
  <c r="P189" i="89" s="1"/>
  <c r="Q189" i="89" s="1"/>
  <c r="N189" i="89"/>
  <c r="AO188" i="89"/>
  <c r="AL188" i="89"/>
  <c r="AH188" i="89"/>
  <c r="AB188" i="89"/>
  <c r="Y188" i="89"/>
  <c r="X188" i="89"/>
  <c r="W188" i="89"/>
  <c r="U188" i="89"/>
  <c r="S188" i="89"/>
  <c r="T188" i="89" s="1"/>
  <c r="R188" i="89"/>
  <c r="P188" i="89"/>
  <c r="Q188" i="89" s="1"/>
  <c r="O188" i="89"/>
  <c r="N188" i="89"/>
  <c r="AO187" i="89"/>
  <c r="AL187" i="89"/>
  <c r="AH187" i="89"/>
  <c r="AB187" i="89"/>
  <c r="X187" i="89"/>
  <c r="W187" i="89"/>
  <c r="R187" i="89"/>
  <c r="S187" i="89" s="1"/>
  <c r="T187" i="89" s="1"/>
  <c r="U187" i="89" s="1"/>
  <c r="Q187" i="89"/>
  <c r="Y187" i="89" s="1"/>
  <c r="O187" i="89"/>
  <c r="P187" i="89" s="1"/>
  <c r="N187" i="89"/>
  <c r="AO186" i="89"/>
  <c r="AL186" i="89"/>
  <c r="AH186" i="89"/>
  <c r="AB186" i="89"/>
  <c r="Y186" i="89"/>
  <c r="X186" i="89"/>
  <c r="W186" i="89"/>
  <c r="S186" i="89"/>
  <c r="T186" i="89" s="1"/>
  <c r="U186" i="89" s="1"/>
  <c r="R186" i="89"/>
  <c r="P186" i="89"/>
  <c r="Q186" i="89" s="1"/>
  <c r="O186" i="89"/>
  <c r="N186" i="89"/>
  <c r="AO185" i="89"/>
  <c r="AL185" i="89"/>
  <c r="AH185" i="89"/>
  <c r="AB185" i="89"/>
  <c r="X185" i="89"/>
  <c r="W185" i="89"/>
  <c r="R185" i="89"/>
  <c r="S185" i="89" s="1"/>
  <c r="T185" i="89" s="1"/>
  <c r="U185" i="89" s="1"/>
  <c r="O185" i="89"/>
  <c r="P185" i="89" s="1"/>
  <c r="Q185" i="89" s="1"/>
  <c r="Y185" i="89" s="1"/>
  <c r="N185" i="89"/>
  <c r="AO184" i="89"/>
  <c r="AL184" i="89"/>
  <c r="AH184" i="89"/>
  <c r="AB184" i="89"/>
  <c r="X184" i="89"/>
  <c r="W184" i="89"/>
  <c r="S184" i="89"/>
  <c r="T184" i="89" s="1"/>
  <c r="U184" i="89" s="1"/>
  <c r="R184" i="89"/>
  <c r="P184" i="89"/>
  <c r="Q184" i="89" s="1"/>
  <c r="Y184" i="89" s="1"/>
  <c r="O184" i="89"/>
  <c r="N184" i="89"/>
  <c r="AO183" i="89"/>
  <c r="AL183" i="89"/>
  <c r="AH183" i="89"/>
  <c r="AB183" i="89"/>
  <c r="X183" i="89"/>
  <c r="W183" i="89"/>
  <c r="R183" i="89"/>
  <c r="S183" i="89" s="1"/>
  <c r="T183" i="89" s="1"/>
  <c r="U183" i="89" s="1"/>
  <c r="O183" i="89"/>
  <c r="P183" i="89" s="1"/>
  <c r="Q183" i="89" s="1"/>
  <c r="Y183" i="89" s="1"/>
  <c r="N183" i="89"/>
  <c r="AO182" i="89"/>
  <c r="AL182" i="89"/>
  <c r="AH182" i="89"/>
  <c r="AB182" i="89"/>
  <c r="X182" i="89"/>
  <c r="W182" i="89"/>
  <c r="T182" i="89"/>
  <c r="U182" i="89" s="1"/>
  <c r="S182" i="89"/>
  <c r="R182" i="89"/>
  <c r="P182" i="89"/>
  <c r="Q182" i="89" s="1"/>
  <c r="O182" i="89"/>
  <c r="N182" i="89"/>
  <c r="Y182" i="89" s="1"/>
  <c r="AO181" i="89"/>
  <c r="AL181" i="89"/>
  <c r="AH181" i="89"/>
  <c r="AB181" i="89"/>
  <c r="X181" i="89"/>
  <c r="W181" i="89"/>
  <c r="R181" i="89"/>
  <c r="S181" i="89" s="1"/>
  <c r="T181" i="89" s="1"/>
  <c r="U181" i="89" s="1"/>
  <c r="P181" i="89"/>
  <c r="Q181" i="89" s="1"/>
  <c r="Y181" i="89" s="1"/>
  <c r="O181" i="89"/>
  <c r="N181" i="89"/>
  <c r="AO180" i="89"/>
  <c r="AL180" i="89"/>
  <c r="AH180" i="89"/>
  <c r="AB180" i="89"/>
  <c r="X180" i="89"/>
  <c r="W180" i="89"/>
  <c r="T180" i="89"/>
  <c r="U180" i="89" s="1"/>
  <c r="S180" i="89"/>
  <c r="R180" i="89"/>
  <c r="P180" i="89"/>
  <c r="Q180" i="89" s="1"/>
  <c r="O180" i="89"/>
  <c r="N180" i="89"/>
  <c r="AO179" i="89"/>
  <c r="AL179" i="89"/>
  <c r="AH179" i="89"/>
  <c r="AB179" i="89"/>
  <c r="X179" i="89"/>
  <c r="W179" i="89"/>
  <c r="T179" i="89"/>
  <c r="U179" i="89" s="1"/>
  <c r="R179" i="89"/>
  <c r="S179" i="89" s="1"/>
  <c r="P179" i="89"/>
  <c r="Q179" i="89" s="1"/>
  <c r="Y179" i="89" s="1"/>
  <c r="O179" i="89"/>
  <c r="N179" i="89"/>
  <c r="AO178" i="89"/>
  <c r="AL178" i="89"/>
  <c r="AH178" i="89"/>
  <c r="AB178" i="89"/>
  <c r="X178" i="89"/>
  <c r="W178" i="89"/>
  <c r="T178" i="89"/>
  <c r="U178" i="89" s="1"/>
  <c r="S178" i="89"/>
  <c r="R178" i="89"/>
  <c r="P178" i="89"/>
  <c r="Q178" i="89" s="1"/>
  <c r="O178" i="89"/>
  <c r="N178" i="89"/>
  <c r="Y178" i="89" s="1"/>
  <c r="AO177" i="89"/>
  <c r="AL177" i="89"/>
  <c r="AH177" i="89"/>
  <c r="AB177" i="89"/>
  <c r="X177" i="89"/>
  <c r="W177" i="89"/>
  <c r="R177" i="89"/>
  <c r="S177" i="89" s="1"/>
  <c r="T177" i="89" s="1"/>
  <c r="U177" i="89" s="1"/>
  <c r="O177" i="89"/>
  <c r="P177" i="89" s="1"/>
  <c r="Q177" i="89" s="1"/>
  <c r="Y177" i="89" s="1"/>
  <c r="N177" i="89"/>
  <c r="AO176" i="89"/>
  <c r="AL176" i="89"/>
  <c r="AH176" i="89"/>
  <c r="AB176" i="89"/>
  <c r="X176" i="89"/>
  <c r="W176" i="89"/>
  <c r="T176" i="89"/>
  <c r="U176" i="89" s="1"/>
  <c r="S176" i="89"/>
  <c r="R176" i="89"/>
  <c r="Q176" i="89"/>
  <c r="P176" i="89"/>
  <c r="O176" i="89"/>
  <c r="N176" i="89"/>
  <c r="Y176" i="89" s="1"/>
  <c r="AO175" i="89"/>
  <c r="AL175" i="89"/>
  <c r="AH175" i="89"/>
  <c r="AB175" i="89"/>
  <c r="X175" i="89"/>
  <c r="W175" i="89"/>
  <c r="U175" i="89"/>
  <c r="R175" i="89"/>
  <c r="S175" i="89" s="1"/>
  <c r="T175" i="89" s="1"/>
  <c r="Q175" i="89"/>
  <c r="Y175" i="89" s="1"/>
  <c r="O175" i="89"/>
  <c r="P175" i="89" s="1"/>
  <c r="N175" i="89"/>
  <c r="AO174" i="89"/>
  <c r="AL174" i="89"/>
  <c r="AH174" i="89"/>
  <c r="AB174" i="89"/>
  <c r="X174" i="89"/>
  <c r="W174" i="89"/>
  <c r="T174" i="89"/>
  <c r="U174" i="89" s="1"/>
  <c r="S174" i="89"/>
  <c r="R174" i="89"/>
  <c r="Q174" i="89"/>
  <c r="P174" i="89"/>
  <c r="O174" i="89"/>
  <c r="N174" i="89"/>
  <c r="Y174" i="89" s="1"/>
  <c r="AO173" i="89"/>
  <c r="AL173" i="89"/>
  <c r="AH173" i="89"/>
  <c r="AB173" i="89"/>
  <c r="X173" i="89"/>
  <c r="W173" i="89"/>
  <c r="R173" i="89"/>
  <c r="S173" i="89" s="1"/>
  <c r="T173" i="89" s="1"/>
  <c r="U173" i="89" s="1"/>
  <c r="O173" i="89"/>
  <c r="P173" i="89" s="1"/>
  <c r="Q173" i="89" s="1"/>
  <c r="Y173" i="89" s="1"/>
  <c r="N173" i="89"/>
  <c r="AO172" i="89"/>
  <c r="AL172" i="89"/>
  <c r="AH172" i="89"/>
  <c r="AB172" i="89"/>
  <c r="X172" i="89"/>
  <c r="W172" i="89"/>
  <c r="T172" i="89"/>
  <c r="U172" i="89" s="1"/>
  <c r="S172" i="89"/>
  <c r="R172" i="89"/>
  <c r="Q172" i="89"/>
  <c r="P172" i="89"/>
  <c r="O172" i="89"/>
  <c r="N172" i="89"/>
  <c r="AO171" i="89"/>
  <c r="AL171" i="89"/>
  <c r="AH171" i="89"/>
  <c r="AB171" i="89"/>
  <c r="X171" i="89"/>
  <c r="W171" i="89"/>
  <c r="U171" i="89"/>
  <c r="R171" i="89"/>
  <c r="S171" i="89" s="1"/>
  <c r="T171" i="89" s="1"/>
  <c r="Q171" i="89"/>
  <c r="Y171" i="89" s="1"/>
  <c r="O171" i="89"/>
  <c r="P171" i="89" s="1"/>
  <c r="N171" i="89"/>
  <c r="AO170" i="89"/>
  <c r="AL170" i="89"/>
  <c r="AH170" i="89"/>
  <c r="AB170" i="89"/>
  <c r="X170" i="89"/>
  <c r="W170" i="89"/>
  <c r="T170" i="89"/>
  <c r="U170" i="89" s="1"/>
  <c r="S170" i="89"/>
  <c r="R170" i="89"/>
  <c r="Q170" i="89"/>
  <c r="P170" i="89"/>
  <c r="O170" i="89"/>
  <c r="N170" i="89"/>
  <c r="Y170" i="89" s="1"/>
  <c r="AO169" i="89"/>
  <c r="AL169" i="89"/>
  <c r="AH169" i="89"/>
  <c r="AB169" i="89"/>
  <c r="X169" i="89"/>
  <c r="W169" i="89"/>
  <c r="R169" i="89"/>
  <c r="S169" i="89" s="1"/>
  <c r="T169" i="89" s="1"/>
  <c r="U169" i="89" s="1"/>
  <c r="O169" i="89"/>
  <c r="P169" i="89" s="1"/>
  <c r="Q169" i="89" s="1"/>
  <c r="Y169" i="89" s="1"/>
  <c r="N169" i="89"/>
  <c r="AO168" i="89"/>
  <c r="AL168" i="89"/>
  <c r="AH168" i="89"/>
  <c r="AB168" i="89"/>
  <c r="X168" i="89"/>
  <c r="W168" i="89"/>
  <c r="T168" i="89"/>
  <c r="U168" i="89" s="1"/>
  <c r="S168" i="89"/>
  <c r="R168" i="89"/>
  <c r="Q168" i="89"/>
  <c r="P168" i="89"/>
  <c r="O168" i="89"/>
  <c r="N168" i="89"/>
  <c r="AO167" i="89"/>
  <c r="AL167" i="89"/>
  <c r="AH167" i="89"/>
  <c r="AB167" i="89"/>
  <c r="X167" i="89"/>
  <c r="W167" i="89"/>
  <c r="R167" i="89"/>
  <c r="S167" i="89" s="1"/>
  <c r="T167" i="89" s="1"/>
  <c r="U167" i="89" s="1"/>
  <c r="Q167" i="89"/>
  <c r="Y167" i="89" s="1"/>
  <c r="O167" i="89"/>
  <c r="P167" i="89" s="1"/>
  <c r="N167" i="89"/>
  <c r="AO166" i="89"/>
  <c r="AL166" i="89"/>
  <c r="AH166" i="89"/>
  <c r="AB166" i="89"/>
  <c r="X166" i="89"/>
  <c r="W166" i="89"/>
  <c r="T166" i="89"/>
  <c r="U166" i="89" s="1"/>
  <c r="S166" i="89"/>
  <c r="R166" i="89"/>
  <c r="Q166" i="89"/>
  <c r="P166" i="89"/>
  <c r="O166" i="89"/>
  <c r="N166" i="89"/>
  <c r="Y166" i="89" s="1"/>
  <c r="AO165" i="89"/>
  <c r="AL165" i="89"/>
  <c r="AH165" i="89"/>
  <c r="AB165" i="89"/>
  <c r="X165" i="89"/>
  <c r="W165" i="89"/>
  <c r="R165" i="89"/>
  <c r="S165" i="89" s="1"/>
  <c r="T165" i="89" s="1"/>
  <c r="U165" i="89" s="1"/>
  <c r="Q165" i="89"/>
  <c r="Y165" i="89" s="1"/>
  <c r="O165" i="89"/>
  <c r="P165" i="89" s="1"/>
  <c r="N165" i="89"/>
  <c r="AO164" i="89"/>
  <c r="AL164" i="89"/>
  <c r="AH164" i="89"/>
  <c r="AB164" i="89"/>
  <c r="X164" i="89"/>
  <c r="W164" i="89"/>
  <c r="T164" i="89"/>
  <c r="U164" i="89" s="1"/>
  <c r="S164" i="89"/>
  <c r="R164" i="89"/>
  <c r="Q164" i="89"/>
  <c r="P164" i="89"/>
  <c r="O164" i="89"/>
  <c r="N164" i="89"/>
  <c r="AO163" i="89"/>
  <c r="AL163" i="89"/>
  <c r="AH163" i="89"/>
  <c r="AB163" i="89"/>
  <c r="X163" i="89"/>
  <c r="W163" i="89"/>
  <c r="U163" i="89"/>
  <c r="R163" i="89"/>
  <c r="S163" i="89" s="1"/>
  <c r="T163" i="89" s="1"/>
  <c r="O163" i="89"/>
  <c r="P163" i="89" s="1"/>
  <c r="Q163" i="89" s="1"/>
  <c r="Y163" i="89" s="1"/>
  <c r="N163" i="89"/>
  <c r="AO162" i="89"/>
  <c r="AL162" i="89"/>
  <c r="AH162" i="89"/>
  <c r="AB162" i="89"/>
  <c r="X162" i="89"/>
  <c r="W162" i="89"/>
  <c r="S162" i="89"/>
  <c r="T162" i="89" s="1"/>
  <c r="U162" i="89" s="1"/>
  <c r="R162" i="89"/>
  <c r="P162" i="89"/>
  <c r="Q162" i="89" s="1"/>
  <c r="O162" i="89"/>
  <c r="N162" i="89"/>
  <c r="AO161" i="89"/>
  <c r="AL161" i="89"/>
  <c r="AH161" i="89"/>
  <c r="AB161" i="89"/>
  <c r="Y161" i="89"/>
  <c r="X161" i="89"/>
  <c r="W161" i="89"/>
  <c r="U161" i="89"/>
  <c r="R161" i="89"/>
  <c r="S161" i="89" s="1"/>
  <c r="T161" i="89" s="1"/>
  <c r="O161" i="89"/>
  <c r="P161" i="89" s="1"/>
  <c r="Q161" i="89" s="1"/>
  <c r="N161" i="89"/>
  <c r="AO160" i="89"/>
  <c r="AL160" i="89"/>
  <c r="AH160" i="89"/>
  <c r="AB160" i="89"/>
  <c r="X160" i="89"/>
  <c r="W160" i="89"/>
  <c r="T160" i="89"/>
  <c r="U160" i="89" s="1"/>
  <c r="S160" i="89"/>
  <c r="R160" i="89"/>
  <c r="P160" i="89"/>
  <c r="Q160" i="89" s="1"/>
  <c r="O160" i="89"/>
  <c r="N160" i="89"/>
  <c r="Y160" i="89" s="1"/>
  <c r="AO159" i="89"/>
  <c r="AL159" i="89"/>
  <c r="AH159" i="89"/>
  <c r="AB159" i="89"/>
  <c r="Y159" i="89"/>
  <c r="X159" i="89"/>
  <c r="W159" i="89"/>
  <c r="R159" i="89"/>
  <c r="S159" i="89" s="1"/>
  <c r="T159" i="89" s="1"/>
  <c r="U159" i="89" s="1"/>
  <c r="P159" i="89"/>
  <c r="Q159" i="89" s="1"/>
  <c r="O159" i="89"/>
  <c r="N159" i="89"/>
  <c r="AO158" i="89"/>
  <c r="AL158" i="89"/>
  <c r="AH158" i="89"/>
  <c r="AB158" i="89"/>
  <c r="X158" i="89"/>
  <c r="W158" i="89"/>
  <c r="S158" i="89"/>
  <c r="T158" i="89" s="1"/>
  <c r="U158" i="89" s="1"/>
  <c r="R158" i="89"/>
  <c r="Q158" i="89"/>
  <c r="P158" i="89"/>
  <c r="O158" i="89"/>
  <c r="N158" i="89"/>
  <c r="AO157" i="89"/>
  <c r="AL157" i="89"/>
  <c r="AH157" i="89"/>
  <c r="AB157" i="89"/>
  <c r="X157" i="89"/>
  <c r="W157" i="89"/>
  <c r="U157" i="89"/>
  <c r="S157" i="89"/>
  <c r="T157" i="89" s="1"/>
  <c r="R157" i="89"/>
  <c r="P157" i="89"/>
  <c r="Q157" i="89" s="1"/>
  <c r="Y157" i="89" s="1"/>
  <c r="O157" i="89"/>
  <c r="N157" i="89"/>
  <c r="AO156" i="89"/>
  <c r="AL156" i="89"/>
  <c r="AH156" i="89"/>
  <c r="AB156" i="89"/>
  <c r="X156" i="89"/>
  <c r="W156" i="89"/>
  <c r="S156" i="89"/>
  <c r="T156" i="89" s="1"/>
  <c r="U156" i="89" s="1"/>
  <c r="R156" i="89"/>
  <c r="Q156" i="89"/>
  <c r="Y156" i="89" s="1"/>
  <c r="O156" i="89"/>
  <c r="P156" i="89" s="1"/>
  <c r="N156" i="89"/>
  <c r="AO155" i="89"/>
  <c r="AL155" i="89"/>
  <c r="AH155" i="89"/>
  <c r="AB155" i="89"/>
  <c r="X155" i="89"/>
  <c r="W155" i="89"/>
  <c r="S155" i="89"/>
  <c r="T155" i="89" s="1"/>
  <c r="U155" i="89" s="1"/>
  <c r="R155" i="89"/>
  <c r="P155" i="89"/>
  <c r="Q155" i="89" s="1"/>
  <c r="Y155" i="89" s="1"/>
  <c r="O155" i="89"/>
  <c r="N155" i="89"/>
  <c r="AO154" i="89"/>
  <c r="AL154" i="89"/>
  <c r="AH154" i="89"/>
  <c r="AB154" i="89"/>
  <c r="X154" i="89"/>
  <c r="W154" i="89"/>
  <c r="T154" i="89"/>
  <c r="U154" i="89" s="1"/>
  <c r="R154" i="89"/>
  <c r="S154" i="89" s="1"/>
  <c r="P154" i="89"/>
  <c r="Q154" i="89" s="1"/>
  <c r="O154" i="89"/>
  <c r="N154" i="89"/>
  <c r="AO153" i="89"/>
  <c r="AL153" i="89"/>
  <c r="AH153" i="89"/>
  <c r="AB153" i="89"/>
  <c r="X153" i="89"/>
  <c r="W153" i="89"/>
  <c r="T153" i="89"/>
  <c r="U153" i="89" s="1"/>
  <c r="R153" i="89"/>
  <c r="S153" i="89" s="1"/>
  <c r="P153" i="89"/>
  <c r="Q153" i="89" s="1"/>
  <c r="O153" i="89"/>
  <c r="N153" i="89"/>
  <c r="Y153" i="89" s="1"/>
  <c r="AO152" i="89"/>
  <c r="AL152" i="89"/>
  <c r="AH152" i="89"/>
  <c r="AB152" i="89"/>
  <c r="X152" i="89"/>
  <c r="W152" i="89"/>
  <c r="T152" i="89"/>
  <c r="U152" i="89" s="1"/>
  <c r="R152" i="89"/>
  <c r="S152" i="89" s="1"/>
  <c r="Q152" i="89"/>
  <c r="P152" i="89"/>
  <c r="O152" i="89"/>
  <c r="N152" i="89"/>
  <c r="AO151" i="89"/>
  <c r="AL151" i="89"/>
  <c r="AH151" i="89"/>
  <c r="AB151" i="89"/>
  <c r="X151" i="89"/>
  <c r="W151" i="89"/>
  <c r="T151" i="89"/>
  <c r="U151" i="89" s="1"/>
  <c r="R151" i="89"/>
  <c r="S151" i="89" s="1"/>
  <c r="P151" i="89"/>
  <c r="Q151" i="89" s="1"/>
  <c r="O151" i="89"/>
  <c r="N151" i="89"/>
  <c r="Y151" i="89" s="1"/>
  <c r="AO150" i="89"/>
  <c r="AL150" i="89"/>
  <c r="AH150" i="89"/>
  <c r="AB150" i="89"/>
  <c r="X150" i="89"/>
  <c r="W150" i="89"/>
  <c r="R150" i="89"/>
  <c r="S150" i="89" s="1"/>
  <c r="T150" i="89" s="1"/>
  <c r="U150" i="89" s="1"/>
  <c r="Q150" i="89"/>
  <c r="Y150" i="89" s="1"/>
  <c r="P150" i="89"/>
  <c r="O150" i="89"/>
  <c r="N150" i="89"/>
  <c r="AO149" i="89"/>
  <c r="AL149" i="89"/>
  <c r="AH149" i="89"/>
  <c r="AB149" i="89"/>
  <c r="X149" i="89"/>
  <c r="W149" i="89"/>
  <c r="U149" i="89"/>
  <c r="T149" i="89"/>
  <c r="R149" i="89"/>
  <c r="S149" i="89" s="1"/>
  <c r="P149" i="89"/>
  <c r="Q149" i="89" s="1"/>
  <c r="O149" i="89"/>
  <c r="N149" i="89"/>
  <c r="Y149" i="89" s="1"/>
  <c r="AO148" i="89"/>
  <c r="AL148" i="89"/>
  <c r="AH148" i="89"/>
  <c r="AB148" i="89"/>
  <c r="X148" i="89"/>
  <c r="W148" i="89"/>
  <c r="T148" i="89"/>
  <c r="U148" i="89" s="1"/>
  <c r="R148" i="89"/>
  <c r="S148" i="89" s="1"/>
  <c r="P148" i="89"/>
  <c r="Q148" i="89" s="1"/>
  <c r="O148" i="89"/>
  <c r="N148" i="89"/>
  <c r="Y148" i="89" s="1"/>
  <c r="AO147" i="89"/>
  <c r="AL147" i="89"/>
  <c r="AH147" i="89"/>
  <c r="AB147" i="89"/>
  <c r="X147" i="89"/>
  <c r="W147" i="89"/>
  <c r="U147" i="89"/>
  <c r="T147" i="89"/>
  <c r="R147" i="89"/>
  <c r="S147" i="89" s="1"/>
  <c r="P147" i="89"/>
  <c r="Q147" i="89" s="1"/>
  <c r="O147" i="89"/>
  <c r="N147" i="89"/>
  <c r="Y147" i="89" s="1"/>
  <c r="AO146" i="89"/>
  <c r="AL146" i="89"/>
  <c r="AH146" i="89"/>
  <c r="AB146" i="89"/>
  <c r="X146" i="89"/>
  <c r="W146" i="89"/>
  <c r="Y146" i="89" s="1"/>
  <c r="U146" i="89"/>
  <c r="T146" i="89"/>
  <c r="R146" i="89"/>
  <c r="S146" i="89" s="1"/>
  <c r="P146" i="89"/>
  <c r="Q146" i="89" s="1"/>
  <c r="O146" i="89"/>
  <c r="N146" i="89"/>
  <c r="AO145" i="89"/>
  <c r="AL145" i="89"/>
  <c r="AH145" i="89"/>
  <c r="AB145" i="89"/>
  <c r="X145" i="89"/>
  <c r="W145" i="89"/>
  <c r="U145" i="89"/>
  <c r="T145" i="89"/>
  <c r="R145" i="89"/>
  <c r="S145" i="89" s="1"/>
  <c r="Q145" i="89"/>
  <c r="P145" i="89"/>
  <c r="O145" i="89"/>
  <c r="N145" i="89"/>
  <c r="Y145" i="89" s="1"/>
  <c r="AO144" i="89"/>
  <c r="AL144" i="89"/>
  <c r="AH144" i="89"/>
  <c r="AB144" i="89"/>
  <c r="X144" i="89"/>
  <c r="W144" i="89"/>
  <c r="R144" i="89"/>
  <c r="S144" i="89" s="1"/>
  <c r="T144" i="89" s="1"/>
  <c r="U144" i="89" s="1"/>
  <c r="Q144" i="89"/>
  <c r="P144" i="89"/>
  <c r="O144" i="89"/>
  <c r="N144" i="89"/>
  <c r="Y144" i="89" s="1"/>
  <c r="AO143" i="89"/>
  <c r="AL143" i="89"/>
  <c r="AH143" i="89"/>
  <c r="AB143" i="89"/>
  <c r="X143" i="89"/>
  <c r="W143" i="89"/>
  <c r="R143" i="89"/>
  <c r="S143" i="89" s="1"/>
  <c r="T143" i="89" s="1"/>
  <c r="U143" i="89" s="1"/>
  <c r="Q143" i="89"/>
  <c r="Y143" i="89" s="1"/>
  <c r="P143" i="89"/>
  <c r="O143" i="89"/>
  <c r="N143" i="89"/>
  <c r="AO142" i="89"/>
  <c r="AL142" i="89"/>
  <c r="AH142" i="89"/>
  <c r="AB142" i="89"/>
  <c r="X142" i="89"/>
  <c r="W142" i="89"/>
  <c r="U142" i="89"/>
  <c r="T142" i="89"/>
  <c r="R142" i="89"/>
  <c r="S142" i="89" s="1"/>
  <c r="P142" i="89"/>
  <c r="Q142" i="89" s="1"/>
  <c r="Y142" i="89" s="1"/>
  <c r="O142" i="89"/>
  <c r="N142" i="89"/>
  <c r="AO141" i="89"/>
  <c r="AL141" i="89"/>
  <c r="AH141" i="89"/>
  <c r="AB141" i="89"/>
  <c r="X141" i="89"/>
  <c r="W141" i="89"/>
  <c r="T141" i="89"/>
  <c r="U141" i="89" s="1"/>
  <c r="R141" i="89"/>
  <c r="S141" i="89" s="1"/>
  <c r="P141" i="89"/>
  <c r="Q141" i="89" s="1"/>
  <c r="Y141" i="89" s="1"/>
  <c r="O141" i="89"/>
  <c r="N141" i="89"/>
  <c r="AO140" i="89"/>
  <c r="AL140" i="89"/>
  <c r="AH140" i="89"/>
  <c r="AB140" i="89"/>
  <c r="Y140" i="89"/>
  <c r="X140" i="89"/>
  <c r="W140" i="89"/>
  <c r="R140" i="89"/>
  <c r="S140" i="89" s="1"/>
  <c r="T140" i="89" s="1"/>
  <c r="U140" i="89" s="1"/>
  <c r="Q140" i="89"/>
  <c r="P140" i="89"/>
  <c r="O140" i="89"/>
  <c r="N140" i="89"/>
  <c r="AO139" i="89"/>
  <c r="AL139" i="89"/>
  <c r="AH139" i="89"/>
  <c r="AB139" i="89"/>
  <c r="X139" i="89"/>
  <c r="W139" i="89"/>
  <c r="U139" i="89"/>
  <c r="T139" i="89"/>
  <c r="R139" i="89"/>
  <c r="S139" i="89" s="1"/>
  <c r="P139" i="89"/>
  <c r="Q139" i="89" s="1"/>
  <c r="O139" i="89"/>
  <c r="N139" i="89"/>
  <c r="AO138" i="89"/>
  <c r="AL138" i="89"/>
  <c r="AH138" i="89"/>
  <c r="AB138" i="89"/>
  <c r="X138" i="89"/>
  <c r="W138" i="89"/>
  <c r="R138" i="89"/>
  <c r="S138" i="89" s="1"/>
  <c r="T138" i="89" s="1"/>
  <c r="U138" i="89" s="1"/>
  <c r="P138" i="89"/>
  <c r="Q138" i="89" s="1"/>
  <c r="Y138" i="89" s="1"/>
  <c r="O138" i="89"/>
  <c r="N138" i="89"/>
  <c r="AO137" i="89"/>
  <c r="AL137" i="89"/>
  <c r="AH137" i="89"/>
  <c r="AB137" i="89"/>
  <c r="X137" i="89"/>
  <c r="W137" i="89"/>
  <c r="U137" i="89"/>
  <c r="T137" i="89"/>
  <c r="R137" i="89"/>
  <c r="S137" i="89" s="1"/>
  <c r="O137" i="89"/>
  <c r="P137" i="89" s="1"/>
  <c r="Q137" i="89" s="1"/>
  <c r="Y137" i="89" s="1"/>
  <c r="N137" i="89"/>
  <c r="AO136" i="89"/>
  <c r="AL136" i="89"/>
  <c r="AH136" i="89"/>
  <c r="AB136" i="89"/>
  <c r="X136" i="89"/>
  <c r="W136" i="89"/>
  <c r="R136" i="89"/>
  <c r="S136" i="89" s="1"/>
  <c r="T136" i="89" s="1"/>
  <c r="U136" i="89" s="1"/>
  <c r="Q136" i="89"/>
  <c r="P136" i="89"/>
  <c r="O136" i="89"/>
  <c r="N136" i="89"/>
  <c r="AO135" i="89"/>
  <c r="AL135" i="89"/>
  <c r="AH135" i="89"/>
  <c r="AB135" i="89"/>
  <c r="X135" i="89"/>
  <c r="W135" i="89"/>
  <c r="R135" i="89"/>
  <c r="S135" i="89" s="1"/>
  <c r="T135" i="89" s="1"/>
  <c r="U135" i="89" s="1"/>
  <c r="O135" i="89"/>
  <c r="P135" i="89" s="1"/>
  <c r="Q135" i="89" s="1"/>
  <c r="N135" i="89"/>
  <c r="AO134" i="89"/>
  <c r="AL134" i="89"/>
  <c r="AH134" i="89"/>
  <c r="AB134" i="89"/>
  <c r="X134" i="89"/>
  <c r="W134" i="89"/>
  <c r="S134" i="89"/>
  <c r="T134" i="89" s="1"/>
  <c r="U134" i="89" s="1"/>
  <c r="R134" i="89"/>
  <c r="P134" i="89"/>
  <c r="Q134" i="89" s="1"/>
  <c r="Y134" i="89" s="1"/>
  <c r="O134" i="89"/>
  <c r="N134" i="89"/>
  <c r="AO133" i="89"/>
  <c r="AL133" i="89"/>
  <c r="AH133" i="89"/>
  <c r="AB133" i="89"/>
  <c r="X133" i="89"/>
  <c r="W133" i="89"/>
  <c r="U133" i="89"/>
  <c r="R133" i="89"/>
  <c r="S133" i="89" s="1"/>
  <c r="T133" i="89" s="1"/>
  <c r="O133" i="89"/>
  <c r="P133" i="89" s="1"/>
  <c r="Q133" i="89" s="1"/>
  <c r="N133" i="89"/>
  <c r="Y133" i="89" s="1"/>
  <c r="AO132" i="89"/>
  <c r="AL132" i="89"/>
  <c r="AH132" i="89"/>
  <c r="AB132" i="89"/>
  <c r="X132" i="89"/>
  <c r="W132" i="89"/>
  <c r="T132" i="89"/>
  <c r="U132" i="89" s="1"/>
  <c r="S132" i="89"/>
  <c r="R132" i="89"/>
  <c r="Q132" i="89"/>
  <c r="Y132" i="89" s="1"/>
  <c r="P132" i="89"/>
  <c r="O132" i="89"/>
  <c r="N132" i="89"/>
  <c r="AO131" i="89"/>
  <c r="AL131" i="89"/>
  <c r="AH131" i="89"/>
  <c r="AB131" i="89"/>
  <c r="Y131" i="89"/>
  <c r="X131" i="89"/>
  <c r="W131" i="89"/>
  <c r="R131" i="89"/>
  <c r="S131" i="89" s="1"/>
  <c r="T131" i="89" s="1"/>
  <c r="U131" i="89" s="1"/>
  <c r="Q131" i="89"/>
  <c r="P131" i="89"/>
  <c r="O131" i="89"/>
  <c r="N131" i="89"/>
  <c r="AO130" i="89"/>
  <c r="AL130" i="89"/>
  <c r="AH130" i="89"/>
  <c r="AB130" i="89"/>
  <c r="X130" i="89"/>
  <c r="W130" i="89"/>
  <c r="R130" i="89"/>
  <c r="S130" i="89" s="1"/>
  <c r="T130" i="89" s="1"/>
  <c r="U130" i="89" s="1"/>
  <c r="Q130" i="89"/>
  <c r="O130" i="89"/>
  <c r="P130" i="89" s="1"/>
  <c r="N130" i="89"/>
  <c r="AO129" i="89"/>
  <c r="AL129" i="89"/>
  <c r="AH129" i="89"/>
  <c r="AB129" i="89"/>
  <c r="X129" i="89"/>
  <c r="W129" i="89"/>
  <c r="U129" i="89"/>
  <c r="R129" i="89"/>
  <c r="S129" i="89" s="1"/>
  <c r="T129" i="89" s="1"/>
  <c r="P129" i="89"/>
  <c r="Q129" i="89" s="1"/>
  <c r="O129" i="89"/>
  <c r="N129" i="89"/>
  <c r="Y129" i="89" s="1"/>
  <c r="AO128" i="89"/>
  <c r="AL128" i="89"/>
  <c r="AH128" i="89"/>
  <c r="AB128" i="89"/>
  <c r="X128" i="89"/>
  <c r="W128" i="89"/>
  <c r="T128" i="89"/>
  <c r="U128" i="89" s="1"/>
  <c r="R128" i="89"/>
  <c r="S128" i="89" s="1"/>
  <c r="Q128" i="89"/>
  <c r="O128" i="89"/>
  <c r="P128" i="89" s="1"/>
  <c r="N128" i="89"/>
  <c r="AO127" i="89"/>
  <c r="AL127" i="89"/>
  <c r="AH127" i="89"/>
  <c r="AB127" i="89"/>
  <c r="Y127" i="89"/>
  <c r="X127" i="89"/>
  <c r="W127" i="89"/>
  <c r="U127" i="89"/>
  <c r="S127" i="89"/>
  <c r="T127" i="89" s="1"/>
  <c r="R127" i="89"/>
  <c r="Q127" i="89"/>
  <c r="P127" i="89"/>
  <c r="O127" i="89"/>
  <c r="N127" i="89"/>
  <c r="AO126" i="89"/>
  <c r="AL126" i="89"/>
  <c r="AH126" i="89"/>
  <c r="AB126" i="89"/>
  <c r="X126" i="89"/>
  <c r="W126" i="89"/>
  <c r="T126" i="89"/>
  <c r="U126" i="89" s="1"/>
  <c r="R126" i="89"/>
  <c r="S126" i="89" s="1"/>
  <c r="O126" i="89"/>
  <c r="P126" i="89" s="1"/>
  <c r="Q126" i="89" s="1"/>
  <c r="N126" i="89"/>
  <c r="AO125" i="89"/>
  <c r="AL125" i="89"/>
  <c r="AH125" i="89"/>
  <c r="AB125" i="89"/>
  <c r="X125" i="89"/>
  <c r="W125" i="89"/>
  <c r="U125" i="89"/>
  <c r="R125" i="89"/>
  <c r="S125" i="89" s="1"/>
  <c r="T125" i="89" s="1"/>
  <c r="Q125" i="89"/>
  <c r="P125" i="89"/>
  <c r="O125" i="89"/>
  <c r="N125" i="89"/>
  <c r="AO124" i="89"/>
  <c r="AL124" i="89"/>
  <c r="AH124" i="89"/>
  <c r="AB124" i="89"/>
  <c r="X124" i="89"/>
  <c r="W124" i="89"/>
  <c r="T124" i="89"/>
  <c r="U124" i="89" s="1"/>
  <c r="R124" i="89"/>
  <c r="S124" i="89" s="1"/>
  <c r="O124" i="89"/>
  <c r="P124" i="89" s="1"/>
  <c r="Q124" i="89" s="1"/>
  <c r="N124" i="89"/>
  <c r="AO123" i="89"/>
  <c r="AL123" i="89"/>
  <c r="AH123" i="89"/>
  <c r="AB123" i="89"/>
  <c r="X123" i="89"/>
  <c r="W123" i="89"/>
  <c r="S123" i="89"/>
  <c r="T123" i="89" s="1"/>
  <c r="U123" i="89" s="1"/>
  <c r="R123" i="89"/>
  <c r="Q123" i="89"/>
  <c r="P123" i="89"/>
  <c r="O123" i="89"/>
  <c r="N123" i="89"/>
  <c r="AO122" i="89"/>
  <c r="AL122" i="89"/>
  <c r="AH122" i="89"/>
  <c r="AB122" i="89"/>
  <c r="X122" i="89"/>
  <c r="W122" i="89"/>
  <c r="R122" i="89"/>
  <c r="S122" i="89" s="1"/>
  <c r="T122" i="89" s="1"/>
  <c r="U122" i="89" s="1"/>
  <c r="O122" i="89"/>
  <c r="P122" i="89" s="1"/>
  <c r="Q122" i="89" s="1"/>
  <c r="N122" i="89"/>
  <c r="AO121" i="89"/>
  <c r="AL121" i="89"/>
  <c r="AH121" i="89"/>
  <c r="AB121" i="89"/>
  <c r="X121" i="89"/>
  <c r="W121" i="89"/>
  <c r="R121" i="89"/>
  <c r="S121" i="89" s="1"/>
  <c r="T121" i="89" s="1"/>
  <c r="U121" i="89" s="1"/>
  <c r="P121" i="89"/>
  <c r="Q121" i="89" s="1"/>
  <c r="O121" i="89"/>
  <c r="N121" i="89"/>
  <c r="AO120" i="89"/>
  <c r="AL120" i="89"/>
  <c r="AH120" i="89"/>
  <c r="AB120" i="89"/>
  <c r="X120" i="89"/>
  <c r="W120" i="89"/>
  <c r="T120" i="89"/>
  <c r="U120" i="89" s="1"/>
  <c r="R120" i="89"/>
  <c r="S120" i="89" s="1"/>
  <c r="Q120" i="89"/>
  <c r="O120" i="89"/>
  <c r="P120" i="89" s="1"/>
  <c r="N120" i="89"/>
  <c r="AO119" i="89"/>
  <c r="AL119" i="89"/>
  <c r="AH119" i="89"/>
  <c r="AB119" i="89"/>
  <c r="X119" i="89"/>
  <c r="W119" i="89"/>
  <c r="S119" i="89"/>
  <c r="T119" i="89" s="1"/>
  <c r="U119" i="89" s="1"/>
  <c r="R119" i="89"/>
  <c r="P119" i="89"/>
  <c r="Q119" i="89" s="1"/>
  <c r="Y119" i="89" s="1"/>
  <c r="O119" i="89"/>
  <c r="N119" i="89"/>
  <c r="AO118" i="89"/>
  <c r="AL118" i="89"/>
  <c r="AH118" i="89"/>
  <c r="AB118" i="89"/>
  <c r="X118" i="89"/>
  <c r="W118" i="89"/>
  <c r="S118" i="89"/>
  <c r="T118" i="89" s="1"/>
  <c r="U118" i="89" s="1"/>
  <c r="R118" i="89"/>
  <c r="Q118" i="89"/>
  <c r="O118" i="89"/>
  <c r="P118" i="89" s="1"/>
  <c r="N118" i="89"/>
  <c r="AO117" i="89"/>
  <c r="AL117" i="89"/>
  <c r="AH117" i="89"/>
  <c r="AB117" i="89"/>
  <c r="Y117" i="89"/>
  <c r="X117" i="89"/>
  <c r="W117" i="89"/>
  <c r="S117" i="89"/>
  <c r="T117" i="89" s="1"/>
  <c r="U117" i="89" s="1"/>
  <c r="R117" i="89"/>
  <c r="Q117" i="89"/>
  <c r="O117" i="89"/>
  <c r="P117" i="89" s="1"/>
  <c r="N117" i="89"/>
  <c r="AO116" i="89"/>
  <c r="AL116" i="89"/>
  <c r="AH116" i="89"/>
  <c r="AB116" i="89"/>
  <c r="X116" i="89"/>
  <c r="W116" i="89"/>
  <c r="S116" i="89"/>
  <c r="T116" i="89" s="1"/>
  <c r="U116" i="89" s="1"/>
  <c r="R116" i="89"/>
  <c r="Q116" i="89"/>
  <c r="O116" i="89"/>
  <c r="P116" i="89" s="1"/>
  <c r="N116" i="89"/>
  <c r="Y116" i="89" s="1"/>
  <c r="AO115" i="89"/>
  <c r="AL115" i="89"/>
  <c r="AH115" i="89"/>
  <c r="AB115" i="89"/>
  <c r="Y115" i="89"/>
  <c r="X115" i="89"/>
  <c r="W115" i="89"/>
  <c r="U115" i="89"/>
  <c r="S115" i="89"/>
  <c r="T115" i="89" s="1"/>
  <c r="R115" i="89"/>
  <c r="O115" i="89"/>
  <c r="P115" i="89" s="1"/>
  <c r="Q115" i="89" s="1"/>
  <c r="N115" i="89"/>
  <c r="AO114" i="89"/>
  <c r="AL114" i="89"/>
  <c r="AH114" i="89"/>
  <c r="AB114" i="89"/>
  <c r="X114" i="89"/>
  <c r="W114" i="89"/>
  <c r="U114" i="89"/>
  <c r="S114" i="89"/>
  <c r="T114" i="89" s="1"/>
  <c r="R114" i="89"/>
  <c r="Q114" i="89"/>
  <c r="O114" i="89"/>
  <c r="P114" i="89" s="1"/>
  <c r="N114" i="89"/>
  <c r="Y114" i="89" s="1"/>
  <c r="AO113" i="89"/>
  <c r="AL113" i="89"/>
  <c r="AH113" i="89"/>
  <c r="AB113" i="89"/>
  <c r="X113" i="89"/>
  <c r="W113" i="89"/>
  <c r="S113" i="89"/>
  <c r="T113" i="89" s="1"/>
  <c r="U113" i="89" s="1"/>
  <c r="R113" i="89"/>
  <c r="Q113" i="89"/>
  <c r="O113" i="89"/>
  <c r="P113" i="89" s="1"/>
  <c r="N113" i="89"/>
  <c r="Y113" i="89" s="1"/>
  <c r="AO112" i="89"/>
  <c r="AL112" i="89"/>
  <c r="AH112" i="89"/>
  <c r="AB112" i="89"/>
  <c r="X112" i="89"/>
  <c r="W112" i="89"/>
  <c r="S112" i="89"/>
  <c r="T112" i="89" s="1"/>
  <c r="U112" i="89" s="1"/>
  <c r="R112" i="89"/>
  <c r="Q112" i="89"/>
  <c r="O112" i="89"/>
  <c r="P112" i="89" s="1"/>
  <c r="N112" i="89"/>
  <c r="Y112" i="89" s="1"/>
  <c r="AO111" i="89"/>
  <c r="AL111" i="89"/>
  <c r="AH111" i="89"/>
  <c r="AB111" i="89"/>
  <c r="X111" i="89"/>
  <c r="W111" i="89"/>
  <c r="S111" i="89"/>
  <c r="T111" i="89" s="1"/>
  <c r="U111" i="89" s="1"/>
  <c r="R111" i="89"/>
  <c r="P111" i="89"/>
  <c r="Q111" i="89" s="1"/>
  <c r="Y111" i="89" s="1"/>
  <c r="O111" i="89"/>
  <c r="N111" i="89"/>
  <c r="AO110" i="89"/>
  <c r="AL110" i="89"/>
  <c r="AH110" i="89"/>
  <c r="AB110" i="89"/>
  <c r="X110" i="89"/>
  <c r="W110" i="89"/>
  <c r="S110" i="89"/>
  <c r="T110" i="89" s="1"/>
  <c r="U110" i="89" s="1"/>
  <c r="R110" i="89"/>
  <c r="Q110" i="89"/>
  <c r="O110" i="89"/>
  <c r="P110" i="89" s="1"/>
  <c r="N110" i="89"/>
  <c r="Y110" i="89" s="1"/>
  <c r="AO109" i="89"/>
  <c r="AL109" i="89"/>
  <c r="AH109" i="89"/>
  <c r="AB109" i="89"/>
  <c r="X109" i="89"/>
  <c r="W109" i="89"/>
  <c r="S109" i="89"/>
  <c r="T109" i="89" s="1"/>
  <c r="U109" i="89" s="1"/>
  <c r="R109" i="89"/>
  <c r="Q109" i="89"/>
  <c r="Y109" i="89" s="1"/>
  <c r="O109" i="89"/>
  <c r="P109" i="89" s="1"/>
  <c r="N109" i="89"/>
  <c r="AO108" i="89"/>
  <c r="AL108" i="89"/>
  <c r="AH108" i="89"/>
  <c r="AB108" i="89"/>
  <c r="X108" i="89"/>
  <c r="W108" i="89"/>
  <c r="T108" i="89"/>
  <c r="U108" i="89" s="1"/>
  <c r="S108" i="89"/>
  <c r="R108" i="89"/>
  <c r="Q108" i="89"/>
  <c r="O108" i="89"/>
  <c r="P108" i="89" s="1"/>
  <c r="N108" i="89"/>
  <c r="AO107" i="89"/>
  <c r="AL107" i="89"/>
  <c r="AH107" i="89"/>
  <c r="AB107" i="89"/>
  <c r="X107" i="89"/>
  <c r="W107" i="89"/>
  <c r="U107" i="89"/>
  <c r="S107" i="89"/>
  <c r="T107" i="89" s="1"/>
  <c r="R107" i="89"/>
  <c r="O107" i="89"/>
  <c r="P107" i="89" s="1"/>
  <c r="Q107" i="89" s="1"/>
  <c r="N107" i="89"/>
  <c r="AO106" i="89"/>
  <c r="AL106" i="89"/>
  <c r="AH106" i="89"/>
  <c r="AB106" i="89"/>
  <c r="X106" i="89"/>
  <c r="W106" i="89"/>
  <c r="U106" i="89"/>
  <c r="S106" i="89"/>
  <c r="T106" i="89" s="1"/>
  <c r="R106" i="89"/>
  <c r="Q106" i="89"/>
  <c r="O106" i="89"/>
  <c r="P106" i="89" s="1"/>
  <c r="N106" i="89"/>
  <c r="AO105" i="89"/>
  <c r="AL105" i="89"/>
  <c r="AH105" i="89"/>
  <c r="AB105" i="89"/>
  <c r="X105" i="89"/>
  <c r="W105" i="89"/>
  <c r="S105" i="89"/>
  <c r="T105" i="89" s="1"/>
  <c r="U105" i="89" s="1"/>
  <c r="R105" i="89"/>
  <c r="Q105" i="89"/>
  <c r="O105" i="89"/>
  <c r="P105" i="89" s="1"/>
  <c r="N105" i="89"/>
  <c r="Y105" i="89" s="1"/>
  <c r="AO104" i="89"/>
  <c r="AL104" i="89"/>
  <c r="AH104" i="89"/>
  <c r="AB104" i="89"/>
  <c r="X104" i="89"/>
  <c r="W104" i="89"/>
  <c r="S104" i="89"/>
  <c r="T104" i="89" s="1"/>
  <c r="U104" i="89" s="1"/>
  <c r="R104" i="89"/>
  <c r="Q104" i="89"/>
  <c r="O104" i="89"/>
  <c r="P104" i="89" s="1"/>
  <c r="N104" i="89"/>
  <c r="AO103" i="89"/>
  <c r="AL103" i="89"/>
  <c r="AH103" i="89"/>
  <c r="AB103" i="89"/>
  <c r="X103" i="89"/>
  <c r="W103" i="89"/>
  <c r="S103" i="89"/>
  <c r="T103" i="89" s="1"/>
  <c r="U103" i="89" s="1"/>
  <c r="R103" i="89"/>
  <c r="Q103" i="89"/>
  <c r="Y103" i="89" s="1"/>
  <c r="P103" i="89"/>
  <c r="O103" i="89"/>
  <c r="N103" i="89"/>
  <c r="AO102" i="89"/>
  <c r="AL102" i="89"/>
  <c r="AH102" i="89"/>
  <c r="AB102" i="89"/>
  <c r="X102" i="89"/>
  <c r="W102" i="89"/>
  <c r="S102" i="89"/>
  <c r="T102" i="89" s="1"/>
  <c r="U102" i="89" s="1"/>
  <c r="R102" i="89"/>
  <c r="Q102" i="89"/>
  <c r="O102" i="89"/>
  <c r="P102" i="89" s="1"/>
  <c r="N102" i="89"/>
  <c r="Y102" i="89" s="1"/>
  <c r="AO101" i="89"/>
  <c r="AL101" i="89"/>
  <c r="AH101" i="89"/>
  <c r="AB101" i="89"/>
  <c r="X101" i="89"/>
  <c r="W101" i="89"/>
  <c r="S101" i="89"/>
  <c r="T101" i="89" s="1"/>
  <c r="U101" i="89" s="1"/>
  <c r="R101" i="89"/>
  <c r="O101" i="89"/>
  <c r="P101" i="89" s="1"/>
  <c r="Q101" i="89" s="1"/>
  <c r="N101" i="89"/>
  <c r="AO100" i="89"/>
  <c r="AL100" i="89"/>
  <c r="AH100" i="89"/>
  <c r="AB100" i="89"/>
  <c r="X100" i="89"/>
  <c r="W100" i="89"/>
  <c r="U100" i="89"/>
  <c r="S100" i="89"/>
  <c r="T100" i="89" s="1"/>
  <c r="R100" i="89"/>
  <c r="O100" i="89"/>
  <c r="P100" i="89" s="1"/>
  <c r="Q100" i="89" s="1"/>
  <c r="N100" i="89"/>
  <c r="AO99" i="89"/>
  <c r="AL99" i="89"/>
  <c r="AH99" i="89"/>
  <c r="AB99" i="89"/>
  <c r="X99" i="89"/>
  <c r="W99" i="89"/>
  <c r="U99" i="89"/>
  <c r="S99" i="89"/>
  <c r="T99" i="89" s="1"/>
  <c r="R99" i="89"/>
  <c r="P99" i="89"/>
  <c r="Q99" i="89" s="1"/>
  <c r="O99" i="89"/>
  <c r="N99" i="89"/>
  <c r="AO98" i="89"/>
  <c r="AL98" i="89"/>
  <c r="AH98" i="89"/>
  <c r="AB98" i="89"/>
  <c r="X98" i="89"/>
  <c r="W98" i="89"/>
  <c r="U98" i="89"/>
  <c r="S98" i="89"/>
  <c r="T98" i="89" s="1"/>
  <c r="R98" i="89"/>
  <c r="Q98" i="89"/>
  <c r="O98" i="89"/>
  <c r="P98" i="89" s="1"/>
  <c r="N98" i="89"/>
  <c r="Y98" i="89" s="1"/>
  <c r="AO97" i="89"/>
  <c r="AL97" i="89"/>
  <c r="AH97" i="89"/>
  <c r="AB97" i="89"/>
  <c r="X97" i="89"/>
  <c r="W97" i="89"/>
  <c r="R97" i="89"/>
  <c r="S97" i="89" s="1"/>
  <c r="T97" i="89" s="1"/>
  <c r="U97" i="89" s="1"/>
  <c r="Q97" i="89"/>
  <c r="Y97" i="89" s="1"/>
  <c r="O97" i="89"/>
  <c r="P97" i="89" s="1"/>
  <c r="N97" i="89"/>
  <c r="AO96" i="89"/>
  <c r="AL96" i="89"/>
  <c r="AH96" i="89"/>
  <c r="AB96" i="89"/>
  <c r="X96" i="89"/>
  <c r="W96" i="89"/>
  <c r="U96" i="89"/>
  <c r="S96" i="89"/>
  <c r="T96" i="89" s="1"/>
  <c r="R96" i="89"/>
  <c r="Q96" i="89"/>
  <c r="O96" i="89"/>
  <c r="P96" i="89" s="1"/>
  <c r="N96" i="89"/>
  <c r="Y96" i="89" s="1"/>
  <c r="AO95" i="89"/>
  <c r="AL95" i="89"/>
  <c r="AH95" i="89"/>
  <c r="AB95" i="89"/>
  <c r="X95" i="89"/>
  <c r="W95" i="89"/>
  <c r="S95" i="89"/>
  <c r="T95" i="89" s="1"/>
  <c r="U95" i="89" s="1"/>
  <c r="R95" i="89"/>
  <c r="P95" i="89"/>
  <c r="Q95" i="89" s="1"/>
  <c r="Y95" i="89" s="1"/>
  <c r="O95" i="89"/>
  <c r="N95" i="89"/>
  <c r="AO94" i="89"/>
  <c r="AL94" i="89"/>
  <c r="AH94" i="89"/>
  <c r="AB94" i="89"/>
  <c r="X94" i="89"/>
  <c r="W94" i="89"/>
  <c r="S94" i="89"/>
  <c r="T94" i="89" s="1"/>
  <c r="U94" i="89" s="1"/>
  <c r="R94" i="89"/>
  <c r="Q94" i="89"/>
  <c r="Y94" i="89" s="1"/>
  <c r="O94" i="89"/>
  <c r="P94" i="89" s="1"/>
  <c r="N94" i="89"/>
  <c r="AO93" i="89"/>
  <c r="AL93" i="89"/>
  <c r="AH93" i="89"/>
  <c r="AB93" i="89"/>
  <c r="Y93" i="89"/>
  <c r="X93" i="89"/>
  <c r="W93" i="89"/>
  <c r="U93" i="89"/>
  <c r="T93" i="89"/>
  <c r="S93" i="89"/>
  <c r="R93" i="89"/>
  <c r="P93" i="89"/>
  <c r="Q93" i="89" s="1"/>
  <c r="O93" i="89"/>
  <c r="N93" i="89"/>
  <c r="AO92" i="89"/>
  <c r="AL92" i="89"/>
  <c r="AH92" i="89"/>
  <c r="AB92" i="89"/>
  <c r="X92" i="89"/>
  <c r="W92" i="89"/>
  <c r="U92" i="89"/>
  <c r="S92" i="89"/>
  <c r="T92" i="89" s="1"/>
  <c r="R92" i="89"/>
  <c r="O92" i="89"/>
  <c r="P92" i="89" s="1"/>
  <c r="Q92" i="89" s="1"/>
  <c r="Y92" i="89" s="1"/>
  <c r="N92" i="89"/>
  <c r="AO91" i="89"/>
  <c r="AL91" i="89"/>
  <c r="AH91" i="89"/>
  <c r="AB91" i="89"/>
  <c r="X91" i="89"/>
  <c r="W91" i="89"/>
  <c r="T91" i="89"/>
  <c r="U91" i="89" s="1"/>
  <c r="S91" i="89"/>
  <c r="R91" i="89"/>
  <c r="O91" i="89"/>
  <c r="P91" i="89" s="1"/>
  <c r="Q91" i="89" s="1"/>
  <c r="Y91" i="89" s="1"/>
  <c r="N91" i="89"/>
  <c r="AO90" i="89"/>
  <c r="AL90" i="89"/>
  <c r="AH90" i="89"/>
  <c r="AB90" i="89"/>
  <c r="X90" i="89"/>
  <c r="W90" i="89"/>
  <c r="U90" i="89"/>
  <c r="S90" i="89"/>
  <c r="T90" i="89" s="1"/>
  <c r="R90" i="89"/>
  <c r="Q90" i="89"/>
  <c r="Y90" i="89" s="1"/>
  <c r="P90" i="89"/>
  <c r="O90" i="89"/>
  <c r="N90" i="89"/>
  <c r="AO89" i="89"/>
  <c r="AL89" i="89"/>
  <c r="AH89" i="89"/>
  <c r="AB89" i="89"/>
  <c r="Y89" i="89"/>
  <c r="X89" i="89"/>
  <c r="W89" i="89"/>
  <c r="U89" i="89"/>
  <c r="T89" i="89"/>
  <c r="S89" i="89"/>
  <c r="R89" i="89"/>
  <c r="P89" i="89"/>
  <c r="Q89" i="89" s="1"/>
  <c r="O89" i="89"/>
  <c r="N89" i="89"/>
  <c r="AO88" i="89"/>
  <c r="AL88" i="89"/>
  <c r="AH88" i="89"/>
  <c r="AB88" i="89"/>
  <c r="X88" i="89"/>
  <c r="W88" i="89"/>
  <c r="U88" i="89"/>
  <c r="S88" i="89"/>
  <c r="T88" i="89" s="1"/>
  <c r="R88" i="89"/>
  <c r="O88" i="89"/>
  <c r="P88" i="89" s="1"/>
  <c r="Q88" i="89" s="1"/>
  <c r="Y88" i="89" s="1"/>
  <c r="N88" i="89"/>
  <c r="AO87" i="89"/>
  <c r="AL87" i="89"/>
  <c r="AH87" i="89"/>
  <c r="AB87" i="89"/>
  <c r="Y87" i="89"/>
  <c r="X87" i="89"/>
  <c r="W87" i="89"/>
  <c r="T87" i="89"/>
  <c r="U87" i="89" s="1"/>
  <c r="S87" i="89"/>
  <c r="R87" i="89"/>
  <c r="P87" i="89"/>
  <c r="Q87" i="89" s="1"/>
  <c r="O87" i="89"/>
  <c r="N87" i="89"/>
  <c r="AO86" i="89"/>
  <c r="AL86" i="89"/>
  <c r="AH86" i="89"/>
  <c r="AB86" i="89"/>
  <c r="X86" i="89"/>
  <c r="W86" i="89"/>
  <c r="S86" i="89"/>
  <c r="T86" i="89" s="1"/>
  <c r="U86" i="89" s="1"/>
  <c r="R86" i="89"/>
  <c r="Q86" i="89"/>
  <c r="Y86" i="89" s="1"/>
  <c r="P86" i="89"/>
  <c r="O86" i="89"/>
  <c r="N86" i="89"/>
  <c r="AO85" i="89"/>
  <c r="AL85" i="89"/>
  <c r="AH85" i="89"/>
  <c r="AB85" i="89"/>
  <c r="Y85" i="89"/>
  <c r="X85" i="89"/>
  <c r="W85" i="89"/>
  <c r="U85" i="89"/>
  <c r="T85" i="89"/>
  <c r="S85" i="89"/>
  <c r="R85" i="89"/>
  <c r="P85" i="89"/>
  <c r="Q85" i="89" s="1"/>
  <c r="O85" i="89"/>
  <c r="N85" i="89"/>
  <c r="AO84" i="89"/>
  <c r="AL84" i="89"/>
  <c r="AH84" i="89"/>
  <c r="AB84" i="89"/>
  <c r="X84" i="89"/>
  <c r="W84" i="89"/>
  <c r="U84" i="89"/>
  <c r="S84" i="89"/>
  <c r="T84" i="89" s="1"/>
  <c r="R84" i="89"/>
  <c r="Q84" i="89"/>
  <c r="Y84" i="89" s="1"/>
  <c r="O84" i="89"/>
  <c r="P84" i="89" s="1"/>
  <c r="N84" i="89"/>
  <c r="AO83" i="89"/>
  <c r="AL83" i="89"/>
  <c r="AH83" i="89"/>
  <c r="AB83" i="89"/>
  <c r="Y83" i="89"/>
  <c r="X83" i="89"/>
  <c r="W83" i="89"/>
  <c r="R83" i="89"/>
  <c r="S83" i="89" s="1"/>
  <c r="T83" i="89" s="1"/>
  <c r="U83" i="89" s="1"/>
  <c r="P83" i="89"/>
  <c r="Q83" i="89" s="1"/>
  <c r="O83" i="89"/>
  <c r="N83" i="89"/>
  <c r="AO82" i="89"/>
  <c r="AL82" i="89"/>
  <c r="AH82" i="89"/>
  <c r="AB82" i="89"/>
  <c r="X82" i="89"/>
  <c r="W82" i="89"/>
  <c r="U82" i="89"/>
  <c r="T82" i="89"/>
  <c r="S82" i="89"/>
  <c r="R82" i="89"/>
  <c r="P82" i="89"/>
  <c r="Q82" i="89" s="1"/>
  <c r="Y82" i="89" s="1"/>
  <c r="O82" i="89"/>
  <c r="N82" i="89"/>
  <c r="AO81" i="89"/>
  <c r="AL81" i="89"/>
  <c r="AH81" i="89"/>
  <c r="AB81" i="89"/>
  <c r="X81" i="89"/>
  <c r="W81" i="89"/>
  <c r="U81" i="89"/>
  <c r="T81" i="89"/>
  <c r="S81" i="89"/>
  <c r="R81" i="89"/>
  <c r="P81" i="89"/>
  <c r="Q81" i="89" s="1"/>
  <c r="Y81" i="89" s="1"/>
  <c r="O81" i="89"/>
  <c r="N81" i="89"/>
  <c r="AO80" i="89"/>
  <c r="AL80" i="89"/>
  <c r="AH80" i="89"/>
  <c r="AB80" i="89"/>
  <c r="X80" i="89"/>
  <c r="W80" i="89"/>
  <c r="S80" i="89"/>
  <c r="T80" i="89" s="1"/>
  <c r="U80" i="89" s="1"/>
  <c r="R80" i="89"/>
  <c r="O80" i="89"/>
  <c r="P80" i="89" s="1"/>
  <c r="Q80" i="89" s="1"/>
  <c r="N80" i="89"/>
  <c r="AO79" i="89"/>
  <c r="AL79" i="89"/>
  <c r="AH79" i="89"/>
  <c r="AB79" i="89"/>
  <c r="X79" i="89"/>
  <c r="W79" i="89"/>
  <c r="T79" i="89"/>
  <c r="U79" i="89" s="1"/>
  <c r="R79" i="89"/>
  <c r="S79" i="89" s="1"/>
  <c r="P79" i="89"/>
  <c r="Q79" i="89" s="1"/>
  <c r="Y79" i="89" s="1"/>
  <c r="O79" i="89"/>
  <c r="N79" i="89"/>
  <c r="AO78" i="89"/>
  <c r="AL78" i="89"/>
  <c r="AH78" i="89"/>
  <c r="AB78" i="89"/>
  <c r="Y78" i="89"/>
  <c r="X78" i="89"/>
  <c r="W78" i="89"/>
  <c r="R78" i="89"/>
  <c r="S78" i="89" s="1"/>
  <c r="T78" i="89" s="1"/>
  <c r="U78" i="89" s="1"/>
  <c r="Q78" i="89"/>
  <c r="P78" i="89"/>
  <c r="O78" i="89"/>
  <c r="N78" i="89"/>
  <c r="AO77" i="89"/>
  <c r="AL77" i="89"/>
  <c r="AH77" i="89"/>
  <c r="AB77" i="89"/>
  <c r="X77" i="89"/>
  <c r="W77" i="89"/>
  <c r="T77" i="89"/>
  <c r="U77" i="89" s="1"/>
  <c r="R77" i="89"/>
  <c r="S77" i="89" s="1"/>
  <c r="Q77" i="89"/>
  <c r="P77" i="89"/>
  <c r="O77" i="89"/>
  <c r="N77" i="89"/>
  <c r="Y77" i="89" s="1"/>
  <c r="AO76" i="89"/>
  <c r="AL76" i="89"/>
  <c r="AH76" i="89"/>
  <c r="AB76" i="89"/>
  <c r="X76" i="89"/>
  <c r="W76" i="89"/>
  <c r="R76" i="89"/>
  <c r="S76" i="89" s="1"/>
  <c r="T76" i="89" s="1"/>
  <c r="U76" i="89" s="1"/>
  <c r="P76" i="89"/>
  <c r="Q76" i="89" s="1"/>
  <c r="O76" i="89"/>
  <c r="N76" i="89"/>
  <c r="AO75" i="89"/>
  <c r="AL75" i="89"/>
  <c r="AH75" i="89"/>
  <c r="AB75" i="89"/>
  <c r="Y75" i="89"/>
  <c r="X75" i="89"/>
  <c r="W75" i="89"/>
  <c r="U75" i="89"/>
  <c r="T75" i="89"/>
  <c r="R75" i="89"/>
  <c r="S75" i="89" s="1"/>
  <c r="Q75" i="89"/>
  <c r="P75" i="89"/>
  <c r="O75" i="89"/>
  <c r="N75" i="89"/>
  <c r="AO74" i="89"/>
  <c r="AL74" i="89"/>
  <c r="AH74" i="89"/>
  <c r="AB74" i="89"/>
  <c r="X74" i="89"/>
  <c r="W74" i="89"/>
  <c r="T74" i="89"/>
  <c r="U74" i="89" s="1"/>
  <c r="R74" i="89"/>
  <c r="S74" i="89" s="1"/>
  <c r="P74" i="89"/>
  <c r="Q74" i="89" s="1"/>
  <c r="O74" i="89"/>
  <c r="N74" i="89"/>
  <c r="AO73" i="89"/>
  <c r="AL73" i="89"/>
  <c r="AH73" i="89"/>
  <c r="AB73" i="89"/>
  <c r="X73" i="89"/>
  <c r="W73" i="89"/>
  <c r="Y73" i="89" s="1"/>
  <c r="R73" i="89"/>
  <c r="S73" i="89" s="1"/>
  <c r="T73" i="89" s="1"/>
  <c r="U73" i="89" s="1"/>
  <c r="Q73" i="89"/>
  <c r="P73" i="89"/>
  <c r="O73" i="89"/>
  <c r="N73" i="89"/>
  <c r="AO72" i="89"/>
  <c r="AL72" i="89"/>
  <c r="AH72" i="89"/>
  <c r="AB72" i="89"/>
  <c r="X72" i="89"/>
  <c r="W72" i="89"/>
  <c r="U72" i="89"/>
  <c r="T72" i="89"/>
  <c r="R72" i="89"/>
  <c r="S72" i="89" s="1"/>
  <c r="Q72" i="89"/>
  <c r="P72" i="89"/>
  <c r="O72" i="89"/>
  <c r="N72" i="89"/>
  <c r="AO71" i="89"/>
  <c r="AL71" i="89"/>
  <c r="AH71" i="89"/>
  <c r="AB71" i="89"/>
  <c r="X71" i="89"/>
  <c r="W71" i="89"/>
  <c r="T71" i="89"/>
  <c r="U71" i="89" s="1"/>
  <c r="R71" i="89"/>
  <c r="S71" i="89" s="1"/>
  <c r="P71" i="89"/>
  <c r="Q71" i="89" s="1"/>
  <c r="Y71" i="89" s="1"/>
  <c r="O71" i="89"/>
  <c r="N71" i="89"/>
  <c r="AO70" i="89"/>
  <c r="AL70" i="89"/>
  <c r="AH70" i="89"/>
  <c r="AB70" i="89"/>
  <c r="Y70" i="89"/>
  <c r="X70" i="89"/>
  <c r="W70" i="89"/>
  <c r="R70" i="89"/>
  <c r="S70" i="89" s="1"/>
  <c r="T70" i="89" s="1"/>
  <c r="U70" i="89" s="1"/>
  <c r="Q70" i="89"/>
  <c r="P70" i="89"/>
  <c r="O70" i="89"/>
  <c r="N70" i="89"/>
  <c r="AO69" i="89"/>
  <c r="AL69" i="89"/>
  <c r="AH69" i="89"/>
  <c r="AB69" i="89"/>
  <c r="X69" i="89"/>
  <c r="W69" i="89"/>
  <c r="T69" i="89"/>
  <c r="U69" i="89" s="1"/>
  <c r="R69" i="89"/>
  <c r="S69" i="89" s="1"/>
  <c r="Q69" i="89"/>
  <c r="P69" i="89"/>
  <c r="O69" i="89"/>
  <c r="N69" i="89"/>
  <c r="Y69" i="89" s="1"/>
  <c r="AO68" i="89"/>
  <c r="AL68" i="89"/>
  <c r="AH68" i="89"/>
  <c r="AB68" i="89"/>
  <c r="X68" i="89"/>
  <c r="W68" i="89"/>
  <c r="R68" i="89"/>
  <c r="S68" i="89" s="1"/>
  <c r="T68" i="89" s="1"/>
  <c r="U68" i="89" s="1"/>
  <c r="P68" i="89"/>
  <c r="Q68" i="89" s="1"/>
  <c r="O68" i="89"/>
  <c r="N68" i="89"/>
  <c r="AO67" i="89"/>
  <c r="AL67" i="89"/>
  <c r="AH67" i="89"/>
  <c r="AB67" i="89"/>
  <c r="Y67" i="89"/>
  <c r="X67" i="89"/>
  <c r="W67" i="89"/>
  <c r="U67" i="89"/>
  <c r="T67" i="89"/>
  <c r="R67" i="89"/>
  <c r="S67" i="89" s="1"/>
  <c r="Q67" i="89"/>
  <c r="P67" i="89"/>
  <c r="O67" i="89"/>
  <c r="N67" i="89"/>
  <c r="AO66" i="89"/>
  <c r="AL66" i="89"/>
  <c r="AH66" i="89"/>
  <c r="AB66" i="89"/>
  <c r="X66" i="89"/>
  <c r="W66" i="89"/>
  <c r="T66" i="89"/>
  <c r="U66" i="89" s="1"/>
  <c r="R66" i="89"/>
  <c r="S66" i="89" s="1"/>
  <c r="P66" i="89"/>
  <c r="Q66" i="89" s="1"/>
  <c r="O66" i="89"/>
  <c r="N66" i="89"/>
  <c r="AO65" i="89"/>
  <c r="AL65" i="89"/>
  <c r="AH65" i="89"/>
  <c r="AB65" i="89"/>
  <c r="X65" i="89"/>
  <c r="W65" i="89"/>
  <c r="Y65" i="89" s="1"/>
  <c r="R65" i="89"/>
  <c r="S65" i="89" s="1"/>
  <c r="T65" i="89" s="1"/>
  <c r="U65" i="89" s="1"/>
  <c r="Q65" i="89"/>
  <c r="P65" i="89"/>
  <c r="O65" i="89"/>
  <c r="N65" i="89"/>
  <c r="AO64" i="89"/>
  <c r="AL64" i="89"/>
  <c r="AH64" i="89"/>
  <c r="AB64" i="89"/>
  <c r="X64" i="89"/>
  <c r="W64" i="89"/>
  <c r="U64" i="89"/>
  <c r="T64" i="89"/>
  <c r="R64" i="89"/>
  <c r="S64" i="89" s="1"/>
  <c r="Q64" i="89"/>
  <c r="P64" i="89"/>
  <c r="O64" i="89"/>
  <c r="N64" i="89"/>
  <c r="AO63" i="89"/>
  <c r="AL63" i="89"/>
  <c r="AH63" i="89"/>
  <c r="AB63" i="89"/>
  <c r="X63" i="89"/>
  <c r="W63" i="89"/>
  <c r="R63" i="89"/>
  <c r="S63" i="89" s="1"/>
  <c r="T63" i="89" s="1"/>
  <c r="U63" i="89" s="1"/>
  <c r="P63" i="89"/>
  <c r="Q63" i="89" s="1"/>
  <c r="O63" i="89"/>
  <c r="N63" i="89"/>
  <c r="AO62" i="89"/>
  <c r="AL62" i="89"/>
  <c r="AH62" i="89"/>
  <c r="AB62" i="89"/>
  <c r="Y62" i="89"/>
  <c r="X62" i="89"/>
  <c r="W62" i="89"/>
  <c r="R62" i="89"/>
  <c r="S62" i="89" s="1"/>
  <c r="T62" i="89" s="1"/>
  <c r="U62" i="89" s="1"/>
  <c r="Q62" i="89"/>
  <c r="P62" i="89"/>
  <c r="O62" i="89"/>
  <c r="N62" i="89"/>
  <c r="AO61" i="89"/>
  <c r="AL61" i="89"/>
  <c r="AH61" i="89"/>
  <c r="AB61" i="89"/>
  <c r="X61" i="89"/>
  <c r="W61" i="89"/>
  <c r="T61" i="89"/>
  <c r="U61" i="89" s="1"/>
  <c r="R61" i="89"/>
  <c r="S61" i="89" s="1"/>
  <c r="Q61" i="89"/>
  <c r="P61" i="89"/>
  <c r="O61" i="89"/>
  <c r="N61" i="89"/>
  <c r="AO60" i="89"/>
  <c r="AL60" i="89"/>
  <c r="AH60" i="89"/>
  <c r="AB60" i="89"/>
  <c r="X60" i="89"/>
  <c r="W60" i="89"/>
  <c r="Y60" i="89" s="1"/>
  <c r="R60" i="89"/>
  <c r="S60" i="89" s="1"/>
  <c r="T60" i="89" s="1"/>
  <c r="U60" i="89" s="1"/>
  <c r="P60" i="89"/>
  <c r="Q60" i="89" s="1"/>
  <c r="O60" i="89"/>
  <c r="N60" i="89"/>
  <c r="AO59" i="89"/>
  <c r="AL59" i="89"/>
  <c r="AH59" i="89"/>
  <c r="AB59" i="89"/>
  <c r="X59" i="89"/>
  <c r="W59" i="89"/>
  <c r="T59" i="89"/>
  <c r="U59" i="89" s="1"/>
  <c r="R59" i="89"/>
  <c r="S59" i="89" s="1"/>
  <c r="Q59" i="89"/>
  <c r="Y59" i="89" s="1"/>
  <c r="P59" i="89"/>
  <c r="O59" i="89"/>
  <c r="N59" i="89"/>
  <c r="AO58" i="89"/>
  <c r="AL58" i="89"/>
  <c r="AH58" i="89"/>
  <c r="AB58" i="89"/>
  <c r="X58" i="89"/>
  <c r="W58" i="89"/>
  <c r="R58" i="89"/>
  <c r="S58" i="89" s="1"/>
  <c r="T58" i="89" s="1"/>
  <c r="U58" i="89" s="1"/>
  <c r="P58" i="89"/>
  <c r="Q58" i="89" s="1"/>
  <c r="O58" i="89"/>
  <c r="N58" i="89"/>
  <c r="AO57" i="89"/>
  <c r="AL57" i="89"/>
  <c r="AH57" i="89"/>
  <c r="AB57" i="89"/>
  <c r="X57" i="89"/>
  <c r="W57" i="89"/>
  <c r="Y57" i="89" s="1"/>
  <c r="R57" i="89"/>
  <c r="S57" i="89" s="1"/>
  <c r="T57" i="89" s="1"/>
  <c r="U57" i="89" s="1"/>
  <c r="Q57" i="89"/>
  <c r="P57" i="89"/>
  <c r="O57" i="89"/>
  <c r="N57" i="89"/>
  <c r="AO56" i="89"/>
  <c r="AL56" i="89"/>
  <c r="AH56" i="89"/>
  <c r="AB56" i="89"/>
  <c r="X56" i="89"/>
  <c r="W56" i="89"/>
  <c r="U56" i="89"/>
  <c r="T56" i="89"/>
  <c r="R56" i="89"/>
  <c r="S56" i="89" s="1"/>
  <c r="P56" i="89"/>
  <c r="Q56" i="89" s="1"/>
  <c r="O56" i="89"/>
  <c r="N56" i="89"/>
  <c r="AO55" i="89"/>
  <c r="AL55" i="89"/>
  <c r="AH55" i="89"/>
  <c r="AB55" i="89"/>
  <c r="X55" i="89"/>
  <c r="W55" i="89"/>
  <c r="T55" i="89"/>
  <c r="U55" i="89" s="1"/>
  <c r="R55" i="89"/>
  <c r="S55" i="89" s="1"/>
  <c r="P55" i="89"/>
  <c r="Q55" i="89" s="1"/>
  <c r="O55" i="89"/>
  <c r="N55" i="89"/>
  <c r="AO54" i="89"/>
  <c r="AL54" i="89"/>
  <c r="AH54" i="89"/>
  <c r="AB54" i="89"/>
  <c r="X54" i="89"/>
  <c r="W54" i="89"/>
  <c r="R54" i="89"/>
  <c r="S54" i="89" s="1"/>
  <c r="T54" i="89" s="1"/>
  <c r="U54" i="89" s="1"/>
  <c r="Q54" i="89"/>
  <c r="P54" i="89"/>
  <c r="O54" i="89"/>
  <c r="N54" i="89"/>
  <c r="Y54" i="89" s="1"/>
  <c r="AO53" i="89"/>
  <c r="AL53" i="89"/>
  <c r="AH53" i="89"/>
  <c r="AB53" i="89"/>
  <c r="X53" i="89"/>
  <c r="W53" i="89"/>
  <c r="T53" i="89"/>
  <c r="U53" i="89" s="1"/>
  <c r="R53" i="89"/>
  <c r="S53" i="89" s="1"/>
  <c r="Q53" i="89"/>
  <c r="P53" i="89"/>
  <c r="O53" i="89"/>
  <c r="N53" i="89"/>
  <c r="AO52" i="89"/>
  <c r="AL52" i="89"/>
  <c r="AH52" i="89"/>
  <c r="AB52" i="89"/>
  <c r="X52" i="89"/>
  <c r="W52" i="89"/>
  <c r="R52" i="89"/>
  <c r="S52" i="89" s="1"/>
  <c r="T52" i="89" s="1"/>
  <c r="U52" i="89" s="1"/>
  <c r="P52" i="89"/>
  <c r="Q52" i="89" s="1"/>
  <c r="Y52" i="89" s="1"/>
  <c r="O52" i="89"/>
  <c r="N52" i="89"/>
  <c r="AO51" i="89"/>
  <c r="AL51" i="89"/>
  <c r="AH51" i="89"/>
  <c r="AB51" i="89"/>
  <c r="X51" i="89"/>
  <c r="W51" i="89"/>
  <c r="T51" i="89"/>
  <c r="U51" i="89" s="1"/>
  <c r="R51" i="89"/>
  <c r="S51" i="89" s="1"/>
  <c r="Q51" i="89"/>
  <c r="Y51" i="89" s="1"/>
  <c r="P51" i="89"/>
  <c r="O51" i="89"/>
  <c r="N51" i="89"/>
  <c r="AO50" i="89"/>
  <c r="AL50" i="89"/>
  <c r="AH50" i="89"/>
  <c r="AB50" i="89"/>
  <c r="X50" i="89"/>
  <c r="W50" i="89"/>
  <c r="R50" i="89"/>
  <c r="S50" i="89" s="1"/>
  <c r="T50" i="89" s="1"/>
  <c r="U50" i="89" s="1"/>
  <c r="P50" i="89"/>
  <c r="Q50" i="89" s="1"/>
  <c r="Y50" i="89" s="1"/>
  <c r="O50" i="89"/>
  <c r="N50" i="89"/>
  <c r="AO49" i="89"/>
  <c r="AL49" i="89"/>
  <c r="AH49" i="89"/>
  <c r="AB49" i="89"/>
  <c r="X49" i="89"/>
  <c r="W49" i="89"/>
  <c r="R49" i="89"/>
  <c r="S49" i="89" s="1"/>
  <c r="T49" i="89" s="1"/>
  <c r="U49" i="89" s="1"/>
  <c r="P49" i="89"/>
  <c r="Q49" i="89" s="1"/>
  <c r="O49" i="89"/>
  <c r="N49" i="89"/>
  <c r="Y49" i="89" s="1"/>
  <c r="AO48" i="89"/>
  <c r="AL48" i="89"/>
  <c r="AH48" i="89"/>
  <c r="AB48" i="89"/>
  <c r="X48" i="89"/>
  <c r="W48" i="89"/>
  <c r="T48" i="89"/>
  <c r="U48" i="89" s="1"/>
  <c r="R48" i="89"/>
  <c r="S48" i="89" s="1"/>
  <c r="O48" i="89"/>
  <c r="P48" i="89" s="1"/>
  <c r="Q48" i="89" s="1"/>
  <c r="Y48" i="89" s="1"/>
  <c r="N48" i="89"/>
  <c r="AO47" i="89"/>
  <c r="AL47" i="89"/>
  <c r="AH47" i="89"/>
  <c r="AB47" i="89"/>
  <c r="X47" i="89"/>
  <c r="W47" i="89"/>
  <c r="S47" i="89"/>
  <c r="T47" i="89" s="1"/>
  <c r="U47" i="89" s="1"/>
  <c r="R47" i="89"/>
  <c r="Q47" i="89"/>
  <c r="Y47" i="89" s="1"/>
  <c r="P47" i="89"/>
  <c r="O47" i="89"/>
  <c r="N47" i="89"/>
  <c r="AO46" i="89"/>
  <c r="AL46" i="89"/>
  <c r="AH46" i="89"/>
  <c r="AB46" i="89"/>
  <c r="X46" i="89"/>
  <c r="W46" i="89"/>
  <c r="U46" i="89"/>
  <c r="R46" i="89"/>
  <c r="S46" i="89" s="1"/>
  <c r="T46" i="89" s="1"/>
  <c r="P46" i="89"/>
  <c r="Q46" i="89" s="1"/>
  <c r="O46" i="89"/>
  <c r="N46" i="89"/>
  <c r="AO45" i="89"/>
  <c r="AL45" i="89"/>
  <c r="AH45" i="89"/>
  <c r="AB45" i="89"/>
  <c r="Y45" i="89"/>
  <c r="X45" i="89"/>
  <c r="W45" i="89"/>
  <c r="T45" i="89"/>
  <c r="U45" i="89" s="1"/>
  <c r="R45" i="89"/>
  <c r="S45" i="89" s="1"/>
  <c r="P45" i="89"/>
  <c r="Q45" i="89" s="1"/>
  <c r="O45" i="89"/>
  <c r="N45" i="89"/>
  <c r="AO44" i="89"/>
  <c r="AL44" i="89"/>
  <c r="AH44" i="89"/>
  <c r="AB44" i="89"/>
  <c r="X44" i="89"/>
  <c r="W44" i="89"/>
  <c r="T44" i="89"/>
  <c r="U44" i="89" s="1"/>
  <c r="R44" i="89"/>
  <c r="S44" i="89" s="1"/>
  <c r="O44" i="89"/>
  <c r="P44" i="89" s="1"/>
  <c r="Q44" i="89" s="1"/>
  <c r="Y44" i="89" s="1"/>
  <c r="N44" i="89"/>
  <c r="AO43" i="89"/>
  <c r="AL43" i="89"/>
  <c r="AH43" i="89"/>
  <c r="AB43" i="89"/>
  <c r="X43" i="89"/>
  <c r="W43" i="89"/>
  <c r="U43" i="89"/>
  <c r="S43" i="89"/>
  <c r="T43" i="89" s="1"/>
  <c r="R43" i="89"/>
  <c r="Q43" i="89"/>
  <c r="P43" i="89"/>
  <c r="O43" i="89"/>
  <c r="N43" i="89"/>
  <c r="Y43" i="89" s="1"/>
  <c r="AO42" i="89"/>
  <c r="AL42" i="89"/>
  <c r="AH42" i="89"/>
  <c r="AB42" i="89"/>
  <c r="X42" i="89"/>
  <c r="W42" i="89"/>
  <c r="R42" i="89"/>
  <c r="S42" i="89" s="1"/>
  <c r="T42" i="89" s="1"/>
  <c r="U42" i="89" s="1"/>
  <c r="P42" i="89"/>
  <c r="Q42" i="89" s="1"/>
  <c r="Y42" i="89" s="1"/>
  <c r="O42" i="89"/>
  <c r="N42" i="89"/>
  <c r="AO41" i="89"/>
  <c r="AL41" i="89"/>
  <c r="AH41" i="89"/>
  <c r="AB41" i="89"/>
  <c r="X41" i="89"/>
  <c r="W41" i="89"/>
  <c r="T41" i="89"/>
  <c r="U41" i="89" s="1"/>
  <c r="R41" i="89"/>
  <c r="S41" i="89" s="1"/>
  <c r="P41" i="89"/>
  <c r="Q41" i="89" s="1"/>
  <c r="O41" i="89"/>
  <c r="N41" i="89"/>
  <c r="AO40" i="89"/>
  <c r="AL40" i="89"/>
  <c r="AH40" i="89"/>
  <c r="AB40" i="89"/>
  <c r="X40" i="89"/>
  <c r="W40" i="89"/>
  <c r="T40" i="89"/>
  <c r="U40" i="89" s="1"/>
  <c r="R40" i="89"/>
  <c r="S40" i="89" s="1"/>
  <c r="O40" i="89"/>
  <c r="P40" i="89" s="1"/>
  <c r="Q40" i="89" s="1"/>
  <c r="Y40" i="89" s="1"/>
  <c r="N40" i="89"/>
  <c r="AO39" i="89"/>
  <c r="AL39" i="89"/>
  <c r="AH39" i="89"/>
  <c r="AB39" i="89"/>
  <c r="X39" i="89"/>
  <c r="W39" i="89"/>
  <c r="U39" i="89"/>
  <c r="T39" i="89"/>
  <c r="S39" i="89"/>
  <c r="R39" i="89"/>
  <c r="Q39" i="89"/>
  <c r="Y39" i="89" s="1"/>
  <c r="P39" i="89"/>
  <c r="O39" i="89"/>
  <c r="N39" i="89"/>
  <c r="AO38" i="89"/>
  <c r="AL38" i="89"/>
  <c r="AH38" i="89"/>
  <c r="AB38" i="89"/>
  <c r="X38" i="89"/>
  <c r="W38" i="89"/>
  <c r="U38" i="89"/>
  <c r="R38" i="89"/>
  <c r="S38" i="89" s="1"/>
  <c r="T38" i="89" s="1"/>
  <c r="P38" i="89"/>
  <c r="Q38" i="89" s="1"/>
  <c r="O38" i="89"/>
  <c r="N38" i="89"/>
  <c r="Y38" i="89" s="1"/>
  <c r="AO37" i="89"/>
  <c r="AL37" i="89"/>
  <c r="AH37" i="89"/>
  <c r="AB37" i="89"/>
  <c r="X37" i="89"/>
  <c r="W37" i="89"/>
  <c r="R37" i="89"/>
  <c r="S37" i="89" s="1"/>
  <c r="T37" i="89" s="1"/>
  <c r="U37" i="89" s="1"/>
  <c r="P37" i="89"/>
  <c r="Q37" i="89" s="1"/>
  <c r="O37" i="89"/>
  <c r="N37" i="89"/>
  <c r="Y37" i="89" s="1"/>
  <c r="AO36" i="89"/>
  <c r="AL36" i="89"/>
  <c r="AH36" i="89"/>
  <c r="AB36" i="89"/>
  <c r="X36" i="89"/>
  <c r="W36" i="89"/>
  <c r="T36" i="89"/>
  <c r="U36" i="89" s="1"/>
  <c r="R36" i="89"/>
  <c r="S36" i="89" s="1"/>
  <c r="P36" i="89"/>
  <c r="Q36" i="89" s="1"/>
  <c r="Y36" i="89" s="1"/>
  <c r="O36" i="89"/>
  <c r="N36" i="89"/>
  <c r="AO35" i="89"/>
  <c r="AL35" i="89"/>
  <c r="AH35" i="89"/>
  <c r="AB35" i="89"/>
  <c r="X35" i="89"/>
  <c r="W35" i="89"/>
  <c r="R35" i="89"/>
  <c r="S35" i="89" s="1"/>
  <c r="T35" i="89" s="1"/>
  <c r="U35" i="89" s="1"/>
  <c r="Q35" i="89"/>
  <c r="P35" i="89"/>
  <c r="O35" i="89"/>
  <c r="N35" i="89"/>
  <c r="AO34" i="89"/>
  <c r="AL34" i="89"/>
  <c r="AH34" i="89"/>
  <c r="AB34" i="89"/>
  <c r="X34" i="89"/>
  <c r="W34" i="89"/>
  <c r="U34" i="89"/>
  <c r="T34" i="89"/>
  <c r="R34" i="89"/>
  <c r="S34" i="89" s="1"/>
  <c r="P34" i="89"/>
  <c r="Q34" i="89" s="1"/>
  <c r="O34" i="89"/>
  <c r="N34" i="89"/>
  <c r="AO33" i="89"/>
  <c r="AL33" i="89"/>
  <c r="AH33" i="89"/>
  <c r="AB33" i="89"/>
  <c r="X33" i="89"/>
  <c r="W33" i="89"/>
  <c r="R33" i="89"/>
  <c r="S33" i="89" s="1"/>
  <c r="T33" i="89" s="1"/>
  <c r="U33" i="89" s="1"/>
  <c r="P33" i="89"/>
  <c r="Q33" i="89" s="1"/>
  <c r="O33" i="89"/>
  <c r="N33" i="89"/>
  <c r="Y33" i="89" s="1"/>
  <c r="AO32" i="89"/>
  <c r="AL32" i="89"/>
  <c r="AH32" i="89"/>
  <c r="AB32" i="89"/>
  <c r="X32" i="89"/>
  <c r="W32" i="89"/>
  <c r="T32" i="89"/>
  <c r="U32" i="89" s="1"/>
  <c r="R32" i="89"/>
  <c r="S32" i="89" s="1"/>
  <c r="O32" i="89"/>
  <c r="P32" i="89" s="1"/>
  <c r="Q32" i="89" s="1"/>
  <c r="N32" i="89"/>
  <c r="Y32" i="89" s="1"/>
  <c r="AO31" i="89"/>
  <c r="AL31" i="89"/>
  <c r="AH31" i="89"/>
  <c r="AB31" i="89"/>
  <c r="X31" i="89"/>
  <c r="W31" i="89"/>
  <c r="S31" i="89"/>
  <c r="T31" i="89" s="1"/>
  <c r="U31" i="89" s="1"/>
  <c r="R31" i="89"/>
  <c r="P31" i="89"/>
  <c r="Q31" i="89" s="1"/>
  <c r="Y31" i="89" s="1"/>
  <c r="O31" i="89"/>
  <c r="N31" i="89"/>
  <c r="AO30" i="89"/>
  <c r="AL30" i="89"/>
  <c r="AH30" i="89"/>
  <c r="AB30" i="89"/>
  <c r="X30" i="89"/>
  <c r="X17" i="89" s="1"/>
  <c r="W30" i="89"/>
  <c r="U30" i="89"/>
  <c r="R30" i="89"/>
  <c r="S30" i="89" s="1"/>
  <c r="T30" i="89" s="1"/>
  <c r="P30" i="89"/>
  <c r="Q30" i="89" s="1"/>
  <c r="O30" i="89"/>
  <c r="N30" i="89"/>
  <c r="AO29" i="89"/>
  <c r="AL29" i="89"/>
  <c r="AH29" i="89"/>
  <c r="AB29" i="89"/>
  <c r="X29" i="89"/>
  <c r="W29" i="89"/>
  <c r="S29" i="89"/>
  <c r="T29" i="89" s="1"/>
  <c r="U29" i="89" s="1"/>
  <c r="R29" i="89"/>
  <c r="P29" i="89"/>
  <c r="Q29" i="89" s="1"/>
  <c r="O29" i="89"/>
  <c r="N29" i="89"/>
  <c r="Y29" i="89" s="1"/>
  <c r="AO28" i="89"/>
  <c r="AO17" i="89" s="1"/>
  <c r="AL28" i="89"/>
  <c r="AH28" i="89"/>
  <c r="AB28" i="89"/>
  <c r="X28" i="89"/>
  <c r="W28" i="89"/>
  <c r="T28" i="89"/>
  <c r="U28" i="89" s="1"/>
  <c r="R28" i="89"/>
  <c r="S28" i="89" s="1"/>
  <c r="P28" i="89"/>
  <c r="O28" i="89"/>
  <c r="N28" i="89"/>
  <c r="AO27" i="89"/>
  <c r="AL27" i="89"/>
  <c r="AH27" i="89"/>
  <c r="AE27" i="89"/>
  <c r="AB27" i="89"/>
  <c r="X27" i="89"/>
  <c r="W27" i="89"/>
  <c r="U27" i="89"/>
  <c r="S27" i="89"/>
  <c r="T27" i="89" s="1"/>
  <c r="R27" i="89"/>
  <c r="Q27" i="89"/>
  <c r="P27" i="89"/>
  <c r="O27" i="89"/>
  <c r="N27" i="89"/>
  <c r="N17" i="89" s="1"/>
  <c r="AP21" i="89"/>
  <c r="AD20" i="89"/>
  <c r="AE21" i="89" s="1"/>
  <c r="AE39" i="89" s="1"/>
  <c r="AC18" i="89"/>
  <c r="AD18" i="89" s="1"/>
  <c r="AE18" i="89" s="1"/>
  <c r="AF18" i="89" s="1"/>
  <c r="AG18" i="89" s="1"/>
  <c r="AH18" i="89" s="1"/>
  <c r="AI18" i="89" s="1"/>
  <c r="AJ18" i="89" s="1"/>
  <c r="AK18" i="89" s="1"/>
  <c r="AL18" i="89" s="1"/>
  <c r="AM18" i="89" s="1"/>
  <c r="AN18" i="89" s="1"/>
  <c r="AO18" i="89" s="1"/>
  <c r="AP18" i="89" s="1"/>
  <c r="AQ18" i="89" s="1"/>
  <c r="AR18" i="89" s="1"/>
  <c r="AS18" i="89" s="1"/>
  <c r="AT18" i="89" s="1"/>
  <c r="AU18" i="89" s="1"/>
  <c r="AV18" i="89" s="1"/>
  <c r="AW18" i="89" s="1"/>
  <c r="AX18" i="89" s="1"/>
  <c r="AB18" i="89"/>
  <c r="AA18" i="89"/>
  <c r="N18" i="89"/>
  <c r="O18" i="89" s="1"/>
  <c r="P18" i="89" s="1"/>
  <c r="Q18" i="89" s="1"/>
  <c r="V18" i="89" s="1"/>
  <c r="W18" i="89" s="1"/>
  <c r="M18" i="89"/>
  <c r="AT17" i="89"/>
  <c r="AR17" i="89"/>
  <c r="AN17" i="89"/>
  <c r="AM17" i="89"/>
  <c r="AK17" i="89"/>
  <c r="AJ17" i="89"/>
  <c r="AD17" i="89"/>
  <c r="AA17" i="89"/>
  <c r="Z17" i="89"/>
  <c r="W17" i="89"/>
  <c r="V17" i="89"/>
  <c r="M17" i="89"/>
  <c r="L17" i="89"/>
  <c r="K17" i="89"/>
  <c r="E17" i="89"/>
  <c r="D17" i="89"/>
  <c r="C17" i="89"/>
  <c r="AB20" i="89" l="1"/>
  <c r="AC21" i="89" s="1"/>
  <c r="AC181" i="89" s="1"/>
  <c r="AF181" i="89" s="1"/>
  <c r="AG181" i="89" s="1"/>
  <c r="AI181" i="89" s="1"/>
  <c r="AP181" i="89" s="1"/>
  <c r="AQ181" i="89" s="1"/>
  <c r="Q17" i="89"/>
  <c r="Y41" i="89"/>
  <c r="AC195" i="89"/>
  <c r="AF195" i="89" s="1"/>
  <c r="AG195" i="89" s="1"/>
  <c r="AI195" i="89" s="1"/>
  <c r="AP195" i="89" s="1"/>
  <c r="AQ195" i="89" s="1"/>
  <c r="AC179" i="89"/>
  <c r="AC193" i="89"/>
  <c r="AC163" i="89"/>
  <c r="AF163" i="89" s="1"/>
  <c r="AG163" i="89" s="1"/>
  <c r="AI163" i="89" s="1"/>
  <c r="AP163" i="89" s="1"/>
  <c r="AQ163" i="89" s="1"/>
  <c r="AC177" i="89"/>
  <c r="AC153" i="89"/>
  <c r="AF153" i="89" s="1"/>
  <c r="AG153" i="89" s="1"/>
  <c r="AI153" i="89" s="1"/>
  <c r="AP153" i="89" s="1"/>
  <c r="AQ153" i="89" s="1"/>
  <c r="AC149" i="89"/>
  <c r="AF149" i="89" s="1"/>
  <c r="AG149" i="89" s="1"/>
  <c r="AI149" i="89" s="1"/>
  <c r="AP149" i="89" s="1"/>
  <c r="AQ149" i="89" s="1"/>
  <c r="AC165" i="89"/>
  <c r="AC169" i="89"/>
  <c r="AC133" i="89"/>
  <c r="AF133" i="89" s="1"/>
  <c r="AG133" i="89" s="1"/>
  <c r="AI133" i="89" s="1"/>
  <c r="AP133" i="89" s="1"/>
  <c r="AQ133" i="89" s="1"/>
  <c r="AC123" i="89"/>
  <c r="AC148" i="89"/>
  <c r="AC124" i="89"/>
  <c r="AF124" i="89" s="1"/>
  <c r="AG124" i="89" s="1"/>
  <c r="AI124" i="89" s="1"/>
  <c r="AC122" i="89"/>
  <c r="AC114" i="89"/>
  <c r="AC126" i="89"/>
  <c r="AF126" i="89" s="1"/>
  <c r="AG126" i="89" s="1"/>
  <c r="AI126" i="89" s="1"/>
  <c r="AC119" i="89"/>
  <c r="AC140" i="89"/>
  <c r="AC113" i="89"/>
  <c r="AF113" i="89" s="1"/>
  <c r="AG113" i="89" s="1"/>
  <c r="AI113" i="89" s="1"/>
  <c r="AP113" i="89" s="1"/>
  <c r="AQ113" i="89" s="1"/>
  <c r="AC102" i="89"/>
  <c r="AC73" i="89"/>
  <c r="AC96" i="89"/>
  <c r="AF96" i="89" s="1"/>
  <c r="AG96" i="89" s="1"/>
  <c r="AI96" i="89" s="1"/>
  <c r="AP96" i="89" s="1"/>
  <c r="AQ96" i="89" s="1"/>
  <c r="AC112" i="89"/>
  <c r="AC110" i="89"/>
  <c r="AC70" i="89"/>
  <c r="AF70" i="89" s="1"/>
  <c r="AG70" i="89" s="1"/>
  <c r="AI70" i="89" s="1"/>
  <c r="AP70" i="89" s="1"/>
  <c r="AQ70" i="89" s="1"/>
  <c r="AC77" i="89"/>
  <c r="AC69" i="89"/>
  <c r="AF69" i="89" s="1"/>
  <c r="AG69" i="89" s="1"/>
  <c r="AI69" i="89" s="1"/>
  <c r="AP69" i="89" s="1"/>
  <c r="AQ69" i="89" s="1"/>
  <c r="AC50" i="89"/>
  <c r="AF50" i="89" s="1"/>
  <c r="AG50" i="89" s="1"/>
  <c r="AI50" i="89" s="1"/>
  <c r="AP50" i="89" s="1"/>
  <c r="AQ50" i="89" s="1"/>
  <c r="AC48" i="89"/>
  <c r="AC64" i="89"/>
  <c r="AC37" i="89"/>
  <c r="AF37" i="89" s="1"/>
  <c r="AG37" i="89" s="1"/>
  <c r="AI37" i="89" s="1"/>
  <c r="AP37" i="89" s="1"/>
  <c r="AQ37" i="89" s="1"/>
  <c r="AC100" i="89"/>
  <c r="AC57" i="89"/>
  <c r="AC32" i="89"/>
  <c r="AF32" i="89" s="1"/>
  <c r="AG32" i="89" s="1"/>
  <c r="AI32" i="89" s="1"/>
  <c r="AP32" i="89" s="1"/>
  <c r="AQ32" i="89" s="1"/>
  <c r="AC39" i="89"/>
  <c r="AF39" i="89" s="1"/>
  <c r="AG39" i="89" s="1"/>
  <c r="AI39" i="89" s="1"/>
  <c r="AP39" i="89" s="1"/>
  <c r="AQ39" i="89" s="1"/>
  <c r="AC46" i="89"/>
  <c r="AL17" i="89"/>
  <c r="AO16" i="89" s="1"/>
  <c r="Y35" i="89"/>
  <c r="Y46" i="89"/>
  <c r="Y55" i="89"/>
  <c r="AE195" i="89"/>
  <c r="AE193" i="89"/>
  <c r="AE191" i="89"/>
  <c r="AE189" i="89"/>
  <c r="AE187" i="89"/>
  <c r="AE185" i="89"/>
  <c r="AE183" i="89"/>
  <c r="AE181" i="89"/>
  <c r="AE179" i="89"/>
  <c r="AE177" i="89"/>
  <c r="AE175" i="89"/>
  <c r="AE173" i="89"/>
  <c r="AE171" i="89"/>
  <c r="AE169" i="89"/>
  <c r="AE167" i="89"/>
  <c r="AE165" i="89"/>
  <c r="AE163" i="89"/>
  <c r="AE188" i="89"/>
  <c r="AE182" i="89"/>
  <c r="AE161" i="89"/>
  <c r="AE159" i="89"/>
  <c r="AE192" i="89"/>
  <c r="AE186" i="89"/>
  <c r="AE180" i="89"/>
  <c r="AE176" i="89"/>
  <c r="AE174" i="89"/>
  <c r="AE172" i="89"/>
  <c r="AE170" i="89"/>
  <c r="AE168" i="89"/>
  <c r="AE166" i="89"/>
  <c r="AE164" i="89"/>
  <c r="AE184" i="89"/>
  <c r="AE178" i="89"/>
  <c r="AE194" i="89"/>
  <c r="AE160" i="89"/>
  <c r="AE153" i="89"/>
  <c r="AE151" i="89"/>
  <c r="AE149" i="89"/>
  <c r="AE147" i="89"/>
  <c r="AE145" i="89"/>
  <c r="AE143" i="89"/>
  <c r="AE141" i="89"/>
  <c r="AE139" i="89"/>
  <c r="AE137" i="89"/>
  <c r="AE135" i="89"/>
  <c r="AE133" i="89"/>
  <c r="AE131" i="89"/>
  <c r="AE190" i="89"/>
  <c r="AE152" i="89"/>
  <c r="AE150" i="89"/>
  <c r="AE148" i="89"/>
  <c r="AE146" i="89"/>
  <c r="AE144" i="89"/>
  <c r="AE142" i="89"/>
  <c r="AE140" i="89"/>
  <c r="AE158" i="89"/>
  <c r="AE155" i="89"/>
  <c r="AE130" i="89"/>
  <c r="AE128" i="89"/>
  <c r="AE126" i="89"/>
  <c r="AE124" i="89"/>
  <c r="AE122" i="89"/>
  <c r="AE120" i="89"/>
  <c r="AE156" i="89"/>
  <c r="AE162" i="89"/>
  <c r="AE123" i="89"/>
  <c r="AE114" i="89"/>
  <c r="AE113" i="89"/>
  <c r="AE106" i="89"/>
  <c r="AE105" i="89"/>
  <c r="AE129" i="89"/>
  <c r="AE119" i="89"/>
  <c r="AE112" i="89"/>
  <c r="AE111" i="89"/>
  <c r="AE104" i="89"/>
  <c r="AE103" i="89"/>
  <c r="AE96" i="89"/>
  <c r="AE95" i="89"/>
  <c r="AE157" i="89"/>
  <c r="AE125" i="89"/>
  <c r="AE154" i="89"/>
  <c r="AE127" i="89"/>
  <c r="AE116" i="89"/>
  <c r="AE115" i="89"/>
  <c r="AE108" i="89"/>
  <c r="AE107" i="89"/>
  <c r="AE100" i="89"/>
  <c r="AE99" i="89"/>
  <c r="AE134" i="89"/>
  <c r="AE118" i="89"/>
  <c r="AE138" i="89"/>
  <c r="AE121" i="89"/>
  <c r="AE101" i="89"/>
  <c r="AE94" i="89"/>
  <c r="AE86" i="89"/>
  <c r="AE78" i="89"/>
  <c r="AE76" i="89"/>
  <c r="AE74" i="89"/>
  <c r="AE72" i="89"/>
  <c r="AE70" i="89"/>
  <c r="AE68" i="89"/>
  <c r="AE66" i="89"/>
  <c r="AE64" i="89"/>
  <c r="AE62" i="89"/>
  <c r="AE60" i="89"/>
  <c r="AE58" i="89"/>
  <c r="AE56" i="89"/>
  <c r="AE54" i="89"/>
  <c r="AE52" i="89"/>
  <c r="AE50" i="89"/>
  <c r="AE48" i="89"/>
  <c r="AE132" i="89"/>
  <c r="AE92" i="89"/>
  <c r="AE136" i="89"/>
  <c r="AE90" i="89"/>
  <c r="AE79" i="89"/>
  <c r="AE77" i="89"/>
  <c r="AE75" i="89"/>
  <c r="AE73" i="89"/>
  <c r="AE71" i="89"/>
  <c r="AE69" i="89"/>
  <c r="AE67" i="89"/>
  <c r="AE65" i="89"/>
  <c r="AE63" i="89"/>
  <c r="AE61" i="89"/>
  <c r="AE59" i="89"/>
  <c r="AE57" i="89"/>
  <c r="AE55" i="89"/>
  <c r="AE53" i="89"/>
  <c r="AE51" i="89"/>
  <c r="AE49" i="89"/>
  <c r="AE97" i="89"/>
  <c r="AE93" i="89"/>
  <c r="AE87" i="89"/>
  <c r="AE110" i="89"/>
  <c r="AE109" i="89"/>
  <c r="AE84" i="89"/>
  <c r="AE102" i="89"/>
  <c r="AE85" i="89"/>
  <c r="AE82" i="89"/>
  <c r="AE81" i="89"/>
  <c r="AE80" i="89"/>
  <c r="AE89" i="89"/>
  <c r="AE83" i="89"/>
  <c r="AE98" i="89"/>
  <c r="AE91" i="89"/>
  <c r="AE46" i="89"/>
  <c r="AE44" i="89"/>
  <c r="AE42" i="89"/>
  <c r="AE40" i="89"/>
  <c r="AE38" i="89"/>
  <c r="AE36" i="89"/>
  <c r="AE34" i="89"/>
  <c r="AE32" i="89"/>
  <c r="AE30" i="89"/>
  <c r="AE28" i="89"/>
  <c r="AE45" i="89"/>
  <c r="AE33" i="89"/>
  <c r="AE88" i="89"/>
  <c r="AE37" i="89"/>
  <c r="AE117" i="89"/>
  <c r="AE47" i="89"/>
  <c r="AE41" i="89"/>
  <c r="AE29" i="89"/>
  <c r="AE35" i="89"/>
  <c r="AC52" i="89"/>
  <c r="U17" i="89"/>
  <c r="O17" i="89"/>
  <c r="Y27" i="89"/>
  <c r="P17" i="89"/>
  <c r="AC43" i="89"/>
  <c r="AF43" i="89" s="1"/>
  <c r="AG43" i="89" s="1"/>
  <c r="AI43" i="89" s="1"/>
  <c r="AP43" i="89" s="1"/>
  <c r="AQ43" i="89" s="1"/>
  <c r="AC58" i="89"/>
  <c r="AB17" i="89"/>
  <c r="Q28" i="89"/>
  <c r="Y28" i="89" s="1"/>
  <c r="Y30" i="89"/>
  <c r="AE31" i="89"/>
  <c r="Y34" i="89"/>
  <c r="AE43" i="89"/>
  <c r="Y56" i="89"/>
  <c r="AC56" i="89"/>
  <c r="Y58" i="89"/>
  <c r="Y72" i="89"/>
  <c r="AC71" i="89"/>
  <c r="AF71" i="89" s="1"/>
  <c r="AG71" i="89" s="1"/>
  <c r="AI71" i="89" s="1"/>
  <c r="AP71" i="89" s="1"/>
  <c r="AQ71" i="89" s="1"/>
  <c r="AC79" i="89"/>
  <c r="AF79" i="89" s="1"/>
  <c r="AG79" i="89" s="1"/>
  <c r="AI79" i="89" s="1"/>
  <c r="AP79" i="89" s="1"/>
  <c r="AQ79" i="89" s="1"/>
  <c r="Y53" i="89"/>
  <c r="Y63" i="89"/>
  <c r="AC60" i="89"/>
  <c r="AF60" i="89" s="1"/>
  <c r="AG60" i="89" s="1"/>
  <c r="AI60" i="89" s="1"/>
  <c r="AP60" i="89" s="1"/>
  <c r="AQ60" i="89" s="1"/>
  <c r="Y61" i="89"/>
  <c r="AC66" i="89"/>
  <c r="Y68" i="89"/>
  <c r="Y76" i="89"/>
  <c r="Y66" i="89"/>
  <c r="Y74" i="89"/>
  <c r="Y64" i="89"/>
  <c r="Y101" i="89"/>
  <c r="AC89" i="89"/>
  <c r="AF89" i="89" s="1"/>
  <c r="AG89" i="89" s="1"/>
  <c r="AI89" i="89" s="1"/>
  <c r="AP89" i="89" s="1"/>
  <c r="AQ89" i="89" s="1"/>
  <c r="AC147" i="89"/>
  <c r="AF147" i="89" s="1"/>
  <c r="AG147" i="89" s="1"/>
  <c r="AI147" i="89" s="1"/>
  <c r="AP147" i="89" s="1"/>
  <c r="AQ147" i="89" s="1"/>
  <c r="Y100" i="89"/>
  <c r="AC139" i="89"/>
  <c r="Y80" i="89"/>
  <c r="AC85" i="89"/>
  <c r="AC95" i="89"/>
  <c r="Y99" i="89"/>
  <c r="Y104" i="89"/>
  <c r="AC90" i="89"/>
  <c r="Y107" i="89"/>
  <c r="Y136" i="89"/>
  <c r="AC93" i="89"/>
  <c r="AF93" i="89" s="1"/>
  <c r="AG93" i="89" s="1"/>
  <c r="AI93" i="89" s="1"/>
  <c r="AP93" i="89" s="1"/>
  <c r="AQ93" i="89" s="1"/>
  <c r="Y120" i="89"/>
  <c r="Y125" i="89"/>
  <c r="Y118" i="89"/>
  <c r="Y121" i="89"/>
  <c r="AC129" i="89"/>
  <c r="AF129" i="89" s="1"/>
  <c r="AG129" i="89" s="1"/>
  <c r="AI129" i="89" s="1"/>
  <c r="AP129" i="89" s="1"/>
  <c r="AQ129" i="89" s="1"/>
  <c r="AC87" i="89"/>
  <c r="Y106" i="89"/>
  <c r="Y108" i="89"/>
  <c r="Y123" i="89"/>
  <c r="Y124" i="89"/>
  <c r="Y152" i="89"/>
  <c r="Y135" i="89"/>
  <c r="AC141" i="89"/>
  <c r="Y130" i="89"/>
  <c r="Y139" i="89"/>
  <c r="Y154" i="89"/>
  <c r="Y128" i="89"/>
  <c r="Y122" i="89"/>
  <c r="Y158" i="89"/>
  <c r="Y126" i="89"/>
  <c r="AC132" i="89"/>
  <c r="AF132" i="89" s="1"/>
  <c r="AG132" i="89" s="1"/>
  <c r="AI132" i="89" s="1"/>
  <c r="AP132" i="89" s="1"/>
  <c r="AQ132" i="89" s="1"/>
  <c r="AC150" i="89"/>
  <c r="Y162" i="89"/>
  <c r="AC162" i="89"/>
  <c r="AF162" i="89" s="1"/>
  <c r="AG162" i="89" s="1"/>
  <c r="AI162" i="89" s="1"/>
  <c r="AC168" i="89"/>
  <c r="AF168" i="89" s="1"/>
  <c r="AG168" i="89" s="1"/>
  <c r="AI168" i="89" s="1"/>
  <c r="AC176" i="89"/>
  <c r="AF176" i="89" s="1"/>
  <c r="AG176" i="89" s="1"/>
  <c r="AI176" i="89" s="1"/>
  <c r="AP176" i="89" s="1"/>
  <c r="AQ176" i="89" s="1"/>
  <c r="AC158" i="89"/>
  <c r="AF158" i="89" s="1"/>
  <c r="AG158" i="89" s="1"/>
  <c r="AI158" i="89" s="1"/>
  <c r="Y172" i="89"/>
  <c r="AC174" i="89"/>
  <c r="AF174" i="89" s="1"/>
  <c r="AG174" i="89" s="1"/>
  <c r="AI174" i="89" s="1"/>
  <c r="AP174" i="89" s="1"/>
  <c r="AQ174" i="89" s="1"/>
  <c r="Y180" i="89"/>
  <c r="Y168" i="89"/>
  <c r="Y164" i="89"/>
  <c r="AC166" i="89"/>
  <c r="AC183" i="89"/>
  <c r="AF183" i="89" s="1"/>
  <c r="AG183" i="89" s="1"/>
  <c r="AI183" i="89" s="1"/>
  <c r="AP183" i="89" s="1"/>
  <c r="AQ183" i="89" s="1"/>
  <c r="AC190" i="89"/>
  <c r="AF190" i="89" s="1"/>
  <c r="AG190" i="89" s="1"/>
  <c r="AC192" i="89"/>
  <c r="AC182" i="89"/>
  <c r="AI190" i="89"/>
  <c r="AP190" i="89" s="1"/>
  <c r="AQ190" i="89" s="1"/>
  <c r="AC194" i="89"/>
  <c r="AC178" i="89" l="1"/>
  <c r="AF178" i="89" s="1"/>
  <c r="AG178" i="89" s="1"/>
  <c r="AI178" i="89" s="1"/>
  <c r="AP178" i="89" s="1"/>
  <c r="AQ178" i="89" s="1"/>
  <c r="AC186" i="89"/>
  <c r="AC189" i="89"/>
  <c r="AF189" i="89" s="1"/>
  <c r="AG189" i="89" s="1"/>
  <c r="AI189" i="89" s="1"/>
  <c r="AP189" i="89" s="1"/>
  <c r="AQ189" i="89" s="1"/>
  <c r="AC184" i="89"/>
  <c r="AF184" i="89" s="1"/>
  <c r="AG184" i="89" s="1"/>
  <c r="AI184" i="89" s="1"/>
  <c r="AP184" i="89" s="1"/>
  <c r="AQ184" i="89" s="1"/>
  <c r="AC128" i="89"/>
  <c r="AC121" i="89"/>
  <c r="AF121" i="89" s="1"/>
  <c r="AG121" i="89" s="1"/>
  <c r="AI121" i="89" s="1"/>
  <c r="AP121" i="89" s="1"/>
  <c r="AQ121" i="89" s="1"/>
  <c r="AC120" i="89"/>
  <c r="AF120" i="89" s="1"/>
  <c r="AG120" i="89" s="1"/>
  <c r="AI120" i="89" s="1"/>
  <c r="AP120" i="89" s="1"/>
  <c r="AQ120" i="89" s="1"/>
  <c r="AC82" i="89"/>
  <c r="AF82" i="89" s="1"/>
  <c r="AG82" i="89" s="1"/>
  <c r="AI82" i="89" s="1"/>
  <c r="AP82" i="89" s="1"/>
  <c r="AQ82" i="89" s="1"/>
  <c r="AU82" i="89" s="1"/>
  <c r="AC99" i="89"/>
  <c r="AF99" i="89" s="1"/>
  <c r="AG99" i="89" s="1"/>
  <c r="AI99" i="89" s="1"/>
  <c r="AC76" i="89"/>
  <c r="AF76" i="89" s="1"/>
  <c r="AG76" i="89" s="1"/>
  <c r="AI76" i="89" s="1"/>
  <c r="AC34" i="89"/>
  <c r="AF34" i="89" s="1"/>
  <c r="AG34" i="89" s="1"/>
  <c r="AI34" i="89" s="1"/>
  <c r="AC31" i="89"/>
  <c r="AF31" i="89" s="1"/>
  <c r="AG31" i="89" s="1"/>
  <c r="AI31" i="89" s="1"/>
  <c r="AP31" i="89" s="1"/>
  <c r="AQ31" i="89" s="1"/>
  <c r="AC47" i="89"/>
  <c r="AC36" i="89"/>
  <c r="AF36" i="89" s="1"/>
  <c r="AG36" i="89" s="1"/>
  <c r="AI36" i="89" s="1"/>
  <c r="AP36" i="89" s="1"/>
  <c r="AQ36" i="89" s="1"/>
  <c r="AV36" i="89" s="1"/>
  <c r="AC35" i="89"/>
  <c r="AF35" i="89" s="1"/>
  <c r="AG35" i="89" s="1"/>
  <c r="AI35" i="89" s="1"/>
  <c r="AP35" i="89" s="1"/>
  <c r="AQ35" i="89" s="1"/>
  <c r="AC54" i="89"/>
  <c r="AF54" i="89" s="1"/>
  <c r="AG54" i="89" s="1"/>
  <c r="AI54" i="89" s="1"/>
  <c r="AP54" i="89" s="1"/>
  <c r="AQ54" i="89" s="1"/>
  <c r="AU54" i="89" s="1"/>
  <c r="AC78" i="89"/>
  <c r="AF78" i="89" s="1"/>
  <c r="AG78" i="89" s="1"/>
  <c r="AI78" i="89" s="1"/>
  <c r="AP78" i="89" s="1"/>
  <c r="AQ78" i="89" s="1"/>
  <c r="AC97" i="89"/>
  <c r="AF97" i="89" s="1"/>
  <c r="AG97" i="89" s="1"/>
  <c r="AI97" i="89" s="1"/>
  <c r="AP97" i="89" s="1"/>
  <c r="AQ97" i="89" s="1"/>
  <c r="AC115" i="89"/>
  <c r="AF115" i="89" s="1"/>
  <c r="AG115" i="89" s="1"/>
  <c r="AI115" i="89" s="1"/>
  <c r="AP115" i="89" s="1"/>
  <c r="AQ115" i="89" s="1"/>
  <c r="AC98" i="89"/>
  <c r="AF98" i="89" s="1"/>
  <c r="AG98" i="89" s="1"/>
  <c r="AI98" i="89" s="1"/>
  <c r="AP98" i="89" s="1"/>
  <c r="AQ98" i="89" s="1"/>
  <c r="AC125" i="89"/>
  <c r="AF125" i="89" s="1"/>
  <c r="AG125" i="89" s="1"/>
  <c r="AI125" i="89" s="1"/>
  <c r="AC173" i="89"/>
  <c r="AF173" i="89" s="1"/>
  <c r="AG173" i="89" s="1"/>
  <c r="AI173" i="89" s="1"/>
  <c r="AP173" i="89" s="1"/>
  <c r="AQ173" i="89" s="1"/>
  <c r="AV173" i="89" s="1"/>
  <c r="AC155" i="89"/>
  <c r="AF155" i="89" s="1"/>
  <c r="AG155" i="89" s="1"/>
  <c r="AI155" i="89" s="1"/>
  <c r="AP155" i="89" s="1"/>
  <c r="AQ155" i="89" s="1"/>
  <c r="AU155" i="89" s="1"/>
  <c r="AC161" i="89"/>
  <c r="AF161" i="89" s="1"/>
  <c r="AG161" i="89" s="1"/>
  <c r="AI161" i="89" s="1"/>
  <c r="AP161" i="89" s="1"/>
  <c r="AQ161" i="89" s="1"/>
  <c r="AV161" i="89" s="1"/>
  <c r="AC191" i="89"/>
  <c r="AC188" i="89"/>
  <c r="AF188" i="89" s="1"/>
  <c r="AG188" i="89" s="1"/>
  <c r="AI188" i="89" s="1"/>
  <c r="AP188" i="89" s="1"/>
  <c r="AQ188" i="89" s="1"/>
  <c r="AC170" i="89"/>
  <c r="AF170" i="89" s="1"/>
  <c r="AG170" i="89" s="1"/>
  <c r="AI170" i="89" s="1"/>
  <c r="AP170" i="89" s="1"/>
  <c r="AQ170" i="89" s="1"/>
  <c r="AC172" i="89"/>
  <c r="AF172" i="89" s="1"/>
  <c r="AG172" i="89" s="1"/>
  <c r="AI172" i="89" s="1"/>
  <c r="AC160" i="89"/>
  <c r="AC137" i="89"/>
  <c r="AF137" i="89" s="1"/>
  <c r="AG137" i="89" s="1"/>
  <c r="AI137" i="89" s="1"/>
  <c r="AP137" i="89" s="1"/>
  <c r="AQ137" i="89" s="1"/>
  <c r="AU137" i="89" s="1"/>
  <c r="AC81" i="89"/>
  <c r="AF81" i="89" s="1"/>
  <c r="AG81" i="89" s="1"/>
  <c r="AI81" i="89" s="1"/>
  <c r="AP81" i="89" s="1"/>
  <c r="AQ81" i="89" s="1"/>
  <c r="AV81" i="89" s="1"/>
  <c r="AC94" i="89"/>
  <c r="AF94" i="89" s="1"/>
  <c r="AG94" i="89" s="1"/>
  <c r="AI94" i="89" s="1"/>
  <c r="AP94" i="89" s="1"/>
  <c r="AQ94" i="89" s="1"/>
  <c r="AC86" i="89"/>
  <c r="AF86" i="89" s="1"/>
  <c r="AG86" i="89" s="1"/>
  <c r="AI86" i="89" s="1"/>
  <c r="AP86" i="89" s="1"/>
  <c r="AQ86" i="89" s="1"/>
  <c r="AC42" i="89"/>
  <c r="AC44" i="89"/>
  <c r="AC33" i="89"/>
  <c r="AC72" i="89"/>
  <c r="AC101" i="89"/>
  <c r="AC103" i="89"/>
  <c r="AF103" i="89" s="1"/>
  <c r="AG103" i="89" s="1"/>
  <c r="AI103" i="89" s="1"/>
  <c r="AP103" i="89" s="1"/>
  <c r="AQ103" i="89" s="1"/>
  <c r="AC117" i="89"/>
  <c r="AF117" i="89" s="1"/>
  <c r="AG117" i="89" s="1"/>
  <c r="AI117" i="89" s="1"/>
  <c r="AP117" i="89" s="1"/>
  <c r="AQ117" i="89" s="1"/>
  <c r="AC105" i="89"/>
  <c r="AC157" i="89"/>
  <c r="AC138" i="89"/>
  <c r="AC135" i="89"/>
  <c r="AC175" i="89"/>
  <c r="AC134" i="89"/>
  <c r="AF134" i="89" s="1"/>
  <c r="AG134" i="89" s="1"/>
  <c r="AI134" i="89" s="1"/>
  <c r="AP134" i="89" s="1"/>
  <c r="AQ134" i="89" s="1"/>
  <c r="AC104" i="89"/>
  <c r="AF104" i="89" s="1"/>
  <c r="AG104" i="89" s="1"/>
  <c r="AI104" i="89" s="1"/>
  <c r="AP104" i="89" s="1"/>
  <c r="AQ104" i="89" s="1"/>
  <c r="AC80" i="89"/>
  <c r="AF80" i="89" s="1"/>
  <c r="AG80" i="89" s="1"/>
  <c r="AI80" i="89" s="1"/>
  <c r="AP80" i="89" s="1"/>
  <c r="AQ80" i="89" s="1"/>
  <c r="AC92" i="89"/>
  <c r="AF92" i="89" s="1"/>
  <c r="AG92" i="89" s="1"/>
  <c r="AI92" i="89" s="1"/>
  <c r="AP92" i="89" s="1"/>
  <c r="AQ92" i="89" s="1"/>
  <c r="AC74" i="89"/>
  <c r="AF74" i="89" s="1"/>
  <c r="AG74" i="89" s="1"/>
  <c r="AI74" i="89" s="1"/>
  <c r="AC68" i="89"/>
  <c r="AC38" i="89"/>
  <c r="AF38" i="89" s="1"/>
  <c r="AG38" i="89" s="1"/>
  <c r="AI38" i="89" s="1"/>
  <c r="AP38" i="89" s="1"/>
  <c r="AQ38" i="89" s="1"/>
  <c r="AC51" i="89"/>
  <c r="AC29" i="89"/>
  <c r="AF29" i="89" s="1"/>
  <c r="AG29" i="89" s="1"/>
  <c r="AI29" i="89" s="1"/>
  <c r="AP29" i="89" s="1"/>
  <c r="AQ29" i="89" s="1"/>
  <c r="AC59" i="89"/>
  <c r="AC67" i="89"/>
  <c r="AC108" i="89"/>
  <c r="AC130" i="89"/>
  <c r="AC107" i="89"/>
  <c r="AC116" i="89"/>
  <c r="AC152" i="89"/>
  <c r="AC145" i="89"/>
  <c r="AC171" i="89"/>
  <c r="AC28" i="89"/>
  <c r="AF28" i="89" s="1"/>
  <c r="AG28" i="89" s="1"/>
  <c r="AI28" i="89" s="1"/>
  <c r="AP28" i="89" s="1"/>
  <c r="AQ28" i="89" s="1"/>
  <c r="AC187" i="89"/>
  <c r="AF187" i="89" s="1"/>
  <c r="AG187" i="89" s="1"/>
  <c r="AI187" i="89" s="1"/>
  <c r="AP187" i="89" s="1"/>
  <c r="AQ187" i="89" s="1"/>
  <c r="AC156" i="89"/>
  <c r="AF156" i="89" s="1"/>
  <c r="AG156" i="89" s="1"/>
  <c r="AI156" i="89" s="1"/>
  <c r="AP156" i="89" s="1"/>
  <c r="AQ156" i="89" s="1"/>
  <c r="AC91" i="89"/>
  <c r="AC84" i="89"/>
  <c r="AF84" i="89" s="1"/>
  <c r="AG84" i="89" s="1"/>
  <c r="AI84" i="89" s="1"/>
  <c r="AP84" i="89" s="1"/>
  <c r="AQ84" i="89" s="1"/>
  <c r="AC88" i="89"/>
  <c r="AF88" i="89" s="1"/>
  <c r="AG88" i="89" s="1"/>
  <c r="AI88" i="89" s="1"/>
  <c r="AP88" i="89" s="1"/>
  <c r="AQ88" i="89" s="1"/>
  <c r="AC55" i="89"/>
  <c r="AF55" i="89" s="1"/>
  <c r="AG55" i="89" s="1"/>
  <c r="AI55" i="89" s="1"/>
  <c r="AC53" i="89"/>
  <c r="AF53" i="89" s="1"/>
  <c r="AG53" i="89" s="1"/>
  <c r="AI53" i="89" s="1"/>
  <c r="AP53" i="89" s="1"/>
  <c r="AQ53" i="89" s="1"/>
  <c r="AC41" i="89"/>
  <c r="AF41" i="89" s="1"/>
  <c r="AG41" i="89" s="1"/>
  <c r="AI41" i="89" s="1"/>
  <c r="AP41" i="89" s="1"/>
  <c r="AQ41" i="89" s="1"/>
  <c r="AC40" i="89"/>
  <c r="AC49" i="89"/>
  <c r="AC75" i="89"/>
  <c r="AC111" i="89"/>
  <c r="AC131" i="89"/>
  <c r="AC109" i="89"/>
  <c r="AF109" i="89" s="1"/>
  <c r="AG109" i="89" s="1"/>
  <c r="AI109" i="89" s="1"/>
  <c r="AP109" i="89" s="1"/>
  <c r="AQ109" i="89" s="1"/>
  <c r="AV109" i="89" s="1"/>
  <c r="AC118" i="89"/>
  <c r="AC142" i="89"/>
  <c r="AC151" i="89"/>
  <c r="AC167" i="89"/>
  <c r="AC30" i="89"/>
  <c r="AC185" i="89"/>
  <c r="AC180" i="89"/>
  <c r="AF180" i="89" s="1"/>
  <c r="AG180" i="89" s="1"/>
  <c r="AI180" i="89" s="1"/>
  <c r="AC164" i="89"/>
  <c r="AF164" i="89" s="1"/>
  <c r="AG164" i="89" s="1"/>
  <c r="AI164" i="89" s="1"/>
  <c r="AP164" i="89" s="1"/>
  <c r="AQ164" i="89" s="1"/>
  <c r="AC146" i="89"/>
  <c r="AF146" i="89" s="1"/>
  <c r="AG146" i="89" s="1"/>
  <c r="AI146" i="89" s="1"/>
  <c r="AP146" i="89" s="1"/>
  <c r="AQ146" i="89" s="1"/>
  <c r="AV146" i="89" s="1"/>
  <c r="AC83" i="89"/>
  <c r="AF83" i="89" s="1"/>
  <c r="AG83" i="89" s="1"/>
  <c r="AI83" i="89" s="1"/>
  <c r="AP83" i="89" s="1"/>
  <c r="AQ83" i="89" s="1"/>
  <c r="AS83" i="89" s="1"/>
  <c r="AC154" i="89"/>
  <c r="AF154" i="89" s="1"/>
  <c r="AG154" i="89" s="1"/>
  <c r="AI154" i="89" s="1"/>
  <c r="AC27" i="89"/>
  <c r="AC63" i="89"/>
  <c r="AF63" i="89" s="1"/>
  <c r="AG63" i="89" s="1"/>
  <c r="AI63" i="89" s="1"/>
  <c r="AC45" i="89"/>
  <c r="AF45" i="89" s="1"/>
  <c r="AG45" i="89" s="1"/>
  <c r="AI45" i="89" s="1"/>
  <c r="AP45" i="89" s="1"/>
  <c r="AQ45" i="89" s="1"/>
  <c r="AC62" i="89"/>
  <c r="AF62" i="89" s="1"/>
  <c r="AG62" i="89" s="1"/>
  <c r="AI62" i="89" s="1"/>
  <c r="AP62" i="89" s="1"/>
  <c r="AQ62" i="89" s="1"/>
  <c r="AC61" i="89"/>
  <c r="AF61" i="89" s="1"/>
  <c r="AG61" i="89" s="1"/>
  <c r="AI61" i="89" s="1"/>
  <c r="AP61" i="89" s="1"/>
  <c r="AQ61" i="89" s="1"/>
  <c r="AC106" i="89"/>
  <c r="AF106" i="89" s="1"/>
  <c r="AG106" i="89" s="1"/>
  <c r="AI106" i="89" s="1"/>
  <c r="AP106" i="89" s="1"/>
  <c r="AQ106" i="89" s="1"/>
  <c r="AC65" i="89"/>
  <c r="AC136" i="89"/>
  <c r="AF136" i="89" s="1"/>
  <c r="AG136" i="89" s="1"/>
  <c r="AI136" i="89" s="1"/>
  <c r="AC143" i="89"/>
  <c r="AF143" i="89" s="1"/>
  <c r="AG143" i="89" s="1"/>
  <c r="AI143" i="89" s="1"/>
  <c r="AP143" i="89" s="1"/>
  <c r="AQ143" i="89" s="1"/>
  <c r="AC127" i="89"/>
  <c r="AF127" i="89" s="1"/>
  <c r="AG127" i="89" s="1"/>
  <c r="AI127" i="89" s="1"/>
  <c r="AP127" i="89" s="1"/>
  <c r="AQ127" i="89" s="1"/>
  <c r="AC159" i="89"/>
  <c r="AF159" i="89" s="1"/>
  <c r="AG159" i="89" s="1"/>
  <c r="AI159" i="89" s="1"/>
  <c r="AP159" i="89" s="1"/>
  <c r="AQ159" i="89" s="1"/>
  <c r="AC144" i="89"/>
  <c r="AF144" i="89" s="1"/>
  <c r="AG144" i="89" s="1"/>
  <c r="AI144" i="89" s="1"/>
  <c r="AP144" i="89" s="1"/>
  <c r="AQ144" i="89" s="1"/>
  <c r="AV174" i="89"/>
  <c r="AU174" i="89"/>
  <c r="AS174" i="89"/>
  <c r="AV39" i="89"/>
  <c r="AU39" i="89"/>
  <c r="AS39" i="89"/>
  <c r="AV195" i="89"/>
  <c r="AU195" i="89"/>
  <c r="AS195" i="89"/>
  <c r="AV189" i="89"/>
  <c r="AU189" i="89"/>
  <c r="AS189" i="89"/>
  <c r="AU184" i="89"/>
  <c r="AV184" i="89"/>
  <c r="AS184" i="89"/>
  <c r="AV69" i="89"/>
  <c r="AS69" i="89"/>
  <c r="AU69" i="89"/>
  <c r="AU31" i="89"/>
  <c r="AV31" i="89"/>
  <c r="AS31" i="89"/>
  <c r="AU36" i="89"/>
  <c r="AS36" i="89"/>
  <c r="AU78" i="89"/>
  <c r="AS78" i="89"/>
  <c r="AV78" i="89"/>
  <c r="AU173" i="89"/>
  <c r="AS173" i="89"/>
  <c r="AV149" i="89"/>
  <c r="AU149" i="89"/>
  <c r="AS149" i="89"/>
  <c r="AU188" i="89"/>
  <c r="AS188" i="89"/>
  <c r="AV188" i="89"/>
  <c r="AS178" i="89"/>
  <c r="AV178" i="89"/>
  <c r="AU178" i="89"/>
  <c r="AV86" i="89"/>
  <c r="AS86" i="89"/>
  <c r="AU86" i="89"/>
  <c r="AV133" i="89"/>
  <c r="AS133" i="89"/>
  <c r="AU133" i="89"/>
  <c r="AV92" i="89"/>
  <c r="AS92" i="89"/>
  <c r="AU92" i="89"/>
  <c r="AV38" i="89"/>
  <c r="AS38" i="89"/>
  <c r="AU38" i="89"/>
  <c r="AV187" i="89"/>
  <c r="AU187" i="89"/>
  <c r="AS187" i="89"/>
  <c r="AU156" i="89"/>
  <c r="AV156" i="89"/>
  <c r="AS156" i="89"/>
  <c r="AV84" i="89"/>
  <c r="AU84" i="89"/>
  <c r="AS84" i="89"/>
  <c r="AS97" i="89"/>
  <c r="AV97" i="89"/>
  <c r="AU97" i="89"/>
  <c r="AV183" i="89"/>
  <c r="AU183" i="89"/>
  <c r="AS183" i="89"/>
  <c r="AV176" i="89"/>
  <c r="AU176" i="89"/>
  <c r="AS176" i="89"/>
  <c r="AU144" i="89"/>
  <c r="AS144" i="89"/>
  <c r="AV144" i="89"/>
  <c r="AV147" i="89"/>
  <c r="AU147" i="89"/>
  <c r="AS147" i="89"/>
  <c r="AV79" i="89"/>
  <c r="AU79" i="89"/>
  <c r="AS79" i="89"/>
  <c r="AV132" i="89"/>
  <c r="AU132" i="89"/>
  <c r="AS132" i="89"/>
  <c r="AS129" i="89"/>
  <c r="AV129" i="89"/>
  <c r="AU129" i="89"/>
  <c r="AV93" i="89"/>
  <c r="AU93" i="89"/>
  <c r="AS93" i="89"/>
  <c r="AV89" i="89"/>
  <c r="AU89" i="89"/>
  <c r="AS89" i="89"/>
  <c r="AU60" i="89"/>
  <c r="AV60" i="89"/>
  <c r="AS60" i="89"/>
  <c r="AU43" i="89"/>
  <c r="AV43" i="89"/>
  <c r="AS43" i="89"/>
  <c r="AU32" i="89"/>
  <c r="AV32" i="89"/>
  <c r="AS32" i="89"/>
  <c r="AV37" i="89"/>
  <c r="AS37" i="89"/>
  <c r="AU37" i="89"/>
  <c r="AV50" i="89"/>
  <c r="AU50" i="89"/>
  <c r="AS50" i="89"/>
  <c r="AU70" i="89"/>
  <c r="AS70" i="89"/>
  <c r="AV70" i="89"/>
  <c r="AV96" i="89"/>
  <c r="AS96" i="89"/>
  <c r="AU96" i="89"/>
  <c r="AS113" i="89"/>
  <c r="AU113" i="89"/>
  <c r="AV113" i="89"/>
  <c r="AV163" i="89"/>
  <c r="AU163" i="89"/>
  <c r="AS163" i="89"/>
  <c r="AU153" i="89"/>
  <c r="AS153" i="89"/>
  <c r="AV153" i="89"/>
  <c r="AS134" i="89"/>
  <c r="AV134" i="89"/>
  <c r="AU134" i="89"/>
  <c r="AS127" i="89"/>
  <c r="AV127" i="89"/>
  <c r="AU127" i="89"/>
  <c r="AU83" i="89"/>
  <c r="AS45" i="89"/>
  <c r="AV45" i="89"/>
  <c r="AU45" i="89"/>
  <c r="AS62" i="89"/>
  <c r="AV62" i="89"/>
  <c r="AU62" i="89"/>
  <c r="AS143" i="89"/>
  <c r="AV143" i="89"/>
  <c r="AU143" i="89"/>
  <c r="AV159" i="89"/>
  <c r="AS159" i="89"/>
  <c r="AU159" i="89"/>
  <c r="AV181" i="89"/>
  <c r="AU181" i="89"/>
  <c r="AS181" i="89"/>
  <c r="AP162" i="89"/>
  <c r="AQ162" i="89" s="1"/>
  <c r="AU98" i="89"/>
  <c r="AV98" i="89"/>
  <c r="AS98" i="89"/>
  <c r="AF194" i="89"/>
  <c r="AG194" i="89" s="1"/>
  <c r="AI194" i="89" s="1"/>
  <c r="AP194" i="89" s="1"/>
  <c r="AQ194" i="89" s="1"/>
  <c r="AF186" i="89"/>
  <c r="AG186" i="89" s="1"/>
  <c r="AI186" i="89" s="1"/>
  <c r="AP186" i="89" s="1"/>
  <c r="AQ186" i="89" s="1"/>
  <c r="AF185" i="89"/>
  <c r="AG185" i="89" s="1"/>
  <c r="AI185" i="89" s="1"/>
  <c r="AP185" i="89" s="1"/>
  <c r="AQ185" i="89" s="1"/>
  <c r="AF166" i="89"/>
  <c r="AG166" i="89" s="1"/>
  <c r="AI166" i="89" s="1"/>
  <c r="AP166" i="89" s="1"/>
  <c r="AQ166" i="89" s="1"/>
  <c r="AP180" i="89"/>
  <c r="AQ180" i="89" s="1"/>
  <c r="AF150" i="89"/>
  <c r="AG150" i="89" s="1"/>
  <c r="AI150" i="89" s="1"/>
  <c r="AP150" i="89" s="1"/>
  <c r="AQ150" i="89" s="1"/>
  <c r="AP158" i="89"/>
  <c r="AQ158" i="89" s="1"/>
  <c r="AP124" i="89"/>
  <c r="AQ124" i="89" s="1"/>
  <c r="AF87" i="89"/>
  <c r="AG87" i="89" s="1"/>
  <c r="AI87" i="89" s="1"/>
  <c r="AP87" i="89" s="1"/>
  <c r="AQ87" i="89" s="1"/>
  <c r="AF85" i="89"/>
  <c r="AG85" i="89" s="1"/>
  <c r="AI85" i="89" s="1"/>
  <c r="AP85" i="89" s="1"/>
  <c r="AQ85" i="89" s="1"/>
  <c r="AP74" i="89"/>
  <c r="AQ74" i="89" s="1"/>
  <c r="AF66" i="89"/>
  <c r="AG66" i="89" s="1"/>
  <c r="AI66" i="89" s="1"/>
  <c r="AP63" i="89"/>
  <c r="AQ63" i="89" s="1"/>
  <c r="AF56" i="89"/>
  <c r="AG56" i="89" s="1"/>
  <c r="AI56" i="89" s="1"/>
  <c r="AP56" i="89" s="1"/>
  <c r="AQ56" i="89" s="1"/>
  <c r="AF58" i="89"/>
  <c r="AG58" i="89" s="1"/>
  <c r="AI58" i="89" s="1"/>
  <c r="AP58" i="89" s="1"/>
  <c r="AQ58" i="89" s="1"/>
  <c r="AF42" i="89"/>
  <c r="AG42" i="89" s="1"/>
  <c r="AI42" i="89" s="1"/>
  <c r="AP42" i="89" s="1"/>
  <c r="AQ42" i="89" s="1"/>
  <c r="AF47" i="89"/>
  <c r="AG47" i="89" s="1"/>
  <c r="AI47" i="89" s="1"/>
  <c r="AP47" i="89" s="1"/>
  <c r="AQ47" i="89" s="1"/>
  <c r="AF100" i="89"/>
  <c r="AG100" i="89" s="1"/>
  <c r="AI100" i="89" s="1"/>
  <c r="AF48" i="89"/>
  <c r="AG48" i="89" s="1"/>
  <c r="AI48" i="89" s="1"/>
  <c r="AP48" i="89" s="1"/>
  <c r="AQ48" i="89" s="1"/>
  <c r="AF77" i="89"/>
  <c r="AG77" i="89" s="1"/>
  <c r="AI77" i="89" s="1"/>
  <c r="AP77" i="89" s="1"/>
  <c r="AQ77" i="89" s="1"/>
  <c r="AF112" i="89"/>
  <c r="AG112" i="89" s="1"/>
  <c r="AI112" i="89" s="1"/>
  <c r="AP112" i="89" s="1"/>
  <c r="AQ112" i="89" s="1"/>
  <c r="AF102" i="89"/>
  <c r="AG102" i="89" s="1"/>
  <c r="AI102" i="89" s="1"/>
  <c r="AP102" i="89" s="1"/>
  <c r="AQ102" i="89" s="1"/>
  <c r="AF119" i="89"/>
  <c r="AG119" i="89" s="1"/>
  <c r="AI119" i="89" s="1"/>
  <c r="AP119" i="89" s="1"/>
  <c r="AQ119" i="89" s="1"/>
  <c r="AF122" i="89"/>
  <c r="AG122" i="89" s="1"/>
  <c r="AI122" i="89" s="1"/>
  <c r="AP122" i="89" s="1"/>
  <c r="AQ122" i="89" s="1"/>
  <c r="AF123" i="89"/>
  <c r="AG123" i="89" s="1"/>
  <c r="AI123" i="89" s="1"/>
  <c r="AP123" i="89" s="1"/>
  <c r="AQ123" i="89" s="1"/>
  <c r="AF165" i="89"/>
  <c r="AG165" i="89" s="1"/>
  <c r="AI165" i="89" s="1"/>
  <c r="AP165" i="89" s="1"/>
  <c r="AQ165" i="89" s="1"/>
  <c r="AF177" i="89"/>
  <c r="AG177" i="89" s="1"/>
  <c r="AI177" i="89" s="1"/>
  <c r="AP177" i="89" s="1"/>
  <c r="AQ177" i="89" s="1"/>
  <c r="AF179" i="89"/>
  <c r="AG179" i="89" s="1"/>
  <c r="AI179" i="89" s="1"/>
  <c r="AP179" i="89" s="1"/>
  <c r="AQ179" i="89" s="1"/>
  <c r="AV170" i="89"/>
  <c r="AU170" i="89"/>
  <c r="AS170" i="89"/>
  <c r="AV71" i="89"/>
  <c r="AU71" i="89"/>
  <c r="AS71" i="89"/>
  <c r="AF182" i="89"/>
  <c r="AG182" i="89" s="1"/>
  <c r="AI182" i="89" s="1"/>
  <c r="AP182" i="89" s="1"/>
  <c r="AQ182" i="89" s="1"/>
  <c r="AP172" i="89"/>
  <c r="AQ172" i="89" s="1"/>
  <c r="AP154" i="89"/>
  <c r="AQ154" i="89" s="1"/>
  <c r="AP125" i="89"/>
  <c r="AQ125" i="89" s="1"/>
  <c r="AP100" i="89"/>
  <c r="AQ100" i="89" s="1"/>
  <c r="AS115" i="89"/>
  <c r="AU115" i="89"/>
  <c r="AV115" i="89"/>
  <c r="AS155" i="89"/>
  <c r="AF191" i="89"/>
  <c r="AG191" i="89" s="1"/>
  <c r="AI191" i="89" s="1"/>
  <c r="AP191" i="89" s="1"/>
  <c r="AQ191" i="89" s="1"/>
  <c r="AF192" i="89"/>
  <c r="AG192" i="89" s="1"/>
  <c r="AI192" i="89" s="1"/>
  <c r="AP192" i="89" s="1"/>
  <c r="AQ192" i="89" s="1"/>
  <c r="AF91" i="89"/>
  <c r="AG91" i="89" s="1"/>
  <c r="AI91" i="89" s="1"/>
  <c r="AP91" i="89" s="1"/>
  <c r="AQ91" i="89" s="1"/>
  <c r="AF90" i="89"/>
  <c r="AG90" i="89" s="1"/>
  <c r="AI90" i="89" s="1"/>
  <c r="AP90" i="89" s="1"/>
  <c r="AQ90" i="89" s="1"/>
  <c r="AF68" i="89"/>
  <c r="AG68" i="89" s="1"/>
  <c r="AI68" i="89" s="1"/>
  <c r="AP68" i="89" s="1"/>
  <c r="AQ68" i="89" s="1"/>
  <c r="AF52" i="89"/>
  <c r="AG52" i="89" s="1"/>
  <c r="AI52" i="89" s="1"/>
  <c r="AP52" i="89" s="1"/>
  <c r="AQ52" i="89" s="1"/>
  <c r="AF46" i="89"/>
  <c r="AG46" i="89" s="1"/>
  <c r="AI46" i="89" s="1"/>
  <c r="AF44" i="89"/>
  <c r="AG44" i="89" s="1"/>
  <c r="AI44" i="89" s="1"/>
  <c r="AP44" i="89" s="1"/>
  <c r="AQ44" i="89" s="1"/>
  <c r="AF33" i="89"/>
  <c r="AG33" i="89" s="1"/>
  <c r="AI33" i="89" s="1"/>
  <c r="AP33" i="89" s="1"/>
  <c r="AQ33" i="89" s="1"/>
  <c r="AF72" i="89"/>
  <c r="AG72" i="89" s="1"/>
  <c r="AI72" i="89" s="1"/>
  <c r="AP72" i="89" s="1"/>
  <c r="AQ72" i="89" s="1"/>
  <c r="AF101" i="89"/>
  <c r="AG101" i="89" s="1"/>
  <c r="AI101" i="89" s="1"/>
  <c r="AP101" i="89" s="1"/>
  <c r="AQ101" i="89" s="1"/>
  <c r="AF105" i="89"/>
  <c r="AG105" i="89" s="1"/>
  <c r="AI105" i="89" s="1"/>
  <c r="AP105" i="89" s="1"/>
  <c r="AQ105" i="89" s="1"/>
  <c r="AF157" i="89"/>
  <c r="AG157" i="89" s="1"/>
  <c r="AI157" i="89" s="1"/>
  <c r="AP157" i="89" s="1"/>
  <c r="AQ157" i="89" s="1"/>
  <c r="AF138" i="89"/>
  <c r="AG138" i="89" s="1"/>
  <c r="AI138" i="89" s="1"/>
  <c r="AP138" i="89" s="1"/>
  <c r="AQ138" i="89" s="1"/>
  <c r="AF135" i="89"/>
  <c r="AG135" i="89" s="1"/>
  <c r="AI135" i="89" s="1"/>
  <c r="AP135" i="89" s="1"/>
  <c r="AQ135" i="89" s="1"/>
  <c r="AF175" i="89"/>
  <c r="AG175" i="89" s="1"/>
  <c r="AI175" i="89" s="1"/>
  <c r="AP175" i="89" s="1"/>
  <c r="AQ175" i="89" s="1"/>
  <c r="AP46" i="89"/>
  <c r="AQ46" i="89" s="1"/>
  <c r="AP168" i="89"/>
  <c r="AQ168" i="89" s="1"/>
  <c r="AP126" i="89"/>
  <c r="AQ126" i="89" s="1"/>
  <c r="AF141" i="89"/>
  <c r="AG141" i="89" s="1"/>
  <c r="AI141" i="89" s="1"/>
  <c r="AP141" i="89" s="1"/>
  <c r="AQ141" i="89" s="1"/>
  <c r="AP99" i="89"/>
  <c r="AQ99" i="89" s="1"/>
  <c r="AF139" i="89"/>
  <c r="AG139" i="89" s="1"/>
  <c r="AI139" i="89" s="1"/>
  <c r="AP139" i="89" s="1"/>
  <c r="AQ139" i="89" s="1"/>
  <c r="AP66" i="89"/>
  <c r="AQ66" i="89" s="1"/>
  <c r="AP76" i="89"/>
  <c r="AQ76" i="89" s="1"/>
  <c r="AF51" i="89"/>
  <c r="AG51" i="89" s="1"/>
  <c r="AI51" i="89" s="1"/>
  <c r="AP51" i="89" s="1"/>
  <c r="AQ51" i="89" s="1"/>
  <c r="AF59" i="89"/>
  <c r="AG59" i="89" s="1"/>
  <c r="AI59" i="89" s="1"/>
  <c r="AP59" i="89" s="1"/>
  <c r="AQ59" i="89" s="1"/>
  <c r="AF67" i="89"/>
  <c r="AG67" i="89" s="1"/>
  <c r="AI67" i="89" s="1"/>
  <c r="AP67" i="89" s="1"/>
  <c r="AQ67" i="89" s="1"/>
  <c r="AF108" i="89"/>
  <c r="AG108" i="89" s="1"/>
  <c r="AI108" i="89" s="1"/>
  <c r="AP108" i="89" s="1"/>
  <c r="AQ108" i="89" s="1"/>
  <c r="AF130" i="89"/>
  <c r="AG130" i="89" s="1"/>
  <c r="AI130" i="89" s="1"/>
  <c r="AP130" i="89" s="1"/>
  <c r="AQ130" i="89" s="1"/>
  <c r="AF107" i="89"/>
  <c r="AG107" i="89" s="1"/>
  <c r="AI107" i="89" s="1"/>
  <c r="AP107" i="89" s="1"/>
  <c r="AQ107" i="89" s="1"/>
  <c r="AF116" i="89"/>
  <c r="AG116" i="89" s="1"/>
  <c r="AI116" i="89" s="1"/>
  <c r="AP116" i="89" s="1"/>
  <c r="AQ116" i="89" s="1"/>
  <c r="AF152" i="89"/>
  <c r="AG152" i="89" s="1"/>
  <c r="AI152" i="89" s="1"/>
  <c r="AP152" i="89" s="1"/>
  <c r="AQ152" i="89" s="1"/>
  <c r="AF145" i="89"/>
  <c r="AG145" i="89" s="1"/>
  <c r="AI145" i="89" s="1"/>
  <c r="AP145" i="89" s="1"/>
  <c r="AQ145" i="89" s="1"/>
  <c r="AF171" i="89"/>
  <c r="AG171" i="89" s="1"/>
  <c r="AI171" i="89" s="1"/>
  <c r="AP171" i="89" s="1"/>
  <c r="AQ171" i="89" s="1"/>
  <c r="AF128" i="89"/>
  <c r="AG128" i="89" s="1"/>
  <c r="AI128" i="89" s="1"/>
  <c r="AP128" i="89" s="1"/>
  <c r="AQ128" i="89" s="1"/>
  <c r="AF95" i="89"/>
  <c r="AG95" i="89" s="1"/>
  <c r="AI95" i="89" s="1"/>
  <c r="AP95" i="89" s="1"/>
  <c r="AQ95" i="89" s="1"/>
  <c r="AV88" i="89"/>
  <c r="AS88" i="89"/>
  <c r="AU88" i="89"/>
  <c r="AF27" i="89"/>
  <c r="AF40" i="89"/>
  <c r="AG40" i="89" s="1"/>
  <c r="AI40" i="89" s="1"/>
  <c r="AP40" i="89" s="1"/>
  <c r="AQ40" i="89" s="1"/>
  <c r="AF49" i="89"/>
  <c r="AG49" i="89" s="1"/>
  <c r="AI49" i="89" s="1"/>
  <c r="AP49" i="89" s="1"/>
  <c r="AQ49" i="89" s="1"/>
  <c r="AF75" i="89"/>
  <c r="AG75" i="89" s="1"/>
  <c r="AI75" i="89" s="1"/>
  <c r="AP75" i="89" s="1"/>
  <c r="AQ75" i="89" s="1"/>
  <c r="AF111" i="89"/>
  <c r="AG111" i="89" s="1"/>
  <c r="AI111" i="89" s="1"/>
  <c r="AP111" i="89" s="1"/>
  <c r="AQ111" i="89" s="1"/>
  <c r="AF131" i="89"/>
  <c r="AG131" i="89" s="1"/>
  <c r="AI131" i="89" s="1"/>
  <c r="AP131" i="89" s="1"/>
  <c r="AQ131" i="89" s="1"/>
  <c r="AF118" i="89"/>
  <c r="AG118" i="89" s="1"/>
  <c r="AI118" i="89" s="1"/>
  <c r="AP118" i="89" s="1"/>
  <c r="AQ118" i="89" s="1"/>
  <c r="AF142" i="89"/>
  <c r="AG142" i="89" s="1"/>
  <c r="AI142" i="89" s="1"/>
  <c r="AP142" i="89" s="1"/>
  <c r="AQ142" i="89" s="1"/>
  <c r="AF151" i="89"/>
  <c r="AG151" i="89" s="1"/>
  <c r="AI151" i="89" s="1"/>
  <c r="AP151" i="89" s="1"/>
  <c r="AQ151" i="89" s="1"/>
  <c r="AF167" i="89"/>
  <c r="AG167" i="89" s="1"/>
  <c r="AI167" i="89" s="1"/>
  <c r="AP167" i="89" s="1"/>
  <c r="AQ167" i="89" s="1"/>
  <c r="AV190" i="89"/>
  <c r="AS190" i="89"/>
  <c r="AU190" i="89"/>
  <c r="AF160" i="89"/>
  <c r="AG160" i="89" s="1"/>
  <c r="AI160" i="89" s="1"/>
  <c r="AP160" i="89" s="1"/>
  <c r="AQ160" i="89" s="1"/>
  <c r="AP55" i="89"/>
  <c r="AQ55" i="89" s="1"/>
  <c r="AF65" i="89"/>
  <c r="AG65" i="89" s="1"/>
  <c r="AI65" i="89" s="1"/>
  <c r="AP65" i="89" s="1"/>
  <c r="AQ65" i="89" s="1"/>
  <c r="AF30" i="89"/>
  <c r="AG30" i="89" s="1"/>
  <c r="AI30" i="89" s="1"/>
  <c r="AP30" i="89" s="1"/>
  <c r="AQ30" i="89" s="1"/>
  <c r="AP136" i="89"/>
  <c r="AQ136" i="89" s="1"/>
  <c r="AS109" i="89"/>
  <c r="AU109" i="89"/>
  <c r="AP34" i="89"/>
  <c r="AQ34" i="89" s="1"/>
  <c r="Y17" i="89"/>
  <c r="AF57" i="89"/>
  <c r="AG57" i="89" s="1"/>
  <c r="AI57" i="89" s="1"/>
  <c r="AP57" i="89" s="1"/>
  <c r="AQ57" i="89" s="1"/>
  <c r="AF64" i="89"/>
  <c r="AG64" i="89" s="1"/>
  <c r="AI64" i="89" s="1"/>
  <c r="AP64" i="89" s="1"/>
  <c r="AQ64" i="89" s="1"/>
  <c r="AF110" i="89"/>
  <c r="AG110" i="89" s="1"/>
  <c r="AI110" i="89" s="1"/>
  <c r="AP110" i="89" s="1"/>
  <c r="AQ110" i="89" s="1"/>
  <c r="AF73" i="89"/>
  <c r="AG73" i="89" s="1"/>
  <c r="AI73" i="89" s="1"/>
  <c r="AP73" i="89" s="1"/>
  <c r="AQ73" i="89" s="1"/>
  <c r="AF140" i="89"/>
  <c r="AG140" i="89" s="1"/>
  <c r="AI140" i="89" s="1"/>
  <c r="AP140" i="89" s="1"/>
  <c r="AQ140" i="89" s="1"/>
  <c r="AF114" i="89"/>
  <c r="AG114" i="89" s="1"/>
  <c r="AI114" i="89" s="1"/>
  <c r="AP114" i="89" s="1"/>
  <c r="AQ114" i="89" s="1"/>
  <c r="AF148" i="89"/>
  <c r="AG148" i="89" s="1"/>
  <c r="AI148" i="89" s="1"/>
  <c r="AP148" i="89" s="1"/>
  <c r="AQ148" i="89" s="1"/>
  <c r="AF169" i="89"/>
  <c r="AG169" i="89" s="1"/>
  <c r="AI169" i="89" s="1"/>
  <c r="AP169" i="89" s="1"/>
  <c r="AQ169" i="89" s="1"/>
  <c r="AF193" i="89"/>
  <c r="AG193" i="89" s="1"/>
  <c r="AI193" i="89" s="1"/>
  <c r="AP193" i="89" s="1"/>
  <c r="AQ193" i="89" s="1"/>
  <c r="AV164" i="89" l="1"/>
  <c r="AU164" i="89"/>
  <c r="AS164" i="89"/>
  <c r="AS146" i="89"/>
  <c r="AV54" i="89"/>
  <c r="AU161" i="89"/>
  <c r="AW161" i="89" s="1"/>
  <c r="AX161" i="89" s="1"/>
  <c r="AY161" i="89" s="1"/>
  <c r="AU146" i="89"/>
  <c r="AW146" i="89" s="1"/>
  <c r="AX146" i="89" s="1"/>
  <c r="AY146" i="89" s="1"/>
  <c r="AS54" i="89"/>
  <c r="AU81" i="89"/>
  <c r="AC17" i="89"/>
  <c r="AV155" i="89"/>
  <c r="AV83" i="89"/>
  <c r="AS81" i="89"/>
  <c r="AS161" i="89"/>
  <c r="AS137" i="89"/>
  <c r="AS82" i="89"/>
  <c r="AV137" i="89"/>
  <c r="AV82" i="89"/>
  <c r="AS135" i="89"/>
  <c r="AV135" i="89"/>
  <c r="AU135" i="89"/>
  <c r="AV80" i="89"/>
  <c r="AU80" i="89"/>
  <c r="AS80" i="89"/>
  <c r="AS64" i="89"/>
  <c r="AV64" i="89"/>
  <c r="AU64" i="89"/>
  <c r="AU152" i="89"/>
  <c r="AV152" i="89"/>
  <c r="AS152" i="89"/>
  <c r="AS120" i="89"/>
  <c r="AV120" i="89"/>
  <c r="AU120" i="89"/>
  <c r="AV130" i="89"/>
  <c r="AU130" i="89"/>
  <c r="AS130" i="89"/>
  <c r="AS123" i="89"/>
  <c r="AV123" i="89"/>
  <c r="AU123" i="89"/>
  <c r="AS107" i="89"/>
  <c r="AU107" i="89"/>
  <c r="AV107" i="89"/>
  <c r="AV41" i="89"/>
  <c r="AS41" i="89"/>
  <c r="AU41" i="89"/>
  <c r="AV108" i="89"/>
  <c r="AU108" i="89"/>
  <c r="AS108" i="89"/>
  <c r="AV139" i="89"/>
  <c r="AS139" i="89"/>
  <c r="AU139" i="89"/>
  <c r="AU118" i="89"/>
  <c r="AV118" i="89"/>
  <c r="AS118" i="89"/>
  <c r="AS72" i="89"/>
  <c r="AV72" i="89"/>
  <c r="AU72" i="89"/>
  <c r="AW109" i="89"/>
  <c r="AX109" i="89" s="1"/>
  <c r="AY109" i="89" s="1"/>
  <c r="AS51" i="89"/>
  <c r="AV51" i="89"/>
  <c r="AU51" i="89"/>
  <c r="AV53" i="89"/>
  <c r="AU53" i="89"/>
  <c r="AS53" i="89"/>
  <c r="AV30" i="89"/>
  <c r="AU30" i="89"/>
  <c r="AS30" i="89"/>
  <c r="AW69" i="89"/>
  <c r="AX69" i="89" s="1"/>
  <c r="AY69" i="89" s="1"/>
  <c r="AV94" i="89"/>
  <c r="AS94" i="89"/>
  <c r="AU94" i="89"/>
  <c r="AV165" i="89"/>
  <c r="AU165" i="89"/>
  <c r="AS165" i="89"/>
  <c r="AW153" i="89"/>
  <c r="AX153" i="89"/>
  <c r="AY153" i="89" s="1"/>
  <c r="AW97" i="89"/>
  <c r="AX97" i="89"/>
  <c r="AY97" i="89" s="1"/>
  <c r="AV90" i="89"/>
  <c r="AS90" i="89"/>
  <c r="AU90" i="89"/>
  <c r="AS121" i="89"/>
  <c r="AU121" i="89"/>
  <c r="AV121" i="89"/>
  <c r="AW43" i="89"/>
  <c r="AX43" i="89" s="1"/>
  <c r="AY43" i="89" s="1"/>
  <c r="AW81" i="89"/>
  <c r="AX81" i="89" s="1"/>
  <c r="AY81" i="89" s="1"/>
  <c r="AV68" i="89"/>
  <c r="AU68" i="89"/>
  <c r="AS68" i="89"/>
  <c r="AU65" i="89"/>
  <c r="AS65" i="89"/>
  <c r="AV65" i="89"/>
  <c r="AV142" i="89"/>
  <c r="AU142" i="89"/>
  <c r="AS142" i="89"/>
  <c r="AF17" i="89"/>
  <c r="AG27" i="89"/>
  <c r="AV76" i="89"/>
  <c r="AU76" i="89"/>
  <c r="AS76" i="89"/>
  <c r="AU141" i="89"/>
  <c r="AS141" i="89"/>
  <c r="AV141" i="89"/>
  <c r="AV157" i="89"/>
  <c r="AS157" i="89"/>
  <c r="AU157" i="89"/>
  <c r="AV91" i="89"/>
  <c r="AU91" i="89"/>
  <c r="AS91" i="89"/>
  <c r="AU154" i="89"/>
  <c r="AV154" i="89"/>
  <c r="AS154" i="89"/>
  <c r="AV42" i="89"/>
  <c r="AS42" i="89"/>
  <c r="AU42" i="89"/>
  <c r="AV87" i="89"/>
  <c r="AU87" i="89"/>
  <c r="AS87" i="89"/>
  <c r="AV180" i="89"/>
  <c r="AU180" i="89"/>
  <c r="AS180" i="89"/>
  <c r="AW159" i="89"/>
  <c r="AX159" i="89" s="1"/>
  <c r="AY159" i="89" s="1"/>
  <c r="AW45" i="89"/>
  <c r="AX45" i="89" s="1"/>
  <c r="AY45" i="89" s="1"/>
  <c r="AW79" i="89"/>
  <c r="AX79" i="89" s="1"/>
  <c r="AY79" i="89" s="1"/>
  <c r="AW187" i="89"/>
  <c r="AX187" i="89" s="1"/>
  <c r="AY187" i="89" s="1"/>
  <c r="AV49" i="89"/>
  <c r="AU49" i="89"/>
  <c r="AS49" i="89"/>
  <c r="AU104" i="89"/>
  <c r="AV104" i="89"/>
  <c r="AS104" i="89"/>
  <c r="AU73" i="89"/>
  <c r="AS73" i="89"/>
  <c r="AV73" i="89"/>
  <c r="AV116" i="89"/>
  <c r="AU116" i="89"/>
  <c r="AS116" i="89"/>
  <c r="AW173" i="89"/>
  <c r="AX173" i="89" s="1"/>
  <c r="AY173" i="89" s="1"/>
  <c r="AV138" i="89"/>
  <c r="AU138" i="89"/>
  <c r="AS138" i="89"/>
  <c r="AS125" i="89"/>
  <c r="AV125" i="89"/>
  <c r="AU125" i="89"/>
  <c r="AV193" i="89"/>
  <c r="AU193" i="89"/>
  <c r="AS193" i="89"/>
  <c r="AS57" i="89"/>
  <c r="AV57" i="89"/>
  <c r="AU57" i="89"/>
  <c r="AU55" i="89"/>
  <c r="AV55" i="89"/>
  <c r="AS55" i="89"/>
  <c r="AV66" i="89"/>
  <c r="AU66" i="89"/>
  <c r="AS66" i="89"/>
  <c r="AS105" i="89"/>
  <c r="AU105" i="89"/>
  <c r="AV105" i="89"/>
  <c r="AU35" i="89"/>
  <c r="AS35" i="89"/>
  <c r="AV35" i="89"/>
  <c r="AW115" i="89"/>
  <c r="AX115" i="89" s="1"/>
  <c r="AY115" i="89" s="1"/>
  <c r="AV172" i="89"/>
  <c r="AU172" i="89"/>
  <c r="AS172" i="89"/>
  <c r="AS119" i="89"/>
  <c r="AV119" i="89"/>
  <c r="AU119" i="89"/>
  <c r="AV124" i="89"/>
  <c r="AU124" i="89"/>
  <c r="AS124" i="89"/>
  <c r="AV166" i="89"/>
  <c r="AU166" i="89"/>
  <c r="AS166" i="89"/>
  <c r="AW127" i="89"/>
  <c r="AX127" i="89" s="1"/>
  <c r="AY127" i="89" s="1"/>
  <c r="AW96" i="89"/>
  <c r="AX96" i="89" s="1"/>
  <c r="AY96" i="89" s="1"/>
  <c r="AW89" i="89"/>
  <c r="AX89" i="89" s="1"/>
  <c r="AY89" i="89" s="1"/>
  <c r="AW176" i="89"/>
  <c r="AX176" i="89" s="1"/>
  <c r="AY176" i="89" s="1"/>
  <c r="AW133" i="89"/>
  <c r="AX133" i="89" s="1"/>
  <c r="AY133" i="89" s="1"/>
  <c r="AW137" i="89"/>
  <c r="AX137" i="89" s="1"/>
  <c r="AY137" i="89" s="1"/>
  <c r="AW82" i="89"/>
  <c r="AX82" i="89" s="1"/>
  <c r="AY82" i="89" s="1"/>
  <c r="AW39" i="89"/>
  <c r="AX39" i="89" s="1"/>
  <c r="AY39" i="89" s="1"/>
  <c r="AU122" i="89"/>
  <c r="AV122" i="89"/>
  <c r="AS122" i="89"/>
  <c r="AV175" i="89"/>
  <c r="AU175" i="89"/>
  <c r="AS175" i="89"/>
  <c r="AV48" i="89"/>
  <c r="AU48" i="89"/>
  <c r="AS48" i="89"/>
  <c r="AW181" i="89"/>
  <c r="AX181" i="89" s="1"/>
  <c r="AY181" i="89" s="1"/>
  <c r="AW54" i="89"/>
  <c r="AX54" i="89" s="1"/>
  <c r="AY54" i="89" s="1"/>
  <c r="AV167" i="89"/>
  <c r="AU167" i="89"/>
  <c r="AS167" i="89"/>
  <c r="AW71" i="89"/>
  <c r="AX71" i="89" s="1"/>
  <c r="AY71" i="89" s="1"/>
  <c r="AW129" i="89"/>
  <c r="AX129" i="89" s="1"/>
  <c r="AY129" i="89" s="1"/>
  <c r="AW92" i="89"/>
  <c r="AX92" i="89" s="1"/>
  <c r="AY92" i="89" s="1"/>
  <c r="AW195" i="89"/>
  <c r="AX195" i="89" s="1"/>
  <c r="AY195" i="89" s="1"/>
  <c r="AS95" i="89"/>
  <c r="AU95" i="89"/>
  <c r="AV95" i="89"/>
  <c r="AU44" i="89"/>
  <c r="AV44" i="89"/>
  <c r="AS44" i="89"/>
  <c r="AW155" i="89"/>
  <c r="AX155" i="89" s="1"/>
  <c r="AY155" i="89" s="1"/>
  <c r="AW78" i="89"/>
  <c r="AX78" i="89" s="1"/>
  <c r="AY78" i="89" s="1"/>
  <c r="AV169" i="89"/>
  <c r="AU169" i="89"/>
  <c r="AS169" i="89"/>
  <c r="AU136" i="89"/>
  <c r="AS136" i="89"/>
  <c r="AV136" i="89"/>
  <c r="AU160" i="89"/>
  <c r="AS160" i="89"/>
  <c r="AV160" i="89"/>
  <c r="AV131" i="89"/>
  <c r="AS131" i="89"/>
  <c r="AU131" i="89"/>
  <c r="AV67" i="89"/>
  <c r="AU67" i="89"/>
  <c r="AS67" i="89"/>
  <c r="AU126" i="89"/>
  <c r="AS126" i="89"/>
  <c r="AV126" i="89"/>
  <c r="AS117" i="89"/>
  <c r="AU117" i="89"/>
  <c r="AV117" i="89"/>
  <c r="AU52" i="89"/>
  <c r="AS52" i="89"/>
  <c r="AV52" i="89"/>
  <c r="AV182" i="89"/>
  <c r="AU182" i="89"/>
  <c r="AS182" i="89"/>
  <c r="AW170" i="89"/>
  <c r="AX170" i="89"/>
  <c r="AY170" i="89" s="1"/>
  <c r="AU102" i="89"/>
  <c r="AS102" i="89"/>
  <c r="AV102" i="89"/>
  <c r="AV185" i="89"/>
  <c r="AU185" i="89"/>
  <c r="AS185" i="89"/>
  <c r="AV162" i="89"/>
  <c r="AU162" i="89"/>
  <c r="AS162" i="89"/>
  <c r="AW143" i="89"/>
  <c r="AX143" i="89" s="1"/>
  <c r="AY143" i="89" s="1"/>
  <c r="AW70" i="89"/>
  <c r="AX70" i="89"/>
  <c r="AY70" i="89" s="1"/>
  <c r="AW37" i="89"/>
  <c r="AX37" i="89" s="1"/>
  <c r="AY37" i="89" s="1"/>
  <c r="AW60" i="89"/>
  <c r="AX60" i="89" s="1"/>
  <c r="AY60" i="89" s="1"/>
  <c r="AW132" i="89"/>
  <c r="AX132" i="89" s="1"/>
  <c r="AY132" i="89" s="1"/>
  <c r="AW84" i="89"/>
  <c r="AX84" i="89" s="1"/>
  <c r="AY84" i="89" s="1"/>
  <c r="AW36" i="89"/>
  <c r="AX36" i="89" s="1"/>
  <c r="AY36" i="89" s="1"/>
  <c r="AS140" i="89"/>
  <c r="AV140" i="89"/>
  <c r="AU140" i="89"/>
  <c r="AV177" i="89"/>
  <c r="AU177" i="89"/>
  <c r="AS177" i="89"/>
  <c r="AV56" i="89"/>
  <c r="AU56" i="89"/>
  <c r="AS56" i="89"/>
  <c r="AW188" i="89"/>
  <c r="AX188" i="89" s="1"/>
  <c r="AY188" i="89" s="1"/>
  <c r="AV151" i="89"/>
  <c r="AU151" i="89"/>
  <c r="AS151" i="89"/>
  <c r="AU106" i="89"/>
  <c r="AS106" i="89"/>
  <c r="AV106" i="89"/>
  <c r="AU148" i="89"/>
  <c r="AS148" i="89"/>
  <c r="AV148" i="89"/>
  <c r="AS111" i="89"/>
  <c r="AU111" i="89"/>
  <c r="AV111" i="89"/>
  <c r="AV171" i="89"/>
  <c r="AU171" i="89"/>
  <c r="AS171" i="89"/>
  <c r="AV59" i="89"/>
  <c r="AS59" i="89"/>
  <c r="AU59" i="89"/>
  <c r="AV168" i="89"/>
  <c r="AU168" i="89"/>
  <c r="AS168" i="89"/>
  <c r="AS103" i="89"/>
  <c r="AU103" i="89"/>
  <c r="AV103" i="89"/>
  <c r="AU28" i="89"/>
  <c r="AV28" i="89"/>
  <c r="AS28" i="89"/>
  <c r="AV192" i="89"/>
  <c r="AU192" i="89"/>
  <c r="AS192" i="89"/>
  <c r="AV61" i="89"/>
  <c r="AU61" i="89"/>
  <c r="AS61" i="89"/>
  <c r="AU112" i="89"/>
  <c r="AV112" i="89"/>
  <c r="AS112" i="89"/>
  <c r="AV63" i="89"/>
  <c r="AU63" i="89"/>
  <c r="AS63" i="89"/>
  <c r="AU158" i="89"/>
  <c r="AV158" i="89"/>
  <c r="AS158" i="89"/>
  <c r="AV186" i="89"/>
  <c r="AU186" i="89"/>
  <c r="AS186" i="89"/>
  <c r="AW163" i="89"/>
  <c r="AX163" i="89"/>
  <c r="AY163" i="89" s="1"/>
  <c r="AW147" i="89"/>
  <c r="AX147" i="89" s="1"/>
  <c r="AY147" i="89" s="1"/>
  <c r="AW38" i="89"/>
  <c r="AX38" i="89" s="1"/>
  <c r="AY38" i="89" s="1"/>
  <c r="AW149" i="89"/>
  <c r="AX149" i="89" s="1"/>
  <c r="AY149" i="89" s="1"/>
  <c r="AW189" i="89"/>
  <c r="AX189" i="89" s="1"/>
  <c r="AY189" i="89" s="1"/>
  <c r="AW190" i="89"/>
  <c r="AX190" i="89" s="1"/>
  <c r="AY190" i="89" s="1"/>
  <c r="AS101" i="89"/>
  <c r="AV101" i="89"/>
  <c r="AU101" i="89"/>
  <c r="AV100" i="89"/>
  <c r="AU100" i="89"/>
  <c r="AS100" i="89"/>
  <c r="AV74" i="89"/>
  <c r="AU74" i="89"/>
  <c r="AS74" i="89"/>
  <c r="AW62" i="89"/>
  <c r="AX62" i="89"/>
  <c r="AY62" i="89" s="1"/>
  <c r="AW164" i="89"/>
  <c r="AX164" i="89"/>
  <c r="AY164" i="89" s="1"/>
  <c r="AV40" i="89"/>
  <c r="AU40" i="89"/>
  <c r="AS40" i="89"/>
  <c r="AS33" i="89"/>
  <c r="AV33" i="89"/>
  <c r="AU33" i="89"/>
  <c r="AV85" i="89"/>
  <c r="AU85" i="89"/>
  <c r="AS85" i="89"/>
  <c r="AW31" i="89"/>
  <c r="AX31" i="89" s="1"/>
  <c r="AY31" i="89" s="1"/>
  <c r="AU110" i="89"/>
  <c r="AV110" i="89"/>
  <c r="AS110" i="89"/>
  <c r="AU58" i="89"/>
  <c r="AV58" i="89"/>
  <c r="AS58" i="89"/>
  <c r="AV47" i="89"/>
  <c r="AU47" i="89"/>
  <c r="AS47" i="89"/>
  <c r="AW98" i="89"/>
  <c r="AX98" i="89" s="1"/>
  <c r="AY98" i="89" s="1"/>
  <c r="AW50" i="89"/>
  <c r="AX50" i="89"/>
  <c r="AY50" i="89" s="1"/>
  <c r="AW184" i="89"/>
  <c r="AX184" i="89"/>
  <c r="AY184" i="89" s="1"/>
  <c r="AU114" i="89"/>
  <c r="AV114" i="89"/>
  <c r="AS114" i="89"/>
  <c r="AS34" i="89"/>
  <c r="AV34" i="89"/>
  <c r="AU34" i="89"/>
  <c r="AV128" i="89"/>
  <c r="AS128" i="89"/>
  <c r="AU128" i="89"/>
  <c r="AV75" i="89"/>
  <c r="AU75" i="89"/>
  <c r="AS75" i="89"/>
  <c r="AW88" i="89"/>
  <c r="AX88" i="89"/>
  <c r="AY88" i="89" s="1"/>
  <c r="AV145" i="89"/>
  <c r="AU145" i="89"/>
  <c r="AS145" i="89"/>
  <c r="AV29" i="89"/>
  <c r="AU29" i="89"/>
  <c r="AS29" i="89"/>
  <c r="AS99" i="89"/>
  <c r="AU99" i="89"/>
  <c r="AV99" i="89"/>
  <c r="AS46" i="89"/>
  <c r="AV46" i="89"/>
  <c r="AU46" i="89"/>
  <c r="AV191" i="89"/>
  <c r="AU191" i="89"/>
  <c r="AS191" i="89"/>
  <c r="AV179" i="89"/>
  <c r="AU179" i="89"/>
  <c r="AS179" i="89"/>
  <c r="AV77" i="89"/>
  <c r="AS77" i="89"/>
  <c r="AU77" i="89"/>
  <c r="AU150" i="89"/>
  <c r="AV150" i="89"/>
  <c r="AS150" i="89"/>
  <c r="AS194" i="89"/>
  <c r="AV194" i="89"/>
  <c r="AU194" i="89"/>
  <c r="AW83" i="89"/>
  <c r="AX83" i="89" s="1"/>
  <c r="AY83" i="89" s="1"/>
  <c r="AW134" i="89"/>
  <c r="AX134" i="89" s="1"/>
  <c r="AY134" i="89" s="1"/>
  <c r="AW113" i="89"/>
  <c r="AX113" i="89" s="1"/>
  <c r="AY113" i="89" s="1"/>
  <c r="AW32" i="89"/>
  <c r="AX32" i="89" s="1"/>
  <c r="AY32" i="89" s="1"/>
  <c r="AW93" i="89"/>
  <c r="AX93" i="89" s="1"/>
  <c r="AY93" i="89" s="1"/>
  <c r="AW144" i="89"/>
  <c r="AX144" i="89" s="1"/>
  <c r="AY144" i="89" s="1"/>
  <c r="AW183" i="89"/>
  <c r="AX183" i="89" s="1"/>
  <c r="AY183" i="89" s="1"/>
  <c r="AW156" i="89"/>
  <c r="AX156" i="89" s="1"/>
  <c r="AY156" i="89" s="1"/>
  <c r="AW86" i="89"/>
  <c r="AX86" i="89" s="1"/>
  <c r="AY86" i="89" s="1"/>
  <c r="AW178" i="89"/>
  <c r="AX178" i="89" s="1"/>
  <c r="AY178" i="89" s="1"/>
  <c r="AW174" i="89"/>
  <c r="AX174" i="89" s="1"/>
  <c r="AY174" i="89" s="1"/>
  <c r="AW111" i="89" l="1"/>
  <c r="AX111" i="89"/>
  <c r="AY111" i="89" s="1"/>
  <c r="AW30" i="89"/>
  <c r="AX30" i="89" s="1"/>
  <c r="AY30" i="89" s="1"/>
  <c r="AW64" i="89"/>
  <c r="AX64" i="89"/>
  <c r="AY64" i="89" s="1"/>
  <c r="AW101" i="89"/>
  <c r="AX101" i="89" s="1"/>
  <c r="AY101" i="89" s="1"/>
  <c r="AW126" i="89"/>
  <c r="AX126" i="89" s="1"/>
  <c r="AY126" i="89" s="1"/>
  <c r="AW91" i="89"/>
  <c r="AX91" i="89" s="1"/>
  <c r="AY91" i="89" s="1"/>
  <c r="AW29" i="89"/>
  <c r="AX29" i="89"/>
  <c r="AY29" i="89" s="1"/>
  <c r="AW75" i="89"/>
  <c r="AX75" i="89" s="1"/>
  <c r="AY75" i="89" s="1"/>
  <c r="AW114" i="89"/>
  <c r="AX114" i="89" s="1"/>
  <c r="AY114" i="89" s="1"/>
  <c r="AW28" i="89"/>
  <c r="AX28" i="89" s="1"/>
  <c r="AY28" i="89" s="1"/>
  <c r="AW185" i="89"/>
  <c r="AX185" i="89" s="1"/>
  <c r="AY185" i="89" s="1"/>
  <c r="AW182" i="89"/>
  <c r="AX182" i="89"/>
  <c r="AY182" i="89" s="1"/>
  <c r="AW160" i="89"/>
  <c r="AX160" i="89" s="1"/>
  <c r="AY160" i="89" s="1"/>
  <c r="AW169" i="89"/>
  <c r="AX169" i="89" s="1"/>
  <c r="AY169" i="89" s="1"/>
  <c r="AW44" i="89"/>
  <c r="AX44" i="89" s="1"/>
  <c r="AY44" i="89" s="1"/>
  <c r="AW172" i="89"/>
  <c r="AX172" i="89" s="1"/>
  <c r="AY172" i="89" s="1"/>
  <c r="AW57" i="89"/>
  <c r="AX57" i="89"/>
  <c r="AY57" i="89" s="1"/>
  <c r="AW73" i="89"/>
  <c r="AX73" i="89" s="1"/>
  <c r="AY73" i="89" s="1"/>
  <c r="AW49" i="89"/>
  <c r="AX49" i="89" s="1"/>
  <c r="AY49" i="89" s="1"/>
  <c r="AW76" i="89"/>
  <c r="AX76" i="89"/>
  <c r="AY76" i="89" s="1"/>
  <c r="AW72" i="89"/>
  <c r="AX72" i="89" s="1"/>
  <c r="AY72" i="89" s="1"/>
  <c r="AW120" i="89"/>
  <c r="AX120" i="89" s="1"/>
  <c r="AY120" i="89" s="1"/>
  <c r="AW77" i="89"/>
  <c r="AX77" i="89"/>
  <c r="AY77" i="89" s="1"/>
  <c r="AW46" i="89"/>
  <c r="AX46" i="89" s="1"/>
  <c r="AY46" i="89" s="1"/>
  <c r="AW158" i="89"/>
  <c r="AX158" i="89"/>
  <c r="AY158" i="89" s="1"/>
  <c r="AW148" i="89"/>
  <c r="AX148" i="89" s="1"/>
  <c r="AY148" i="89" s="1"/>
  <c r="AW151" i="89"/>
  <c r="AX151" i="89" s="1"/>
  <c r="AY151" i="89" s="1"/>
  <c r="AW177" i="89"/>
  <c r="AX177" i="89" s="1"/>
  <c r="AY177" i="89" s="1"/>
  <c r="AW102" i="89"/>
  <c r="AX102" i="89" s="1"/>
  <c r="AY102" i="89" s="1"/>
  <c r="AW52" i="89"/>
  <c r="AX52" i="89"/>
  <c r="AY52" i="89" s="1"/>
  <c r="AW175" i="89"/>
  <c r="AX175" i="89" s="1"/>
  <c r="AY175" i="89" s="1"/>
  <c r="AW42" i="89"/>
  <c r="AX42" i="89" s="1"/>
  <c r="AY42" i="89" s="1"/>
  <c r="AG17" i="89"/>
  <c r="AI27" i="89"/>
  <c r="AP27" i="89" s="1"/>
  <c r="AW94" i="89"/>
  <c r="AX94" i="89" s="1"/>
  <c r="AY94" i="89" s="1"/>
  <c r="AW53" i="89"/>
  <c r="AX53" i="89" s="1"/>
  <c r="AY53" i="89" s="1"/>
  <c r="AW105" i="89"/>
  <c r="AX105" i="89" s="1"/>
  <c r="AY105" i="89" s="1"/>
  <c r="AW191" i="89"/>
  <c r="AX191" i="89"/>
  <c r="AY191" i="89" s="1"/>
  <c r="AW110" i="89"/>
  <c r="AX110" i="89" s="1"/>
  <c r="AY110" i="89" s="1"/>
  <c r="AW168" i="89"/>
  <c r="AX168" i="89" s="1"/>
  <c r="AY168" i="89" s="1"/>
  <c r="AW139" i="89"/>
  <c r="AX139" i="89"/>
  <c r="AY139" i="89" s="1"/>
  <c r="AW103" i="89"/>
  <c r="AX103" i="89" s="1"/>
  <c r="AY103" i="89" s="1"/>
  <c r="AW95" i="89"/>
  <c r="AX95" i="89" s="1"/>
  <c r="AY95" i="89" s="1"/>
  <c r="AW157" i="89"/>
  <c r="AX157" i="89"/>
  <c r="AY157" i="89" s="1"/>
  <c r="AW99" i="89"/>
  <c r="AX99" i="89" s="1"/>
  <c r="AY99" i="89" s="1"/>
  <c r="AW145" i="89"/>
  <c r="AX145" i="89"/>
  <c r="AY145" i="89" s="1"/>
  <c r="AW128" i="89"/>
  <c r="AX128" i="89" s="1"/>
  <c r="AY128" i="89" s="1"/>
  <c r="AW40" i="89"/>
  <c r="AX40" i="89" s="1"/>
  <c r="AY40" i="89" s="1"/>
  <c r="AW61" i="89"/>
  <c r="AX61" i="89"/>
  <c r="AY61" i="89" s="1"/>
  <c r="AW140" i="89"/>
  <c r="AX140" i="89" s="1"/>
  <c r="AY140" i="89" s="1"/>
  <c r="AW136" i="89"/>
  <c r="AX136" i="89"/>
  <c r="AY136" i="89" s="1"/>
  <c r="AW122" i="89"/>
  <c r="AX122" i="89" s="1"/>
  <c r="AY122" i="89" s="1"/>
  <c r="AW35" i="89"/>
  <c r="AX35" i="89" s="1"/>
  <c r="AY35" i="89" s="1"/>
  <c r="AW66" i="89"/>
  <c r="AX66" i="89"/>
  <c r="AY66" i="89" s="1"/>
  <c r="AW180" i="89"/>
  <c r="AX180" i="89"/>
  <c r="AY180" i="89" s="1"/>
  <c r="AW154" i="89"/>
  <c r="AX154" i="89" s="1"/>
  <c r="AY154" i="89" s="1"/>
  <c r="AW141" i="89"/>
  <c r="AX141" i="89" s="1"/>
  <c r="AY141" i="89" s="1"/>
  <c r="AW68" i="89"/>
  <c r="AX68" i="89" s="1"/>
  <c r="AY68" i="89" s="1"/>
  <c r="AW51" i="89"/>
  <c r="AX51" i="89"/>
  <c r="AY51" i="89" s="1"/>
  <c r="AW118" i="89"/>
  <c r="AX118" i="89" s="1"/>
  <c r="AY118" i="89" s="1"/>
  <c r="AW152" i="89"/>
  <c r="AX152" i="89" s="1"/>
  <c r="AY152" i="89" s="1"/>
  <c r="AW48" i="89"/>
  <c r="AX48" i="89"/>
  <c r="AY48" i="89" s="1"/>
  <c r="AW107" i="89"/>
  <c r="AX107" i="89" s="1"/>
  <c r="AY107" i="89" s="1"/>
  <c r="AW33" i="89"/>
  <c r="AX33" i="89"/>
  <c r="AY33" i="89" s="1"/>
  <c r="AW112" i="89"/>
  <c r="AX112" i="89" s="1"/>
  <c r="AY112" i="89" s="1"/>
  <c r="AW131" i="89"/>
  <c r="AX131" i="89" s="1"/>
  <c r="AY131" i="89" s="1"/>
  <c r="AW74" i="89"/>
  <c r="AX74" i="89"/>
  <c r="AY74" i="89" s="1"/>
  <c r="AW59" i="89"/>
  <c r="AX59" i="89" s="1"/>
  <c r="AY59" i="89" s="1"/>
  <c r="AW124" i="89"/>
  <c r="AX124" i="89" s="1"/>
  <c r="AY124" i="89" s="1"/>
  <c r="AW123" i="89"/>
  <c r="AX123" i="89" s="1"/>
  <c r="AY123" i="89" s="1"/>
  <c r="AW179" i="89"/>
  <c r="AX179" i="89" s="1"/>
  <c r="AY179" i="89" s="1"/>
  <c r="AW58" i="89"/>
  <c r="AX58" i="89"/>
  <c r="AY58" i="89" s="1"/>
  <c r="AW106" i="89"/>
  <c r="AX106" i="89" s="1"/>
  <c r="AY106" i="89" s="1"/>
  <c r="AW117" i="89"/>
  <c r="AX117" i="89"/>
  <c r="AY117" i="89" s="1"/>
  <c r="AW67" i="89"/>
  <c r="AX67" i="89" s="1"/>
  <c r="AY67" i="89" s="1"/>
  <c r="AW119" i="89"/>
  <c r="AX119" i="89" s="1"/>
  <c r="AY119" i="89" s="1"/>
  <c r="AW193" i="89"/>
  <c r="AX193" i="89" s="1"/>
  <c r="AY193" i="89" s="1"/>
  <c r="AW104" i="89"/>
  <c r="AX104" i="89" s="1"/>
  <c r="AY104" i="89" s="1"/>
  <c r="AW135" i="89"/>
  <c r="AX135" i="89" s="1"/>
  <c r="AY135" i="89" s="1"/>
  <c r="AW192" i="89"/>
  <c r="AX192" i="89"/>
  <c r="AY192" i="89" s="1"/>
  <c r="AW56" i="89"/>
  <c r="AX56" i="89" s="1"/>
  <c r="AY56" i="89" s="1"/>
  <c r="AW125" i="89"/>
  <c r="AX125" i="89"/>
  <c r="AY125" i="89" s="1"/>
  <c r="AW87" i="89"/>
  <c r="AX87" i="89" s="1"/>
  <c r="AY87" i="89" s="1"/>
  <c r="AW65" i="89"/>
  <c r="AX65" i="89" s="1"/>
  <c r="AY65" i="89" s="1"/>
  <c r="AW165" i="89"/>
  <c r="AX165" i="89" s="1"/>
  <c r="AY165" i="89" s="1"/>
  <c r="AW130" i="89"/>
  <c r="AX130" i="89" s="1"/>
  <c r="AY130" i="89" s="1"/>
  <c r="AW186" i="89"/>
  <c r="AX186" i="89" s="1"/>
  <c r="AY186" i="89" s="1"/>
  <c r="AW167" i="89"/>
  <c r="AX167" i="89" s="1"/>
  <c r="AY167" i="89" s="1"/>
  <c r="AW166" i="89"/>
  <c r="AX166" i="89"/>
  <c r="AY166" i="89" s="1"/>
  <c r="AW116" i="89"/>
  <c r="AX116" i="89" s="1"/>
  <c r="AY116" i="89" s="1"/>
  <c r="AW90" i="89"/>
  <c r="AX90" i="89" s="1"/>
  <c r="AY90" i="89" s="1"/>
  <c r="AW194" i="89"/>
  <c r="AX194" i="89" s="1"/>
  <c r="AY194" i="89" s="1"/>
  <c r="AW47" i="89"/>
  <c r="AX47" i="89"/>
  <c r="AY47" i="89" s="1"/>
  <c r="AW138" i="89"/>
  <c r="AX138" i="89" s="1"/>
  <c r="AY138" i="89" s="1"/>
  <c r="AW121" i="89"/>
  <c r="AX121" i="89" s="1"/>
  <c r="AY121" i="89" s="1"/>
  <c r="AW108" i="89"/>
  <c r="AX108" i="89" s="1"/>
  <c r="AY108" i="89" s="1"/>
  <c r="AW80" i="89"/>
  <c r="AX80" i="89" s="1"/>
  <c r="AY80" i="89" s="1"/>
  <c r="AW150" i="89"/>
  <c r="AX150" i="89" s="1"/>
  <c r="AY150" i="89" s="1"/>
  <c r="AW34" i="89"/>
  <c r="AX34" i="89" s="1"/>
  <c r="AY34" i="89" s="1"/>
  <c r="AW85" i="89"/>
  <c r="AX85" i="89" s="1"/>
  <c r="AY85" i="89" s="1"/>
  <c r="AW100" i="89"/>
  <c r="AX100" i="89" s="1"/>
  <c r="AY100" i="89" s="1"/>
  <c r="AW63" i="89"/>
  <c r="AX63" i="89" s="1"/>
  <c r="AY63" i="89" s="1"/>
  <c r="AW171" i="89"/>
  <c r="AX171" i="89" s="1"/>
  <c r="AY171" i="89" s="1"/>
  <c r="AW162" i="89"/>
  <c r="AX162" i="89" s="1"/>
  <c r="AY162" i="89" s="1"/>
  <c r="AW55" i="89"/>
  <c r="AX55" i="89"/>
  <c r="AY55" i="89" s="1"/>
  <c r="AW142" i="89"/>
  <c r="AX142" i="89"/>
  <c r="AY142" i="89" s="1"/>
  <c r="AW41" i="89"/>
  <c r="AX41" i="89" s="1"/>
  <c r="AY41" i="89" s="1"/>
  <c r="AP17" i="89" l="1"/>
  <c r="AQ27" i="89"/>
  <c r="AU27" i="89" l="1"/>
  <c r="AU17" i="89" s="1"/>
  <c r="AS27" i="89"/>
  <c r="AS17" i="89" s="1"/>
  <c r="AQ17" i="89"/>
  <c r="AV27" i="89"/>
  <c r="AW27" i="89" l="1"/>
  <c r="AW17" i="89" s="1"/>
  <c r="AX27" i="89"/>
  <c r="AX17" i="89" l="1"/>
  <c r="AY27" i="89"/>
  <c r="AY17" i="89" l="1"/>
</calcChain>
</file>

<file path=xl/sharedStrings.xml><?xml version="1.0" encoding="utf-8"?>
<sst xmlns="http://schemas.openxmlformats.org/spreadsheetml/2006/main" count="563" uniqueCount="346">
  <si>
    <t>Need Weighting Factor for Col 3:</t>
  </si>
  <si>
    <t>ENGL per Capita and MHI Threshold Factor for Col 8 &amp; Col 10:</t>
  </si>
  <si>
    <t>ENGL per Capita Weight for Col 11:</t>
  </si>
  <si>
    <t>MHI Weight for Col 11:</t>
  </si>
  <si>
    <t>Foundation for Column 17:</t>
  </si>
  <si>
    <t xml:space="preserve">Totals  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</si>
  <si>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</si>
  <si>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</si>
  <si>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</si>
  <si>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</si>
  <si>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</si>
  <si>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</si>
  <si>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</si>
  <si>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</si>
  <si>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</si>
  <si>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</si>
  <si>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</si>
  <si>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</si>
  <si>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</si>
  <si>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</si>
  <si>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</si>
  <si>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</si>
  <si>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</si>
  <si>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</si>
  <si>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</si>
  <si>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</si>
  <si>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</si>
  <si>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</si>
  <si>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</si>
  <si>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</si>
  <si>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</si>
  <si>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</si>
  <si>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</si>
  <si>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</si>
  <si>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</si>
  <si>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</si>
  <si>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</si>
  <si>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</si>
  <si>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</si>
  <si>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</si>
  <si>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</si>
  <si>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</si>
  <si>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</si>
  <si>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</si>
  <si>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</si>
  <si>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</si>
  <si>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</si>
  <si>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</si>
  <si>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</si>
  <si>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</si>
  <si>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</si>
  <si>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</si>
  <si>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</si>
  <si>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</si>
  <si>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</si>
  <si>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</si>
  <si>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</si>
  <si>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</si>
  <si>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</si>
  <si>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</si>
  <si>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</si>
  <si>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</si>
  <si>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</si>
  <si>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</si>
  <si>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</si>
  <si>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</si>
  <si>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</si>
  <si>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</si>
  <si>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</si>
  <si>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</si>
  <si>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</si>
  <si>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</si>
  <si>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</si>
  <si>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</si>
  <si>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</si>
  <si>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</si>
  <si>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</si>
  <si>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</si>
  <si>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</si>
  <si>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</si>
  <si>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</si>
  <si>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</si>
  <si>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</si>
  <si>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</si>
  <si>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</si>
  <si>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</si>
  <si>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</si>
  <si>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</si>
  <si>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</si>
  <si>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</si>
  <si>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</si>
  <si>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</si>
  <si>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</si>
  <si>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</si>
  <si>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</si>
  <si>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</si>
  <si>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</si>
  <si>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</si>
  <si>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</si>
  <si>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</si>
  <si>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</si>
  <si>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</si>
  <si>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</si>
  <si>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</si>
  <si>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</si>
  <si>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</si>
  <si>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</si>
  <si>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</si>
  <si>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</si>
  <si>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</si>
  <si>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</si>
  <si>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</si>
  <si>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</si>
  <si>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</si>
  <si>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</si>
  <si>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</si>
  <si>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</si>
  <si>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</si>
  <si>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</si>
  <si>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</si>
  <si>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</si>
  <si>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</si>
  <si>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</si>
  <si>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</si>
  <si>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</si>
  <si>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</si>
  <si>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</si>
  <si>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</si>
  <si>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</si>
  <si>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</si>
  <si>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</si>
  <si>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</si>
  <si>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</si>
  <si>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</si>
  <si>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</si>
  <si>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</si>
  <si>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</si>
  <si>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</si>
  <si>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</si>
  <si>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</si>
  <si>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</si>
  <si>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</si>
  <si>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</si>
  <si>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</si>
  <si>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</si>
  <si>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</si>
  <si>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</si>
  <si>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</si>
  <si>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</si>
  <si>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</si>
  <si>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</si>
  <si>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</si>
  <si>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</si>
  <si>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</si>
  <si>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</si>
  <si>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</si>
  <si>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</si>
  <si>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</si>
  <si>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</si>
  <si>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</si>
  <si>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</si>
  <si>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</si>
  <si>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</si>
  <si>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</si>
  <si>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</si>
  <si>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</si>
  <si>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</si>
  <si>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</si>
  <si>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</si>
  <si>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</si>
  <si>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</si>
  <si>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</si>
  <si>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</si>
  <si>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</si>
  <si>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</si>
  <si>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</si>
  <si>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</si>
  <si>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</si>
  <si>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</si>
  <si>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</si>
  <si>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</si>
  <si>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</si>
  <si>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</si>
  <si>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</si>
  <si>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</si>
  <si>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</si>
  <si>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</si>
  <si>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</si>
  <si>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</si>
  <si>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</si>
  <si>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</si>
  <si>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</si>
  <si>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</si>
  <si>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</si>
  <si>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</si>
  <si>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</si>
  <si>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</si>
  <si>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</si>
  <si>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</si>
  <si>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</si>
  <si>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</si>
  <si>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</si>
  <si>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</si>
  <si>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</si>
  <si>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</si>
  <si>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</si>
  <si>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</si>
  <si>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</si>
  <si>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</si>
  <si>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</si>
  <si>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</si>
  <si>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</si>
  <si>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</si>
  <si>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</si>
  <si>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</si>
  <si>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</si>
  <si>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</si>
  <si>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</si>
  <si>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</si>
  <si>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</si>
  <si>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</si>
  <si>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</si>
  <si>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</si>
  <si>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</si>
  <si>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</si>
  <si>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</si>
  <si>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</si>
  <si>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</si>
  <si>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</si>
  <si>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</si>
  <si>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</si>
  <si>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</si>
  <si>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</si>
  <si>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</si>
  <si>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</si>
  <si>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</si>
  <si>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</si>
  <si>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</si>
  <si>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</si>
  <si>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</si>
  <si>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</si>
  <si>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</si>
  <si>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</si>
  <si>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</si>
  <si>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</si>
  <si>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</si>
  <si>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</si>
  <si>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</si>
  <si>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</si>
  <si>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</si>
  <si>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</si>
  <si>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</si>
  <si>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</si>
  <si>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</si>
  <si>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</si>
  <si>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Greater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</si>
  <si>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</si>
  <si>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</si>
  <si>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</si>
  <si>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</si>
  <si>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</si>
  <si>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</si>
  <si>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</si>
  <si>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</si>
  <si>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</si>
  <si>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</si>
  <si>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Phase-In</t>
  </si>
  <si>
    <t>Amount</t>
  </si>
  <si>
    <t>Without</t>
  </si>
  <si>
    <t>Alliance HH</t>
  </si>
  <si>
    <t>If FRPL % above 60%,</t>
  </si>
  <si>
    <t>% above 60%</t>
  </si>
  <si>
    <t>at 60%</t>
  </si>
  <si>
    <t>(# students above 60%)</t>
  </si>
  <si>
    <t xml:space="preserve">Entitlement </t>
  </si>
  <si>
    <t>Total Bonus &gt;&gt;&gt;</t>
  </si>
  <si>
    <t>Excess</t>
  </si>
  <si>
    <t>Endowed</t>
  </si>
  <si>
    <t xml:space="preserve">Portion of </t>
  </si>
  <si>
    <t xml:space="preserve">Net </t>
  </si>
  <si>
    <t>Portion of</t>
  </si>
  <si>
    <t>Item E or Col 16),</t>
  </si>
  <si>
    <t xml:space="preserve">Base Aid </t>
  </si>
  <si>
    <t>Academies</t>
  </si>
  <si>
    <t>Free &amp;</t>
  </si>
  <si>
    <t>Ratio Adjustment</t>
  </si>
  <si>
    <t>Ratio</t>
  </si>
  <si>
    <t>(Greater of</t>
  </si>
  <si>
    <t>Total Need</t>
  </si>
  <si>
    <t>Need Students</t>
  </si>
  <si>
    <t>(Col 1 + Col 3</t>
  </si>
  <si>
    <t>(Col 2 x .30)</t>
  </si>
  <si>
    <t>(Col 1 x .60)</t>
  </si>
  <si>
    <t>(Col 7 x .25)</t>
  </si>
  <si>
    <t>+ Col 6 + Col 8)</t>
  </si>
  <si>
    <t>x Foundation)</t>
  </si>
  <si>
    <t>or 0)</t>
  </si>
  <si>
    <t>(Col 5 x .15)</t>
  </si>
  <si>
    <t>Prior Year</t>
  </si>
  <si>
    <t>Than Prior Year</t>
  </si>
  <si>
    <t>Grant with Alliance</t>
  </si>
  <si>
    <t>Hold Harmless</t>
  </si>
  <si>
    <t>60% of resident sts</t>
  </si>
  <si>
    <t>PIC Add</t>
  </si>
  <si>
    <t>Final Base Aid Ratio</t>
  </si>
  <si>
    <t># FRPL sts above 60% of resident sts</t>
  </si>
  <si>
    <t xml:space="preserve">ECS </t>
  </si>
  <si>
    <t>With</t>
  </si>
  <si>
    <t>(Col 17+Col 18)</t>
  </si>
  <si>
    <t>(Col 20 x</t>
  </si>
  <si>
    <t>(Col 23 x</t>
  </si>
  <si>
    <t>ADs HH</t>
  </si>
  <si>
    <t>or 0</t>
  </si>
  <si>
    <t>Feds do not report</t>
  </si>
  <si>
    <t>anything greater than</t>
  </si>
  <si>
    <t>$250,000 so Darien</t>
  </si>
  <si>
    <t>won't change</t>
  </si>
  <si>
    <t>Adjustment % for Districts who are underfunded:</t>
  </si>
  <si>
    <t>Adjustment % for Districts who are overfunded:</t>
  </si>
  <si>
    <t>(1 - ((Col 13 x</t>
  </si>
  <si>
    <t>Col 15 x Item D))</t>
  </si>
  <si>
    <t>Item F or Col 16)</t>
  </si>
  <si>
    <t>Col 21) x $100</t>
  </si>
  <si>
    <t>(Col 9 x Col 19</t>
  </si>
  <si>
    <t>(Col 22 +</t>
  </si>
  <si>
    <t>Col 24) x $100</t>
  </si>
  <si>
    <t>Col 25 + Col 26)</t>
  </si>
  <si>
    <t>(Col 12 /</t>
  </si>
  <si>
    <t>(Col 14 /</t>
  </si>
  <si>
    <t>(Col 10 / Col 11)</t>
  </si>
  <si>
    <t>(Non-Alliance Districts &amp; Non-PSDs:</t>
  </si>
  <si>
    <t>(Alliance Districts &amp; PSDs:</t>
  </si>
  <si>
    <t>Non-Alliance District &amp; Non-PSD Minimum Aid Ratio for use in Column 12:</t>
  </si>
  <si>
    <t>Alliance District &amp; PSD Minimum Aid Ratio for use in Column 12:</t>
  </si>
  <si>
    <t>(Col 27 - Col 30)</t>
  </si>
  <si>
    <t>(based on FF comp to prior yr)</t>
  </si>
  <si>
    <t>Get highest of prior yr, grant calc, and FY 17</t>
  </si>
  <si>
    <t>(Col 2 - Col 4)</t>
  </si>
  <si>
    <t>Abs value of (FF - Prior Year)</t>
  </si>
  <si>
    <t>FY 26</t>
  </si>
  <si>
    <t>Final # from SDE SAS</t>
  </si>
  <si>
    <t>Underfunded: Fully Funded Amount
Overfunded: Prior yr - Phase-in</t>
  </si>
  <si>
    <t>(10/2024)</t>
  </si>
  <si>
    <t>(2020/21/22)</t>
  </si>
  <si>
    <t>FY 24</t>
  </si>
  <si>
    <t>Overfunded: Adjustment *0% Underfunded: Adjustment *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</si>
</sst>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Fill="0" applyBorder="0">
      <alignment horizontal="center" wrapText="1"/>
    </xf>
    <xf numFmtId="169" fontId="3" fillId="0" borderId="1" applyFill="0"/>
    <xf numFmtId="0" fontId="3" fillId="0" borderId="1" applyFill="0"/>
    <xf numFmtId="0" fontId="2" fillId="0" borderId="0" applyNumberFormat="0" applyFill="0" applyBorder="0">
      <alignment horizontal="left" wrapText="1"/>
    </xf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15" fontId="23" fillId="0" borderId="0" xfId="0" quotePrefix="1" applyNumberFormat="1" applyFont="1"/>
    <xf numFmtId="0" fontId="24" fillId="0" borderId="0" xfId="0" applyFont="1"/>
    <xf numFmtId="0" fontId="24" fillId="2" borderId="0" xfId="0" applyFont="1" applyFill="1"/>
    <xf numFmtId="0" fontId="24" fillId="36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3" fillId="0" borderId="0" xfId="0" applyFont="1"/>
    <xf numFmtId="10" fontId="24" fillId="0" borderId="0" xfId="0" applyNumberFormat="1" applyFont="1"/>
    <xf numFmtId="164" fontId="24" fillId="0" borderId="0" xfId="0" applyNumberFormat="1" applyFont="1"/>
    <xf numFmtId="39" fontId="24" fillId="0" borderId="0" xfId="0" applyNumberFormat="1" applyFont="1"/>
    <xf numFmtId="165" fontId="24" fillId="0" borderId="0" xfId="0" applyNumberFormat="1" applyFont="1"/>
    <xf numFmtId="5" fontId="24" fillId="0" borderId="0" xfId="0" applyNumberFormat="1" applyFont="1"/>
    <xf numFmtId="10" fontId="23" fillId="0" borderId="0" xfId="0" applyNumberFormat="1" applyFont="1"/>
    <xf numFmtId="0" fontId="25" fillId="0" borderId="0" xfId="0" applyFont="1"/>
    <xf numFmtId="166" fontId="24" fillId="0" borderId="0" xfId="0" applyNumberFormat="1" applyFont="1"/>
    <xf numFmtId="0" fontId="26" fillId="0" borderId="0" xfId="0" applyFont="1"/>
    <xf numFmtId="3" fontId="24" fillId="36" borderId="0" xfId="0" applyNumberFormat="1" applyFont="1" applyFill="1"/>
    <xf numFmtId="0" fontId="24" fillId="0" borderId="0" xfId="0" quotePrefix="1" applyFont="1"/>
    <xf numFmtId="37" fontId="23" fillId="0" borderId="0" xfId="0" applyNumberFormat="1" applyFont="1"/>
    <xf numFmtId="39" fontId="25" fillId="0" borderId="0" xfId="0" applyNumberFormat="1" applyFont="1"/>
    <xf numFmtId="37" fontId="24" fillId="0" borderId="0" xfId="0" applyNumberFormat="1" applyFont="1"/>
    <xf numFmtId="40" fontId="24" fillId="0" borderId="0" xfId="0" applyNumberFormat="1" applyFont="1"/>
    <xf numFmtId="164" fontId="24" fillId="0" borderId="0" xfId="0" applyNumberFormat="1" applyFont="1" applyAlignment="1">
      <alignment horizontal="center"/>
    </xf>
    <xf numFmtId="37" fontId="26" fillId="0" borderId="0" xfId="0" applyNumberFormat="1" applyFont="1"/>
    <xf numFmtId="37" fontId="24" fillId="2" borderId="0" xfId="0" applyNumberFormat="1" applyFont="1" applyFill="1"/>
    <xf numFmtId="37" fontId="24" fillId="36" borderId="0" xfId="0" applyNumberFormat="1" applyFont="1" applyFill="1"/>
    <xf numFmtId="0" fontId="27" fillId="0" borderId="0" xfId="0" applyFont="1" applyAlignment="1">
      <alignment horizontal="right"/>
    </xf>
    <xf numFmtId="167" fontId="24" fillId="0" borderId="0" xfId="0" applyNumberFormat="1" applyFont="1"/>
    <xf numFmtId="0" fontId="24" fillId="0" borderId="0" xfId="0" quotePrefix="1" applyFont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4" fillId="36" borderId="0" xfId="0" quotePrefix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/>
    </xf>
    <xf numFmtId="0" fontId="24" fillId="36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2" borderId="0" xfId="0" quotePrefix="1" applyFont="1" applyFill="1" applyAlignment="1">
      <alignment horizontal="center"/>
    </xf>
    <xf numFmtId="0" fontId="23" fillId="36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36" borderId="0" xfId="0" applyFont="1" applyFill="1" applyAlignment="1">
      <alignment horizontal="center"/>
    </xf>
    <xf numFmtId="0" fontId="23" fillId="0" borderId="0" xfId="0" quotePrefix="1" applyFont="1" applyAlignment="1">
      <alignment horizontal="center"/>
    </xf>
    <xf numFmtId="0" fontId="27" fillId="36" borderId="0" xfId="0" applyFont="1" applyFill="1" applyAlignment="1">
      <alignment horizontal="center"/>
    </xf>
    <xf numFmtId="0" fontId="22" fillId="0" borderId="0" xfId="0" applyFont="1"/>
    <xf numFmtId="4" fontId="24" fillId="0" borderId="0" xfId="0" applyNumberFormat="1" applyFont="1"/>
    <xf numFmtId="4" fontId="22" fillId="0" borderId="0" xfId="0" applyNumberFormat="1" applyFont="1"/>
    <xf numFmtId="168" fontId="22" fillId="0" borderId="0" xfId="0" applyNumberFormat="1" applyFont="1"/>
    <xf numFmtId="3" fontId="22" fillId="0" borderId="0" xfId="0" applyNumberFormat="1" applyFont="1"/>
    <xf numFmtId="170" fontId="24" fillId="0" borderId="0" xfId="0" applyNumberFormat="1" applyFont="1"/>
    <xf numFmtId="168" fontId="24" fillId="0" borderId="0" xfId="0" applyNumberFormat="1" applyFont="1"/>
    <xf numFmtId="170" fontId="22" fillId="0" borderId="0" xfId="0" applyNumberFormat="1" applyFont="1"/>
    <xf numFmtId="37" fontId="24" fillId="0" borderId="0" xfId="0" applyNumberFormat="1" applyFont="1" applyAlignment="1">
      <alignment horizontal="center"/>
    </xf>
    <xf numFmtId="3" fontId="22" fillId="2" borderId="0" xfId="0" applyNumberFormat="1" applyFont="1" applyFill="1"/>
    <xf numFmtId="3" fontId="22" fillId="36" borderId="0" xfId="0" applyNumberFormat="1" applyFont="1" applyFill="1"/>
    <xf numFmtId="3" fontId="24" fillId="0" borderId="0" xfId="0" applyNumberFormat="1" applyFont="1"/>
    <xf numFmtId="0" fontId="29" fillId="0" borderId="0" xfId="0" applyFont="1" applyAlignment="1">
      <alignment horizontal="center"/>
    </xf>
    <xf numFmtId="0" fontId="23" fillId="3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4" fontId="27" fillId="2" borderId="1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2" borderId="0" xfId="0" applyFont="1" applyFill="1" applyAlignment="1">
      <alignment wrapText="1"/>
    </xf>
    <xf numFmtId="0" fontId="27" fillId="36" borderId="0" xfId="0" applyFont="1" applyFill="1" applyAlignment="1">
      <alignment wrapText="1"/>
    </xf>
    <xf numFmtId="39" fontId="23" fillId="0" borderId="0" xfId="0" applyNumberFormat="1" applyFont="1"/>
    <xf numFmtId="40" fontId="27" fillId="0" borderId="0" xfId="0" applyNumberFormat="1" applyFont="1"/>
    <xf numFmtId="0" fontId="27" fillId="0" borderId="0" xfId="0" applyFont="1" applyAlignment="1">
      <alignment horizontal="center"/>
    </xf>
    <xf numFmtId="6" fontId="27" fillId="0" borderId="0" xfId="0" applyNumberFormat="1" applyFont="1" applyAlignment="1">
      <alignment horizontal="center"/>
    </xf>
    <xf numFmtId="8" fontId="27" fillId="0" borderId="0" xfId="0" applyNumberFormat="1" applyFont="1" applyAlignment="1">
      <alignment horizontal="center"/>
    </xf>
    <xf numFmtId="5" fontId="27" fillId="0" borderId="0" xfId="0" applyNumberFormat="1" applyFont="1"/>
    <xf numFmtId="0" fontId="30" fillId="0" borderId="0" xfId="0" applyFont="1"/>
    <xf numFmtId="4" fontId="0" fillId="0" borderId="0" xfId="0" applyNumberFormat="1"/>
    <xf numFmtId="3" fontId="0" fillId="0" borderId="0" xfId="0" applyNumberFormat="1"/>
    <xf numFmtId="4" fontId="28" fillId="0" borderId="11" xfId="0" applyNumberFormat="1" applyFont="1" applyBorder="1"/>
    <xf numFmtId="4" fontId="28" fillId="34" borderId="11" xfId="0" applyNumberFormat="1" applyFont="1" applyFill="1" applyBorder="1"/>
    <xf numFmtId="4" fontId="28" fillId="35" borderId="11" xfId="0" applyNumberFormat="1" applyFont="1" applyFill="1" applyBorder="1"/>
    <xf numFmtId="3" fontId="31" fillId="0" borderId="0" xfId="0" applyNumberFormat="1" applyFont="1"/>
    <xf numFmtId="3" fontId="0" fillId="38" borderId="0" xfId="0" applyNumberFormat="1" applyFill="1"/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7CDD22EA-8DEA-41A6-AC9D-659DD01238A6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7" xr:uid="{8FA3F471-DB8F-421A-B414-C7D0F9559CB9}"/>
    <cellStyle name="Normal 2 2" xfId="49" xr:uid="{E921B42C-119E-4063-9983-C3BF94E7CB9F}"/>
    <cellStyle name="Note" xfId="19" builtinId="10" customBuiltin="1"/>
    <cellStyle name="Number Headers" xfId="1" xr:uid="{00000000-0005-0000-0000-000026000000}"/>
    <cellStyle name="Numbers" xfId="2" xr:uid="{00000000-0005-0000-0000-000027000000}"/>
    <cellStyle name="Output" xfId="14" builtinId="21" customBuiltin="1"/>
    <cellStyle name="Text" xfId="3" xr:uid="{00000000-0005-0000-0000-000029000000}"/>
    <cellStyle name="Text Headers" xfId="4" xr:uid="{00000000-0005-0000-0000-00002A000000}"/>
    <cellStyle name="Title" xfId="5" builtinId="15" customBuiltin="1"/>
    <cellStyle name="Title 2" xfId="46" xr:uid="{00000000-0005-0000-0000-00002C000000}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755D-630B-4CEE-B2B5-9FECAB7D039B}">
  <sheetPr>
    <tabColor theme="8" tint="0.59999389629810485"/>
  </sheetPr>
  <dimension ref="A1:BH363"/>
  <sheetViews>
    <sheetView tabSelected="1" topLeftCell="AP13" zoomScale="80" zoomScaleNormal="80" workbookViewId="0">
      <selection activeCell="AQ20" sqref="AQ20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2" width="16.87890625" style="2" customWidth="1"/>
    <col min="53" max="53" width="11.41015625" style="2" customWidth="1"/>
    <col min="54" max="55" width="8.76171875" style="2"/>
    <col min="56" max="60" width="15" style="2" bestFit="1" customWidth="1"/>
    <col min="61" max="16384" width="8.76171875" style="2"/>
  </cols>
  <sheetData>
    <row r="1" spans="2:52" x14ac:dyDescent="0.5">
      <c r="B1" s="1"/>
    </row>
    <row r="2" spans="2:52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2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2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2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2" x14ac:dyDescent="0.5">
      <c r="F6" s="5" t="s">
        <v>263</v>
      </c>
      <c r="G6" s="6"/>
      <c r="H6" s="7" t="s">
        <v>332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2" x14ac:dyDescent="0.5">
      <c r="F7" s="5" t="s">
        <v>264</v>
      </c>
      <c r="G7" s="6"/>
      <c r="H7" s="7" t="s">
        <v>333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2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2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2" x14ac:dyDescent="0.5">
      <c r="F10" s="5" t="s">
        <v>265</v>
      </c>
      <c r="G10" s="6"/>
      <c r="H10" s="7" t="s">
        <v>318</v>
      </c>
      <c r="L10" s="8">
        <v>0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2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2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2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2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2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  <c r="AZ15" s="21"/>
    </row>
    <row r="16" spans="2:52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24729300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479323.0199999999</v>
      </c>
      <c r="L17" s="10">
        <f t="shared" si="0"/>
        <v>0</v>
      </c>
      <c r="M17" s="21">
        <f t="shared" si="0"/>
        <v>211467</v>
      </c>
      <c r="N17" s="64">
        <f t="shared" si="0"/>
        <v>63440.100000000013</v>
      </c>
      <c r="O17" s="64">
        <f t="shared" si="0"/>
        <v>287593.84999999992</v>
      </c>
      <c r="P17" s="64">
        <f t="shared" si="0"/>
        <v>22950.9</v>
      </c>
      <c r="Q17" s="64">
        <f t="shared" si="0"/>
        <v>3442.6499999999996</v>
      </c>
      <c r="R17" s="19"/>
      <c r="S17" s="19"/>
      <c r="T17" s="19"/>
      <c r="U17" s="64">
        <f t="shared" si="0"/>
        <v>3445.5399999999995</v>
      </c>
      <c r="V17" s="19">
        <f t="shared" si="0"/>
        <v>55738</v>
      </c>
      <c r="W17" s="19">
        <f>SUM(W27:W195)</f>
        <v>13934.5</v>
      </c>
      <c r="X17" s="10">
        <f t="shared" si="0"/>
        <v>63440.100000000013</v>
      </c>
      <c r="Y17" s="10">
        <f t="shared" si="0"/>
        <v>560140.27000000037</v>
      </c>
      <c r="Z17" s="10">
        <f t="shared" si="0"/>
        <v>720877625728.35034</v>
      </c>
      <c r="AA17" s="21">
        <f t="shared" si="0"/>
        <v>3626205</v>
      </c>
      <c r="AB17" s="10">
        <f t="shared" si="0"/>
        <v>37959868.840000011</v>
      </c>
      <c r="AC17" s="28">
        <f>SUM(AC27:AC195)</f>
        <v>147.98468099999991</v>
      </c>
      <c r="AD17" s="21">
        <f>SUM(AD27:AD195)</f>
        <v>18402438</v>
      </c>
      <c r="AE17" s="21"/>
      <c r="AF17" s="28">
        <f>SUM(AF27:AF195)</f>
        <v>25.386548999999992</v>
      </c>
      <c r="AG17" s="28">
        <f>SUM(AG27:AG195)</f>
        <v>42.097054999999997</v>
      </c>
      <c r="AH17" s="28"/>
      <c r="AI17" s="28"/>
      <c r="AJ17" s="21">
        <f t="shared" ref="AJ17:AU17" si="1">SUM(AJ27:AJ195)</f>
        <v>21891</v>
      </c>
      <c r="AK17" s="21">
        <f t="shared" si="1"/>
        <v>413</v>
      </c>
      <c r="AL17" s="21">
        <f t="shared" si="1"/>
        <v>23328900</v>
      </c>
      <c r="AM17" s="21">
        <f t="shared" si="1"/>
        <v>3282</v>
      </c>
      <c r="AN17" s="21">
        <f t="shared" si="1"/>
        <v>72</v>
      </c>
      <c r="AO17" s="21">
        <f t="shared" si="1"/>
        <v>1400400</v>
      </c>
      <c r="AP17" s="21">
        <f t="shared" si="1"/>
        <v>2340531926</v>
      </c>
      <c r="AQ17" s="21">
        <f t="shared" si="1"/>
        <v>2365261226</v>
      </c>
      <c r="AR17" s="21">
        <f t="shared" si="1"/>
        <v>2017587098</v>
      </c>
      <c r="AS17" s="21">
        <f t="shared" si="1"/>
        <v>2396035069</v>
      </c>
      <c r="AT17" s="21">
        <f>SUM(AT27:AT195)</f>
        <v>2361568857</v>
      </c>
      <c r="AU17" s="21">
        <f t="shared" si="1"/>
        <v>185262735</v>
      </c>
      <c r="AV17" s="21"/>
      <c r="AW17" s="21">
        <f t="shared" ref="AW17" si="2">SUM(AW27:AW195)</f>
        <v>94477552</v>
      </c>
      <c r="AX17" s="25">
        <f>SUM(AX27:AX195)</f>
        <v>2456046409</v>
      </c>
      <c r="AY17" s="26">
        <f>SUM(AY27:AY195)</f>
        <v>2456046409</v>
      </c>
      <c r="AZ17" s="26"/>
      <c r="BA17" s="21"/>
      <c r="BD17" s="21"/>
      <c r="BE17" s="21"/>
      <c r="BF17" s="21"/>
      <c r="BG17" s="21"/>
      <c r="BH17" s="21"/>
    </row>
    <row r="18" spans="1:60" x14ac:dyDescent="0.5">
      <c r="I18" s="21"/>
      <c r="J18" s="21"/>
      <c r="K18" s="5">
        <v>1</v>
      </c>
      <c r="L18" s="5"/>
      <c r="M18" s="29">
        <f>K18+1</f>
        <v>2</v>
      </c>
      <c r="N18" s="42">
        <f>M18+1</f>
        <v>3</v>
      </c>
      <c r="O18" s="42">
        <f t="shared" ref="O18:Q18" si="3">N18+1</f>
        <v>4</v>
      </c>
      <c r="P18" s="42">
        <f t="shared" si="3"/>
        <v>5</v>
      </c>
      <c r="Q18" s="42">
        <f t="shared" si="3"/>
        <v>6</v>
      </c>
      <c r="R18" s="42"/>
      <c r="S18" s="42"/>
      <c r="T18" s="42"/>
      <c r="U18" s="42"/>
      <c r="V18" s="42">
        <f>Q18+1</f>
        <v>7</v>
      </c>
      <c r="W18" s="42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E18" s="21"/>
      <c r="BF18" s="21"/>
      <c r="BG18" s="21"/>
      <c r="BH18" s="21"/>
    </row>
    <row r="19" spans="1:60" x14ac:dyDescent="0.5">
      <c r="I19" s="21"/>
      <c r="J19" s="21"/>
      <c r="N19" s="7"/>
      <c r="O19" s="7"/>
      <c r="P19" s="7"/>
      <c r="Q19" s="7"/>
      <c r="R19" s="7"/>
      <c r="S19" s="7"/>
      <c r="T19" s="7"/>
      <c r="U19" s="7"/>
      <c r="V19" s="7"/>
      <c r="W19" s="7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  <c r="AT19" s="70" t="s">
        <v>340</v>
      </c>
    </row>
    <row r="20" spans="1:60" ht="28.7" x14ac:dyDescent="0.5">
      <c r="I20" s="21"/>
      <c r="J20" s="21"/>
      <c r="M20" s="33" t="s">
        <v>11</v>
      </c>
      <c r="N20" s="33"/>
      <c r="O20" s="33"/>
      <c r="P20" s="60" t="s">
        <v>305</v>
      </c>
      <c r="Q20" s="33" t="s">
        <v>276</v>
      </c>
      <c r="R20" s="33"/>
      <c r="S20" s="33"/>
      <c r="T20" s="33"/>
      <c r="U20" s="33"/>
      <c r="V20" s="33"/>
      <c r="W20" s="33"/>
      <c r="AB20" s="65">
        <f>MEDIAN(AB27:AB195)</f>
        <v>190009.01</v>
      </c>
      <c r="AC20" s="66" t="s">
        <v>12</v>
      </c>
      <c r="AD20" s="67">
        <f>MEDIAN(AD27:AD195)</f>
        <v>102174</v>
      </c>
      <c r="AE20" s="66" t="s">
        <v>12</v>
      </c>
      <c r="AF20" s="33" t="s">
        <v>13</v>
      </c>
      <c r="AG20" s="33" t="s">
        <v>330</v>
      </c>
      <c r="AH20" s="33"/>
      <c r="AI20" s="33"/>
      <c r="AL20" s="7"/>
      <c r="AM20" s="7"/>
      <c r="AN20" s="7"/>
      <c r="AO20" s="7"/>
      <c r="AP20" s="34" t="s">
        <v>15</v>
      </c>
      <c r="AQ20" s="5"/>
      <c r="AR20" s="5"/>
      <c r="AS20" s="5"/>
      <c r="AT20" s="5"/>
      <c r="AU20" s="5"/>
      <c r="AV20" s="5"/>
      <c r="AW20" s="5"/>
      <c r="AX20" s="35"/>
      <c r="AY20" s="36"/>
    </row>
    <row r="21" spans="1:60" x14ac:dyDescent="0.5">
      <c r="K21" s="5"/>
      <c r="L21" s="5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5" t="s">
        <v>17</v>
      </c>
      <c r="AB21" s="33"/>
      <c r="AC21" s="68">
        <f>ROUND(AB20*$X$3,2)</f>
        <v>256512.16</v>
      </c>
      <c r="AD21" s="33" t="s">
        <v>18</v>
      </c>
      <c r="AE21" s="68">
        <f>ROUND(AD20*$X$3,2)</f>
        <v>137934.9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5" t="s">
        <v>21</v>
      </c>
      <c r="AK21" s="5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69">
        <f>X8</f>
        <v>11525</v>
      </c>
      <c r="AT21" s="14"/>
      <c r="AU21" s="5" t="s">
        <v>254</v>
      </c>
      <c r="AX21" s="38" t="s">
        <v>339</v>
      </c>
      <c r="AY21" s="39" t="s">
        <v>339</v>
      </c>
    </row>
    <row r="22" spans="1:60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5" t="s">
        <v>25</v>
      </c>
      <c r="Y22" s="5" t="s">
        <v>26</v>
      </c>
      <c r="Z22" s="5" t="s">
        <v>27</v>
      </c>
      <c r="AB22" s="33" t="s">
        <v>28</v>
      </c>
      <c r="AC22" s="66" t="s">
        <v>29</v>
      </c>
      <c r="AD22" s="33" t="s">
        <v>30</v>
      </c>
      <c r="AE22" s="66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5" t="s">
        <v>32</v>
      </c>
      <c r="AK22" s="5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5"/>
      <c r="AS22" s="5" t="s">
        <v>34</v>
      </c>
      <c r="AT22" s="14"/>
      <c r="AU22" s="33" t="s">
        <v>19</v>
      </c>
      <c r="AV22" s="5" t="s">
        <v>34</v>
      </c>
      <c r="AX22" s="30" t="s">
        <v>63</v>
      </c>
      <c r="AY22" s="31" t="s">
        <v>306</v>
      </c>
    </row>
    <row r="23" spans="1:60" x14ac:dyDescent="0.5">
      <c r="B23" s="5"/>
      <c r="C23" s="5"/>
      <c r="D23" s="5" t="s">
        <v>35</v>
      </c>
      <c r="E23" s="5"/>
      <c r="F23" s="5" t="s">
        <v>36</v>
      </c>
      <c r="G23" s="5"/>
      <c r="K23" s="5" t="s">
        <v>37</v>
      </c>
      <c r="L23" s="5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5" t="s">
        <v>39</v>
      </c>
      <c r="Y23" s="5" t="s">
        <v>21</v>
      </c>
      <c r="Z23" s="5" t="s">
        <v>40</v>
      </c>
      <c r="AA23" s="5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2" t="s">
        <v>319</v>
      </c>
      <c r="AG23" s="33" t="s">
        <v>331</v>
      </c>
      <c r="AH23" s="33" t="s">
        <v>285</v>
      </c>
      <c r="AI23" s="33" t="s">
        <v>286</v>
      </c>
      <c r="AJ23" s="5" t="s">
        <v>14</v>
      </c>
      <c r="AK23" s="5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29" t="s">
        <v>20</v>
      </c>
      <c r="AV23" s="33" t="s">
        <v>255</v>
      </c>
      <c r="AW23" s="33"/>
      <c r="AX23" s="40" t="s">
        <v>253</v>
      </c>
      <c r="AY23" s="41" t="s">
        <v>274</v>
      </c>
    </row>
    <row r="24" spans="1:60" x14ac:dyDescent="0.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K24" s="5" t="s">
        <v>21</v>
      </c>
      <c r="L24" s="5"/>
      <c r="M24" s="33" t="s">
        <v>54</v>
      </c>
      <c r="N24" s="33" t="s">
        <v>24</v>
      </c>
      <c r="O24" s="33" t="s">
        <v>21</v>
      </c>
      <c r="P24" s="42" t="s">
        <v>287</v>
      </c>
      <c r="Q24" s="42" t="s">
        <v>288</v>
      </c>
      <c r="R24" s="33"/>
      <c r="S24" s="33"/>
      <c r="T24" s="33" t="s">
        <v>251</v>
      </c>
      <c r="U24" s="33"/>
      <c r="V24" s="5" t="s">
        <v>21</v>
      </c>
      <c r="W24" s="5" t="s">
        <v>289</v>
      </c>
      <c r="X24" s="33" t="s">
        <v>56</v>
      </c>
      <c r="Y24" s="5" t="s">
        <v>290</v>
      </c>
      <c r="Z24" s="5" t="s">
        <v>57</v>
      </c>
      <c r="AA24" s="5" t="s">
        <v>58</v>
      </c>
      <c r="AB24" s="42" t="s">
        <v>59</v>
      </c>
      <c r="AC24" s="33" t="s">
        <v>327</v>
      </c>
      <c r="AD24" s="33" t="s">
        <v>60</v>
      </c>
      <c r="AE24" s="33" t="s">
        <v>328</v>
      </c>
      <c r="AF24" s="42" t="s">
        <v>61</v>
      </c>
      <c r="AG24" s="33" t="s">
        <v>20</v>
      </c>
      <c r="AH24" s="33" t="s">
        <v>31</v>
      </c>
      <c r="AI24" s="42" t="s">
        <v>308</v>
      </c>
      <c r="AJ24" s="5" t="s">
        <v>23</v>
      </c>
      <c r="AK24" s="5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2" t="s">
        <v>324</v>
      </c>
      <c r="AR24" s="29" t="s">
        <v>63</v>
      </c>
      <c r="AS24" s="29" t="s">
        <v>301</v>
      </c>
      <c r="AT24" s="29" t="s">
        <v>63</v>
      </c>
      <c r="AU24" s="33" t="s">
        <v>334</v>
      </c>
      <c r="AV24" s="29" t="s">
        <v>299</v>
      </c>
      <c r="AW24" s="29" t="s">
        <v>266</v>
      </c>
      <c r="AX24" s="30" t="s">
        <v>268</v>
      </c>
      <c r="AY24" s="31" t="s">
        <v>307</v>
      </c>
    </row>
    <row r="25" spans="1:60" x14ac:dyDescent="0.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344</v>
      </c>
      <c r="H25" s="5" t="s">
        <v>67</v>
      </c>
      <c r="I25" s="2" t="s">
        <v>68</v>
      </c>
      <c r="K25" s="33" t="s">
        <v>342</v>
      </c>
      <c r="L25" s="33"/>
      <c r="M25" s="33" t="s">
        <v>342</v>
      </c>
      <c r="N25" s="42" t="s">
        <v>291</v>
      </c>
      <c r="O25" s="42" t="s">
        <v>292</v>
      </c>
      <c r="P25" s="42" t="s">
        <v>337</v>
      </c>
      <c r="Q25" s="42" t="s">
        <v>21</v>
      </c>
      <c r="R25" s="33"/>
      <c r="S25" s="33"/>
      <c r="T25" s="33" t="s">
        <v>272</v>
      </c>
      <c r="U25" s="33"/>
      <c r="V25" s="33" t="s">
        <v>342</v>
      </c>
      <c r="W25" s="29" t="s">
        <v>293</v>
      </c>
      <c r="X25" s="5" t="s">
        <v>69</v>
      </c>
      <c r="Y25" s="29" t="s">
        <v>294</v>
      </c>
      <c r="Z25" s="33" t="s">
        <v>343</v>
      </c>
      <c r="AA25" s="5">
        <v>2022</v>
      </c>
      <c r="AB25" s="33" t="s">
        <v>329</v>
      </c>
      <c r="AC25" s="33" t="s">
        <v>70</v>
      </c>
      <c r="AD25" s="33">
        <v>2022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342</v>
      </c>
      <c r="AK25" s="33" t="s">
        <v>342</v>
      </c>
      <c r="AL25" s="33" t="s">
        <v>322</v>
      </c>
      <c r="AM25" s="33" t="s">
        <v>342</v>
      </c>
      <c r="AN25" s="33" t="s">
        <v>342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7"/>
      <c r="AT25" s="33" t="s">
        <v>253</v>
      </c>
      <c r="AU25" s="29" t="s">
        <v>312</v>
      </c>
      <c r="AV25" s="42" t="s">
        <v>256</v>
      </c>
      <c r="AW25" s="33" t="s">
        <v>267</v>
      </c>
      <c r="AX25" s="40" t="s">
        <v>269</v>
      </c>
      <c r="AY25" s="43" t="s">
        <v>311</v>
      </c>
    </row>
    <row r="26" spans="1:60" ht="74.7" customHeight="1" x14ac:dyDescent="0.5">
      <c r="C26" s="7"/>
      <c r="D26" s="7"/>
      <c r="E26" s="7"/>
      <c r="F26" s="7"/>
      <c r="G26" s="7"/>
      <c r="P26" s="5" t="s">
        <v>296</v>
      </c>
      <c r="Q26" s="29" t="s">
        <v>297</v>
      </c>
      <c r="T26" s="2" t="s">
        <v>273</v>
      </c>
      <c r="AL26" s="7"/>
      <c r="AM26" s="7"/>
      <c r="AN26" s="7"/>
      <c r="AO26" s="7"/>
      <c r="AP26" s="7"/>
      <c r="AU26" s="61" t="s">
        <v>338</v>
      </c>
      <c r="AV26" s="61" t="s">
        <v>335</v>
      </c>
      <c r="AW26" s="61" t="s">
        <v>345</v>
      </c>
      <c r="AX26" s="62" t="s">
        <v>341</v>
      </c>
      <c r="AY26" s="63" t="s">
        <v>336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5"/>
      <c r="K27" s="71">
        <v>332.06</v>
      </c>
      <c r="L27" s="73"/>
      <c r="M27" s="72">
        <v>93</v>
      </c>
      <c r="N27" s="46">
        <f>ROUND(M27*0.3,2)</f>
        <v>27.9</v>
      </c>
      <c r="O27" s="46">
        <f>ROUND(K27*0.6,2)</f>
        <v>199.24</v>
      </c>
      <c r="P27" s="46">
        <f>MAX(M27-O27,0)</f>
        <v>0</v>
      </c>
      <c r="Q27" s="46">
        <f>ROUND(P27*0.15,2)</f>
        <v>0</v>
      </c>
      <c r="R27" s="47">
        <f>ROUND(M27/K27,2)</f>
        <v>0.28000000000000003</v>
      </c>
      <c r="S27" s="47">
        <f t="shared" ref="S27:S90" si="5">IF(R27&gt;0.6,+R27-0.6,0)</f>
        <v>0</v>
      </c>
      <c r="T27" s="46">
        <f t="shared" ref="T27:T90" si="6">ROUND(S27*K27,2)</f>
        <v>0</v>
      </c>
      <c r="U27" s="46">
        <f>ROUND(T27*0.15,2)</f>
        <v>0</v>
      </c>
      <c r="V27" s="72">
        <v>8</v>
      </c>
      <c r="W27" s="46">
        <f>ROUND(V27*0.25,2)</f>
        <v>2</v>
      </c>
      <c r="X27" s="22">
        <f>ROUND(M27*$X$2,2)</f>
        <v>27.9</v>
      </c>
      <c r="Y27" s="10">
        <f>+K27+N27+Q27+W27</f>
        <v>361.96</v>
      </c>
      <c r="Z27" s="71">
        <v>484661416.67000002</v>
      </c>
      <c r="AA27" s="72">
        <v>3150</v>
      </c>
      <c r="AB27" s="22">
        <f t="shared" ref="AB27:AB90" si="7">ROUND(Z27/AA27,2)</f>
        <v>153860.76999999999</v>
      </c>
      <c r="AC27" s="9">
        <f t="shared" ref="AC27:AC90" si="8">(ROUND(AB27/$AC$21,6))</f>
        <v>0.59981899999999999</v>
      </c>
      <c r="AD27" s="72">
        <v>124167</v>
      </c>
      <c r="AE27" s="9">
        <f t="shared" ref="AE27:AE90" si="9">(ROUND(AD27/$AE$21,6))</f>
        <v>0.90018600000000004</v>
      </c>
      <c r="AF27" s="9">
        <f>ROUND(1-((AC27*$L$4)+(AE27*$L$5)),6)</f>
        <v>0.31007099999999999</v>
      </c>
      <c r="AG27" s="49">
        <f t="shared" ref="AG27:AG90" si="10">IF(OR(B27=1,C27=1),MAX($L$7,AF27),MAX($L$6,AF27))</f>
        <v>0.31007099999999999</v>
      </c>
      <c r="AH27" s="50">
        <f t="shared" ref="AH27:AH90" si="11">IF(G27&gt;=1,IF(G27&lt;=5,0.06,IF(G27&lt;=10,0.05,IF(G27&lt;=15,0.04,IF(G27&lt;=19,0.03,0)))),0)</f>
        <v>0</v>
      </c>
      <c r="AI27" s="51">
        <f>+AH27+AG27</f>
        <v>0.31007099999999999</v>
      </c>
      <c r="AJ27" s="72">
        <v>147</v>
      </c>
      <c r="AK27">
        <v>6</v>
      </c>
      <c r="AL27" s="21">
        <f>ROUND(AJ27*AK27*100,0)</f>
        <v>88200</v>
      </c>
      <c r="AM27" s="72">
        <v>0</v>
      </c>
      <c r="AN27">
        <v>0</v>
      </c>
      <c r="AO27" s="21">
        <f>ROUND(AM27*AN27*100,0)</f>
        <v>0</v>
      </c>
      <c r="AP27" s="21">
        <f t="shared" ref="AP27:AP90" si="12">ROUND(Y27*AI27*$AP$21,0)</f>
        <v>1293489</v>
      </c>
      <c r="AQ27" s="21">
        <f>SUM(AL27+AO27+AP27)</f>
        <v>1381689</v>
      </c>
      <c r="AR27" s="48">
        <v>2331185</v>
      </c>
      <c r="AS27" s="48">
        <f>IF(C27=1, MAX(AR27, AQ27,#REF!), AQ27)</f>
        <v>1381689</v>
      </c>
      <c r="AT27" s="72">
        <v>2004782</v>
      </c>
      <c r="AU27" s="21">
        <f>ABS(AQ27-AT27)</f>
        <v>623093</v>
      </c>
      <c r="AV27" s="52" t="str">
        <f>IF(AQ27&gt;AT27,"Yes","No")</f>
        <v>No</v>
      </c>
      <c r="AW27" s="48">
        <f>IF(AV27="Yes",+AU27*$L$9,+AU27*$L$10)</f>
        <v>0</v>
      </c>
      <c r="AX27" s="53">
        <f>IF(AV27="Yes",AT27+AW27,AT27- AW27)</f>
        <v>2004782</v>
      </c>
      <c r="AY27" s="54">
        <f>IF(C27=1,MAX(AX27,AR27,AT27),AX27)</f>
        <v>2004782</v>
      </c>
      <c r="AZ27" s="76"/>
      <c r="BA27" s="21"/>
      <c r="BD27" s="55"/>
      <c r="BE27" s="55"/>
      <c r="BF27" s="55"/>
      <c r="BG27" s="55"/>
      <c r="BH27" s="55"/>
    </row>
    <row r="28" spans="1:60" x14ac:dyDescent="0.5">
      <c r="A28" s="5" t="s">
        <v>73</v>
      </c>
      <c r="B28" s="56">
        <v>1</v>
      </c>
      <c r="C28" s="33">
        <v>1</v>
      </c>
      <c r="D28" s="33">
        <v>1</v>
      </c>
      <c r="E28" s="33"/>
      <c r="F28" s="2">
        <v>10</v>
      </c>
      <c r="G28">
        <v>10</v>
      </c>
      <c r="H28" s="5">
        <v>2</v>
      </c>
      <c r="I28" s="2" t="s">
        <v>74</v>
      </c>
      <c r="J28" s="45"/>
      <c r="K28" s="71">
        <v>2490.13</v>
      </c>
      <c r="L28" s="74"/>
      <c r="M28" s="72">
        <v>1586</v>
      </c>
      <c r="N28" s="46">
        <f t="shared" ref="N28:N91" si="13">ROUND(M28*0.3,2)</f>
        <v>475.8</v>
      </c>
      <c r="O28" s="46">
        <f t="shared" ref="O28:O91" si="14">ROUND(K28*0.6,2)</f>
        <v>1494.08</v>
      </c>
      <c r="P28" s="46">
        <f t="shared" ref="P28:P91" si="15">MAX(M28-O28,0)</f>
        <v>91.920000000000073</v>
      </c>
      <c r="Q28" s="46">
        <f t="shared" ref="Q28:Q91" si="16">ROUND(P28*0.15,2)</f>
        <v>13.79</v>
      </c>
      <c r="R28" s="47">
        <f t="shared" ref="R28:R91" si="17">ROUND(M28/K28,2)</f>
        <v>0.64</v>
      </c>
      <c r="S28" s="47">
        <f t="shared" si="5"/>
        <v>4.0000000000000036E-2</v>
      </c>
      <c r="T28" s="46">
        <f t="shared" si="6"/>
        <v>99.61</v>
      </c>
      <c r="U28" s="46">
        <f t="shared" ref="U28:U91" si="18">ROUND(T28*0.15,2)</f>
        <v>14.94</v>
      </c>
      <c r="V28" s="72">
        <v>190</v>
      </c>
      <c r="W28" s="46">
        <f t="shared" ref="W28:W91" si="19">ROUND(V28*0.25,2)</f>
        <v>47.5</v>
      </c>
      <c r="X28" s="22">
        <f t="shared" ref="X28:X91" si="20">ROUND(M28*$X$2,2)</f>
        <v>475.8</v>
      </c>
      <c r="Y28" s="10">
        <f t="shared" ref="Y28:Y91" si="21">+K28+N28+Q28+W28</f>
        <v>3027.2200000000003</v>
      </c>
      <c r="Z28" s="71">
        <v>2023466985.6700001</v>
      </c>
      <c r="AA28" s="72">
        <v>18923</v>
      </c>
      <c r="AB28" s="22">
        <f t="shared" si="7"/>
        <v>106931.62</v>
      </c>
      <c r="AC28" s="9">
        <f t="shared" si="8"/>
        <v>0.41686800000000002</v>
      </c>
      <c r="AD28" s="72">
        <v>67474</v>
      </c>
      <c r="AE28" s="9">
        <f t="shared" si="9"/>
        <v>0.48917300000000002</v>
      </c>
      <c r="AF28" s="9">
        <f>ROUND(1-((AC28*$L$4)+(AE28*$L$5)),6)</f>
        <v>0.56144099999999997</v>
      </c>
      <c r="AG28" s="49">
        <f t="shared" si="10"/>
        <v>0.56144099999999997</v>
      </c>
      <c r="AH28" s="50">
        <f t="shared" si="11"/>
        <v>0.05</v>
      </c>
      <c r="AI28" s="51">
        <f t="shared" ref="AI28:AI91" si="22">+AH28+AG28</f>
        <v>0.61144100000000001</v>
      </c>
      <c r="AJ28" s="72">
        <v>0</v>
      </c>
      <c r="AK28">
        <v>0</v>
      </c>
      <c r="AL28" s="21">
        <f t="shared" ref="AL28:AL91" si="23">ROUND(AJ28*AK28*100,0)</f>
        <v>0</v>
      </c>
      <c r="AM28" s="72">
        <v>0</v>
      </c>
      <c r="AN28">
        <v>0</v>
      </c>
      <c r="AO28" s="21">
        <f t="shared" ref="AO28:AO91" si="24">ROUND(AM28*AN28*100,0)</f>
        <v>0</v>
      </c>
      <c r="AP28" s="21">
        <f t="shared" si="12"/>
        <v>21332388</v>
      </c>
      <c r="AQ28" s="21">
        <f t="shared" ref="AQ28:AQ91" si="25">SUM(AL28+AO28+AP28)</f>
        <v>21332388</v>
      </c>
      <c r="AR28" s="48">
        <v>16473543</v>
      </c>
      <c r="AS28" s="48">
        <f>IF(C28=1, MAX(AR28, AQ28, AT27), AQ28)</f>
        <v>21332388</v>
      </c>
      <c r="AT28" s="72">
        <v>20315782</v>
      </c>
      <c r="AU28" s="21">
        <f>ABS(AQ28-AT28)</f>
        <v>1016606</v>
      </c>
      <c r="AV28" s="52" t="str">
        <f>IF(AQ28&gt;AT28,"Yes","No")</f>
        <v>Yes</v>
      </c>
      <c r="AW28" s="48">
        <f t="shared" ref="AW28:AW91" si="26">IF(AV28="Yes",+AU28*$L$9,+AU28*$L$10)</f>
        <v>1016606</v>
      </c>
      <c r="AX28" s="53">
        <f t="shared" ref="AX28:AX91" si="27">IF(AV28="Yes",AT28+AW28,AT28- AW28)</f>
        <v>21332388</v>
      </c>
      <c r="AY28" s="54">
        <f>IF(C28=1,MAX(AX28,AR28,AT28),AX28)</f>
        <v>21332388</v>
      </c>
      <c r="AZ28" s="76"/>
      <c r="BA28" s="21"/>
      <c r="BD28" s="55"/>
      <c r="BE28" s="55"/>
      <c r="BF28" s="55"/>
      <c r="BG28" s="55"/>
      <c r="BH28" s="55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0</v>
      </c>
      <c r="H29" s="5">
        <v>3</v>
      </c>
      <c r="I29" s="2" t="s">
        <v>76</v>
      </c>
      <c r="J29" s="45"/>
      <c r="K29" s="71">
        <v>483.88</v>
      </c>
      <c r="L29" s="73"/>
      <c r="M29" s="72">
        <v>186</v>
      </c>
      <c r="N29" s="46">
        <f t="shared" si="13"/>
        <v>55.8</v>
      </c>
      <c r="O29" s="46">
        <f t="shared" si="14"/>
        <v>290.33</v>
      </c>
      <c r="P29" s="46">
        <f t="shared" si="15"/>
        <v>0</v>
      </c>
      <c r="Q29" s="46">
        <f t="shared" si="16"/>
        <v>0</v>
      </c>
      <c r="R29" s="47">
        <f t="shared" si="17"/>
        <v>0.38</v>
      </c>
      <c r="S29" s="47">
        <f t="shared" si="5"/>
        <v>0</v>
      </c>
      <c r="T29" s="46">
        <f t="shared" si="6"/>
        <v>0</v>
      </c>
      <c r="U29" s="46">
        <f t="shared" si="18"/>
        <v>0</v>
      </c>
      <c r="V29" s="72">
        <v>4</v>
      </c>
      <c r="W29" s="46">
        <f t="shared" si="19"/>
        <v>1</v>
      </c>
      <c r="X29" s="22">
        <f t="shared" si="20"/>
        <v>55.8</v>
      </c>
      <c r="Y29" s="10">
        <f t="shared" si="21"/>
        <v>540.67999999999995</v>
      </c>
      <c r="Z29" s="71">
        <v>576586459</v>
      </c>
      <c r="AA29" s="72">
        <v>4222</v>
      </c>
      <c r="AB29" s="22">
        <f t="shared" si="7"/>
        <v>136567.14000000001</v>
      </c>
      <c r="AC29" s="9">
        <f t="shared" si="8"/>
        <v>0.53239999999999998</v>
      </c>
      <c r="AD29" s="72">
        <v>94778</v>
      </c>
      <c r="AE29" s="9">
        <f t="shared" si="9"/>
        <v>0.68712099999999998</v>
      </c>
      <c r="AF29" s="9">
        <f t="shared" ref="AF29:AF92" si="28">ROUND(1-((AC29*$L$4)+(AE29*$L$5)),6)</f>
        <v>0.421184</v>
      </c>
      <c r="AG29" s="49">
        <f t="shared" si="10"/>
        <v>0.421184</v>
      </c>
      <c r="AH29" s="50">
        <f t="shared" si="11"/>
        <v>0</v>
      </c>
      <c r="AI29" s="51">
        <f t="shared" si="22"/>
        <v>0.421184</v>
      </c>
      <c r="AJ29" s="72">
        <v>153</v>
      </c>
      <c r="AK29">
        <v>4</v>
      </c>
      <c r="AL29" s="21">
        <f t="shared" si="23"/>
        <v>61200</v>
      </c>
      <c r="AM29" s="72">
        <v>0</v>
      </c>
      <c r="AN29">
        <v>0</v>
      </c>
      <c r="AO29" s="21">
        <f t="shared" si="24"/>
        <v>0</v>
      </c>
      <c r="AP29" s="21">
        <f t="shared" si="12"/>
        <v>2624539</v>
      </c>
      <c r="AQ29" s="21">
        <f t="shared" si="25"/>
        <v>2685739</v>
      </c>
      <c r="AR29" s="48">
        <v>3859564</v>
      </c>
      <c r="AS29" s="48">
        <f t="shared" ref="AS29:AS92" si="29">IF(C29=1, MAX(AR29, AQ29, AT29), AQ29)</f>
        <v>2685739</v>
      </c>
      <c r="AT29" s="72">
        <v>3459062</v>
      </c>
      <c r="AU29" s="21">
        <f t="shared" ref="AU29:AU92" si="30">ABS(AQ29-AT29)</f>
        <v>773323</v>
      </c>
      <c r="AV29" s="52" t="str">
        <f>IF(AQ29&gt;AT29,"Yes","No")</f>
        <v>No</v>
      </c>
      <c r="AW29" s="48">
        <f t="shared" si="26"/>
        <v>0</v>
      </c>
      <c r="AX29" s="53">
        <f t="shared" si="27"/>
        <v>3459062</v>
      </c>
      <c r="AY29" s="54">
        <f t="shared" ref="AY29:AY92" si="31">IF(C29=1,MAX(AX29,AR29,AT29),AX29)</f>
        <v>3459062</v>
      </c>
      <c r="AZ29" s="76"/>
      <c r="BA29" s="21"/>
      <c r="BD29" s="55"/>
      <c r="BE29" s="55"/>
      <c r="BF29" s="55"/>
      <c r="BG29" s="55"/>
      <c r="BH29" s="55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5"/>
      <c r="K30" s="71">
        <v>3059.62</v>
      </c>
      <c r="L30" s="73"/>
      <c r="M30" s="72">
        <v>331</v>
      </c>
      <c r="N30" s="46">
        <f t="shared" si="13"/>
        <v>99.3</v>
      </c>
      <c r="O30" s="46">
        <f t="shared" si="14"/>
        <v>1835.77</v>
      </c>
      <c r="P30" s="46">
        <f t="shared" si="15"/>
        <v>0</v>
      </c>
      <c r="Q30" s="46">
        <f t="shared" si="16"/>
        <v>0</v>
      </c>
      <c r="R30" s="47">
        <f t="shared" si="17"/>
        <v>0.11</v>
      </c>
      <c r="S30" s="47">
        <f t="shared" si="5"/>
        <v>0</v>
      </c>
      <c r="T30" s="46">
        <f t="shared" si="6"/>
        <v>0</v>
      </c>
      <c r="U30" s="46">
        <f t="shared" si="18"/>
        <v>0</v>
      </c>
      <c r="V30" s="72">
        <v>94</v>
      </c>
      <c r="W30" s="46">
        <f t="shared" si="19"/>
        <v>23.5</v>
      </c>
      <c r="X30" s="22">
        <f t="shared" si="20"/>
        <v>99.3</v>
      </c>
      <c r="Y30" s="10">
        <f t="shared" si="21"/>
        <v>3182.42</v>
      </c>
      <c r="Z30" s="71">
        <v>4682064723</v>
      </c>
      <c r="AA30" s="72">
        <v>18871</v>
      </c>
      <c r="AB30" s="22">
        <f t="shared" si="7"/>
        <v>248108.99</v>
      </c>
      <c r="AC30" s="9">
        <f t="shared" si="8"/>
        <v>0.96724100000000002</v>
      </c>
      <c r="AD30" s="72">
        <v>146153</v>
      </c>
      <c r="AE30" s="9">
        <f t="shared" si="9"/>
        <v>1.05958</v>
      </c>
      <c r="AF30" s="9">
        <f t="shared" si="28"/>
        <v>5.0569999999999999E-3</v>
      </c>
      <c r="AG30" s="49">
        <f t="shared" si="10"/>
        <v>0.01</v>
      </c>
      <c r="AH30" s="50">
        <f t="shared" si="11"/>
        <v>0</v>
      </c>
      <c r="AI30" s="51">
        <f t="shared" si="22"/>
        <v>0.01</v>
      </c>
      <c r="AJ30" s="72">
        <v>0</v>
      </c>
      <c r="AK30">
        <v>0</v>
      </c>
      <c r="AL30" s="21">
        <f t="shared" si="23"/>
        <v>0</v>
      </c>
      <c r="AM30" s="72">
        <v>0</v>
      </c>
      <c r="AN30">
        <v>0</v>
      </c>
      <c r="AO30" s="21">
        <f t="shared" si="24"/>
        <v>0</v>
      </c>
      <c r="AP30" s="21">
        <f t="shared" si="12"/>
        <v>366774</v>
      </c>
      <c r="AQ30" s="21">
        <f t="shared" si="25"/>
        <v>366774</v>
      </c>
      <c r="AR30" s="48">
        <v>731456</v>
      </c>
      <c r="AS30" s="48">
        <f t="shared" si="29"/>
        <v>366774</v>
      </c>
      <c r="AT30" s="72">
        <v>909358</v>
      </c>
      <c r="AU30" s="21">
        <f t="shared" si="30"/>
        <v>542584</v>
      </c>
      <c r="AV30" s="52" t="str">
        <f t="shared" ref="AV30:AV93" si="32">IF(AQ30&gt;AT30,"Yes","No")</f>
        <v>No</v>
      </c>
      <c r="AW30" s="48">
        <f t="shared" si="26"/>
        <v>0</v>
      </c>
      <c r="AX30" s="53">
        <f t="shared" si="27"/>
        <v>909358</v>
      </c>
      <c r="AY30" s="54">
        <f t="shared" si="31"/>
        <v>909358</v>
      </c>
      <c r="AZ30" s="76"/>
      <c r="BA30" s="21"/>
      <c r="BD30" s="55"/>
      <c r="BE30" s="55"/>
      <c r="BF30" s="55"/>
      <c r="BG30" s="55"/>
      <c r="BH30" s="55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5"/>
      <c r="K31" s="71">
        <v>420.32</v>
      </c>
      <c r="L31" s="73"/>
      <c r="M31" s="72">
        <v>106</v>
      </c>
      <c r="N31" s="46">
        <f t="shared" si="13"/>
        <v>31.8</v>
      </c>
      <c r="O31" s="46">
        <f t="shared" si="14"/>
        <v>252.19</v>
      </c>
      <c r="P31" s="46">
        <f t="shared" si="15"/>
        <v>0</v>
      </c>
      <c r="Q31" s="46">
        <f t="shared" si="16"/>
        <v>0</v>
      </c>
      <c r="R31" s="47">
        <f t="shared" si="17"/>
        <v>0.25</v>
      </c>
      <c r="S31" s="47">
        <f t="shared" si="5"/>
        <v>0</v>
      </c>
      <c r="T31" s="46">
        <f t="shared" si="6"/>
        <v>0</v>
      </c>
      <c r="U31" s="46">
        <f t="shared" si="18"/>
        <v>0</v>
      </c>
      <c r="V31" s="72">
        <v>7</v>
      </c>
      <c r="W31" s="46">
        <f t="shared" si="19"/>
        <v>1.75</v>
      </c>
      <c r="X31" s="22">
        <f t="shared" si="20"/>
        <v>31.8</v>
      </c>
      <c r="Y31" s="10">
        <f t="shared" si="21"/>
        <v>453.87</v>
      </c>
      <c r="Z31" s="71">
        <v>698475938.33000004</v>
      </c>
      <c r="AA31" s="72">
        <v>3667</v>
      </c>
      <c r="AB31" s="22">
        <f t="shared" si="7"/>
        <v>190476.12</v>
      </c>
      <c r="AC31" s="9">
        <f t="shared" si="8"/>
        <v>0.74256200000000006</v>
      </c>
      <c r="AD31" s="72">
        <v>120125</v>
      </c>
      <c r="AE31" s="9">
        <f t="shared" si="9"/>
        <v>0.87088200000000004</v>
      </c>
      <c r="AF31" s="9">
        <f t="shared" si="28"/>
        <v>0.218942</v>
      </c>
      <c r="AG31" s="49">
        <f t="shared" si="10"/>
        <v>0.218942</v>
      </c>
      <c r="AH31" s="50">
        <f t="shared" si="11"/>
        <v>0</v>
      </c>
      <c r="AI31" s="51">
        <f t="shared" si="22"/>
        <v>0.218942</v>
      </c>
      <c r="AJ31" s="72">
        <v>197</v>
      </c>
      <c r="AK31">
        <v>6</v>
      </c>
      <c r="AL31" s="21">
        <f t="shared" si="23"/>
        <v>118200</v>
      </c>
      <c r="AM31" s="72">
        <v>0</v>
      </c>
      <c r="AN31">
        <v>0</v>
      </c>
      <c r="AO31" s="21">
        <f t="shared" si="24"/>
        <v>0</v>
      </c>
      <c r="AP31" s="21">
        <f t="shared" si="12"/>
        <v>1145253</v>
      </c>
      <c r="AQ31" s="21">
        <f t="shared" si="25"/>
        <v>1263453</v>
      </c>
      <c r="AR31" s="48">
        <v>1633686</v>
      </c>
      <c r="AS31" s="48">
        <f t="shared" si="29"/>
        <v>1263453</v>
      </c>
      <c r="AT31" s="72">
        <v>1494242</v>
      </c>
      <c r="AU31" s="21">
        <f t="shared" si="30"/>
        <v>230789</v>
      </c>
      <c r="AV31" s="52" t="str">
        <f t="shared" si="32"/>
        <v>No</v>
      </c>
      <c r="AW31" s="48">
        <f t="shared" si="26"/>
        <v>0</v>
      </c>
      <c r="AX31" s="53">
        <f t="shared" si="27"/>
        <v>1494242</v>
      </c>
      <c r="AY31" s="54">
        <f t="shared" si="31"/>
        <v>1494242</v>
      </c>
      <c r="AZ31" s="76"/>
      <c r="BA31" s="21"/>
      <c r="BD31" s="55"/>
      <c r="BE31" s="55"/>
      <c r="BF31" s="55"/>
      <c r="BG31" s="55"/>
      <c r="BH31" s="55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5"/>
      <c r="K32" s="71">
        <v>687.14</v>
      </c>
      <c r="L32" s="75"/>
      <c r="M32" s="72">
        <v>225</v>
      </c>
      <c r="N32" s="46">
        <f t="shared" si="13"/>
        <v>67.5</v>
      </c>
      <c r="O32" s="46">
        <f t="shared" si="14"/>
        <v>412.28</v>
      </c>
      <c r="P32" s="46">
        <f t="shared" si="15"/>
        <v>0</v>
      </c>
      <c r="Q32" s="46">
        <f t="shared" si="16"/>
        <v>0</v>
      </c>
      <c r="R32" s="47">
        <f t="shared" si="17"/>
        <v>0.33</v>
      </c>
      <c r="S32" s="47">
        <f t="shared" si="5"/>
        <v>0</v>
      </c>
      <c r="T32" s="46">
        <f t="shared" si="6"/>
        <v>0</v>
      </c>
      <c r="U32" s="46">
        <f t="shared" si="18"/>
        <v>0</v>
      </c>
      <c r="V32" s="72">
        <v>18</v>
      </c>
      <c r="W32" s="46">
        <f t="shared" si="19"/>
        <v>4.5</v>
      </c>
      <c r="X32" s="22">
        <f t="shared" si="20"/>
        <v>67.5</v>
      </c>
      <c r="Y32" s="10">
        <f t="shared" si="21"/>
        <v>759.14</v>
      </c>
      <c r="Z32" s="71">
        <v>994097731.33000004</v>
      </c>
      <c r="AA32" s="72">
        <v>6126</v>
      </c>
      <c r="AB32" s="22">
        <f t="shared" si="7"/>
        <v>162275.18</v>
      </c>
      <c r="AC32" s="9">
        <f t="shared" si="8"/>
        <v>0.63262200000000002</v>
      </c>
      <c r="AD32" s="72">
        <v>98042</v>
      </c>
      <c r="AE32" s="9">
        <f t="shared" si="9"/>
        <v>0.710785</v>
      </c>
      <c r="AF32" s="9">
        <f t="shared" si="28"/>
        <v>0.34392899999999998</v>
      </c>
      <c r="AG32" s="49">
        <f t="shared" si="10"/>
        <v>0.34392899999999998</v>
      </c>
      <c r="AH32" s="50">
        <f t="shared" si="11"/>
        <v>0</v>
      </c>
      <c r="AI32" s="51">
        <f t="shared" si="22"/>
        <v>0.34392899999999998</v>
      </c>
      <c r="AJ32" s="72">
        <v>686</v>
      </c>
      <c r="AK32">
        <v>13</v>
      </c>
      <c r="AL32" s="21">
        <f t="shared" si="23"/>
        <v>891800</v>
      </c>
      <c r="AM32" s="72">
        <v>0</v>
      </c>
      <c r="AN32">
        <v>0</v>
      </c>
      <c r="AO32" s="21">
        <f t="shared" si="24"/>
        <v>0</v>
      </c>
      <c r="AP32" s="21">
        <f t="shared" si="12"/>
        <v>3009065</v>
      </c>
      <c r="AQ32" s="21">
        <f t="shared" si="25"/>
        <v>3900865</v>
      </c>
      <c r="AR32" s="48">
        <v>4067920</v>
      </c>
      <c r="AS32" s="48">
        <f t="shared" si="29"/>
        <v>3900865</v>
      </c>
      <c r="AT32" s="72">
        <v>4080374</v>
      </c>
      <c r="AU32" s="21">
        <f t="shared" si="30"/>
        <v>179509</v>
      </c>
      <c r="AV32" s="52" t="str">
        <f t="shared" si="32"/>
        <v>No</v>
      </c>
      <c r="AW32" s="48">
        <f t="shared" si="26"/>
        <v>0</v>
      </c>
      <c r="AX32" s="53">
        <f t="shared" si="27"/>
        <v>4080374</v>
      </c>
      <c r="AY32" s="54">
        <f t="shared" si="31"/>
        <v>4080374</v>
      </c>
      <c r="AZ32" s="76"/>
      <c r="BA32" s="21"/>
      <c r="BD32" s="55"/>
      <c r="BE32" s="55"/>
      <c r="BF32" s="55"/>
      <c r="BG32" s="55"/>
      <c r="BH32" s="55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5"/>
      <c r="K33" s="71">
        <v>2623.08</v>
      </c>
      <c r="L33" s="73"/>
      <c r="M33" s="72">
        <v>583</v>
      </c>
      <c r="N33" s="46">
        <f t="shared" si="13"/>
        <v>174.9</v>
      </c>
      <c r="O33" s="46">
        <f t="shared" si="14"/>
        <v>1573.85</v>
      </c>
      <c r="P33" s="46">
        <f t="shared" si="15"/>
        <v>0</v>
      </c>
      <c r="Q33" s="46">
        <f t="shared" si="16"/>
        <v>0</v>
      </c>
      <c r="R33" s="47">
        <f t="shared" si="17"/>
        <v>0.22</v>
      </c>
      <c r="S33" s="47">
        <f t="shared" si="5"/>
        <v>0</v>
      </c>
      <c r="T33" s="46">
        <f t="shared" si="6"/>
        <v>0</v>
      </c>
      <c r="U33" s="46">
        <f t="shared" si="18"/>
        <v>0</v>
      </c>
      <c r="V33" s="72">
        <v>104</v>
      </c>
      <c r="W33" s="46">
        <f t="shared" si="19"/>
        <v>26</v>
      </c>
      <c r="X33" s="22">
        <f t="shared" si="20"/>
        <v>174.9</v>
      </c>
      <c r="Y33" s="10">
        <f t="shared" si="21"/>
        <v>2823.98</v>
      </c>
      <c r="Z33" s="71">
        <v>4044593634.6700001</v>
      </c>
      <c r="AA33" s="72">
        <v>20197</v>
      </c>
      <c r="AB33" s="22">
        <f t="shared" si="7"/>
        <v>200257.15</v>
      </c>
      <c r="AC33" s="9">
        <f t="shared" si="8"/>
        <v>0.78069299999999997</v>
      </c>
      <c r="AD33" s="72">
        <v>106272</v>
      </c>
      <c r="AE33" s="9">
        <f t="shared" si="9"/>
        <v>0.77044999999999997</v>
      </c>
      <c r="AF33" s="9">
        <f t="shared" si="28"/>
        <v>0.22237999999999999</v>
      </c>
      <c r="AG33" s="49">
        <f t="shared" si="10"/>
        <v>0.22237999999999999</v>
      </c>
      <c r="AH33" s="50">
        <f t="shared" si="11"/>
        <v>0</v>
      </c>
      <c r="AI33" s="51">
        <f t="shared" si="22"/>
        <v>0.22237999999999999</v>
      </c>
      <c r="AJ33" s="72">
        <v>0</v>
      </c>
      <c r="AK33">
        <v>0</v>
      </c>
      <c r="AL33" s="21">
        <f t="shared" si="23"/>
        <v>0</v>
      </c>
      <c r="AM33" s="72">
        <v>0</v>
      </c>
      <c r="AN33">
        <v>0</v>
      </c>
      <c r="AO33" s="21">
        <f t="shared" si="24"/>
        <v>0</v>
      </c>
      <c r="AP33" s="21">
        <f t="shared" si="12"/>
        <v>7237662</v>
      </c>
      <c r="AQ33" s="21">
        <f t="shared" si="25"/>
        <v>7237662</v>
      </c>
      <c r="AR33" s="48">
        <v>6215712</v>
      </c>
      <c r="AS33" s="48">
        <f t="shared" si="29"/>
        <v>7237662</v>
      </c>
      <c r="AT33" s="72">
        <v>6106646</v>
      </c>
      <c r="AU33" s="21">
        <f t="shared" si="30"/>
        <v>1131016</v>
      </c>
      <c r="AV33" s="52" t="str">
        <f t="shared" si="32"/>
        <v>Yes</v>
      </c>
      <c r="AW33" s="48">
        <f t="shared" si="26"/>
        <v>1131016</v>
      </c>
      <c r="AX33" s="53">
        <f t="shared" si="27"/>
        <v>7237662</v>
      </c>
      <c r="AY33" s="54">
        <f t="shared" si="31"/>
        <v>7237662</v>
      </c>
      <c r="AZ33" s="76"/>
      <c r="BA33" s="21"/>
      <c r="BD33" s="55"/>
      <c r="BE33" s="55"/>
      <c r="BF33" s="55"/>
      <c r="BG33" s="55"/>
      <c r="BH33" s="55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5"/>
      <c r="K34" s="71">
        <v>772.91</v>
      </c>
      <c r="L34" s="73"/>
      <c r="M34" s="72">
        <v>111</v>
      </c>
      <c r="N34" s="46">
        <f t="shared" si="13"/>
        <v>33.299999999999997</v>
      </c>
      <c r="O34" s="46">
        <f t="shared" si="14"/>
        <v>463.75</v>
      </c>
      <c r="P34" s="46">
        <f t="shared" si="15"/>
        <v>0</v>
      </c>
      <c r="Q34" s="46">
        <f t="shared" si="16"/>
        <v>0</v>
      </c>
      <c r="R34" s="47">
        <f t="shared" si="17"/>
        <v>0.14000000000000001</v>
      </c>
      <c r="S34" s="47">
        <f t="shared" si="5"/>
        <v>0</v>
      </c>
      <c r="T34" s="46">
        <f t="shared" si="6"/>
        <v>0</v>
      </c>
      <c r="U34" s="46">
        <f t="shared" si="18"/>
        <v>0</v>
      </c>
      <c r="V34" s="72">
        <v>27</v>
      </c>
      <c r="W34" s="46">
        <f t="shared" si="19"/>
        <v>6.75</v>
      </c>
      <c r="X34" s="22">
        <f t="shared" si="20"/>
        <v>33.299999999999997</v>
      </c>
      <c r="Y34" s="10">
        <f t="shared" si="21"/>
        <v>812.95999999999992</v>
      </c>
      <c r="Z34" s="71">
        <v>1158134622.3299999</v>
      </c>
      <c r="AA34" s="72">
        <v>5277</v>
      </c>
      <c r="AB34" s="22">
        <f t="shared" si="7"/>
        <v>219468.38</v>
      </c>
      <c r="AC34" s="9">
        <f t="shared" si="8"/>
        <v>0.85558699999999999</v>
      </c>
      <c r="AD34" s="72">
        <v>141000</v>
      </c>
      <c r="AE34" s="9">
        <f t="shared" si="9"/>
        <v>1.022221</v>
      </c>
      <c r="AF34" s="9">
        <f t="shared" si="28"/>
        <v>9.4423000000000007E-2</v>
      </c>
      <c r="AG34" s="49">
        <f t="shared" si="10"/>
        <v>9.4423000000000007E-2</v>
      </c>
      <c r="AH34" s="50">
        <f t="shared" si="11"/>
        <v>0</v>
      </c>
      <c r="AI34" s="51">
        <f t="shared" si="22"/>
        <v>9.4423000000000007E-2</v>
      </c>
      <c r="AJ34" s="72">
        <v>342</v>
      </c>
      <c r="AK34">
        <v>6</v>
      </c>
      <c r="AL34" s="21">
        <f t="shared" si="23"/>
        <v>205200</v>
      </c>
      <c r="AM34" s="72">
        <v>0</v>
      </c>
      <c r="AN34">
        <v>0</v>
      </c>
      <c r="AO34" s="21">
        <f t="shared" si="24"/>
        <v>0</v>
      </c>
      <c r="AP34" s="21">
        <f t="shared" si="12"/>
        <v>884683</v>
      </c>
      <c r="AQ34" s="21">
        <f t="shared" si="25"/>
        <v>1089883</v>
      </c>
      <c r="AR34" s="48">
        <v>2000209</v>
      </c>
      <c r="AS34" s="48">
        <f t="shared" si="29"/>
        <v>1089883</v>
      </c>
      <c r="AT34" s="72">
        <v>1764574</v>
      </c>
      <c r="AU34" s="21">
        <f t="shared" si="30"/>
        <v>674691</v>
      </c>
      <c r="AV34" s="52" t="str">
        <f t="shared" si="32"/>
        <v>No</v>
      </c>
      <c r="AW34" s="48">
        <f t="shared" si="26"/>
        <v>0</v>
      </c>
      <c r="AX34" s="53">
        <f t="shared" si="27"/>
        <v>1764574</v>
      </c>
      <c r="AY34" s="54">
        <f t="shared" si="31"/>
        <v>1764574</v>
      </c>
      <c r="AZ34" s="76"/>
      <c r="BA34" s="21"/>
      <c r="BD34" s="55"/>
      <c r="BE34" s="55"/>
      <c r="BF34" s="55"/>
      <c r="BG34" s="55"/>
      <c r="BH34" s="55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5"/>
      <c r="K35" s="71">
        <v>3189.66</v>
      </c>
      <c r="L35" s="73"/>
      <c r="M35" s="72">
        <v>1077</v>
      </c>
      <c r="N35" s="46">
        <f t="shared" si="13"/>
        <v>323.10000000000002</v>
      </c>
      <c r="O35" s="46">
        <f t="shared" si="14"/>
        <v>1913.8</v>
      </c>
      <c r="P35" s="46">
        <f t="shared" si="15"/>
        <v>0</v>
      </c>
      <c r="Q35" s="46">
        <f t="shared" si="16"/>
        <v>0</v>
      </c>
      <c r="R35" s="47">
        <f t="shared" si="17"/>
        <v>0.34</v>
      </c>
      <c r="S35" s="47">
        <f t="shared" si="5"/>
        <v>0</v>
      </c>
      <c r="T35" s="46">
        <f t="shared" si="6"/>
        <v>0</v>
      </c>
      <c r="U35" s="46">
        <f t="shared" si="18"/>
        <v>0</v>
      </c>
      <c r="V35" s="72">
        <v>265</v>
      </c>
      <c r="W35" s="46">
        <f t="shared" si="19"/>
        <v>66.25</v>
      </c>
      <c r="X35" s="22">
        <f t="shared" si="20"/>
        <v>323.10000000000002</v>
      </c>
      <c r="Y35" s="10">
        <f t="shared" si="21"/>
        <v>3579.0099999999998</v>
      </c>
      <c r="Z35" s="71">
        <v>3946565046</v>
      </c>
      <c r="AA35" s="72">
        <v>20684</v>
      </c>
      <c r="AB35" s="22">
        <f t="shared" si="7"/>
        <v>190802.8</v>
      </c>
      <c r="AC35" s="9">
        <f t="shared" si="8"/>
        <v>0.74383500000000002</v>
      </c>
      <c r="AD35" s="72">
        <v>108382</v>
      </c>
      <c r="AE35" s="9">
        <f t="shared" si="9"/>
        <v>0.78574699999999997</v>
      </c>
      <c r="AF35" s="9">
        <f t="shared" si="28"/>
        <v>0.243591</v>
      </c>
      <c r="AG35" s="49">
        <f t="shared" si="10"/>
        <v>0.243591</v>
      </c>
      <c r="AH35" s="50">
        <f t="shared" si="11"/>
        <v>0</v>
      </c>
      <c r="AI35" s="51">
        <f t="shared" si="22"/>
        <v>0.243591</v>
      </c>
      <c r="AJ35" s="72">
        <v>0</v>
      </c>
      <c r="AK35">
        <v>0</v>
      </c>
      <c r="AL35" s="21">
        <f t="shared" si="23"/>
        <v>0</v>
      </c>
      <c r="AM35" s="72">
        <v>0</v>
      </c>
      <c r="AN35">
        <v>0</v>
      </c>
      <c r="AO35" s="21">
        <f t="shared" si="24"/>
        <v>0</v>
      </c>
      <c r="AP35" s="21">
        <f t="shared" si="12"/>
        <v>10047664</v>
      </c>
      <c r="AQ35" s="21">
        <f t="shared" si="25"/>
        <v>10047664</v>
      </c>
      <c r="AR35" s="48">
        <v>8087732</v>
      </c>
      <c r="AS35" s="48">
        <f t="shared" si="29"/>
        <v>10047664</v>
      </c>
      <c r="AT35" s="72">
        <v>8661580</v>
      </c>
      <c r="AU35" s="21">
        <f t="shared" si="30"/>
        <v>1386084</v>
      </c>
      <c r="AV35" s="52" t="str">
        <f t="shared" si="32"/>
        <v>Yes</v>
      </c>
      <c r="AW35" s="48">
        <f t="shared" si="26"/>
        <v>1386084</v>
      </c>
      <c r="AX35" s="53">
        <f t="shared" si="27"/>
        <v>10047664</v>
      </c>
      <c r="AY35" s="54">
        <f t="shared" si="31"/>
        <v>10047664</v>
      </c>
      <c r="AZ35" s="76"/>
      <c r="BA35" s="21"/>
      <c r="BD35" s="55"/>
      <c r="BE35" s="55"/>
      <c r="BF35" s="55"/>
      <c r="BG35" s="55"/>
      <c r="BH35" s="55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5"/>
      <c r="K36" s="71">
        <v>347.88</v>
      </c>
      <c r="L36" s="73"/>
      <c r="M36" s="72">
        <v>82</v>
      </c>
      <c r="N36" s="46">
        <f t="shared" si="13"/>
        <v>24.6</v>
      </c>
      <c r="O36" s="46">
        <f t="shared" si="14"/>
        <v>208.73</v>
      </c>
      <c r="P36" s="46">
        <f t="shared" si="15"/>
        <v>0</v>
      </c>
      <c r="Q36" s="46">
        <f t="shared" si="16"/>
        <v>0</v>
      </c>
      <c r="R36" s="47">
        <f t="shared" si="17"/>
        <v>0.24</v>
      </c>
      <c r="S36" s="47">
        <f t="shared" si="5"/>
        <v>0</v>
      </c>
      <c r="T36" s="46">
        <f t="shared" si="6"/>
        <v>0</v>
      </c>
      <c r="U36" s="46">
        <f t="shared" si="18"/>
        <v>0</v>
      </c>
      <c r="V36" s="72">
        <v>5</v>
      </c>
      <c r="W36" s="46">
        <f t="shared" si="19"/>
        <v>1.25</v>
      </c>
      <c r="X36" s="22">
        <f t="shared" si="20"/>
        <v>24.6</v>
      </c>
      <c r="Y36" s="10">
        <f t="shared" si="21"/>
        <v>373.73</v>
      </c>
      <c r="Z36" s="71">
        <v>773924778</v>
      </c>
      <c r="AA36" s="72">
        <v>3409</v>
      </c>
      <c r="AB36" s="22">
        <f t="shared" si="7"/>
        <v>227023.99</v>
      </c>
      <c r="AC36" s="9">
        <f t="shared" si="8"/>
        <v>0.885042</v>
      </c>
      <c r="AD36" s="72">
        <v>113650</v>
      </c>
      <c r="AE36" s="9">
        <f t="shared" si="9"/>
        <v>0.82393899999999998</v>
      </c>
      <c r="AF36" s="9">
        <f t="shared" si="28"/>
        <v>0.13328899999999999</v>
      </c>
      <c r="AG36" s="49">
        <f t="shared" si="10"/>
        <v>0.13328899999999999</v>
      </c>
      <c r="AH36" s="50">
        <f t="shared" si="11"/>
        <v>0</v>
      </c>
      <c r="AI36" s="51">
        <f t="shared" si="22"/>
        <v>0.13328899999999999</v>
      </c>
      <c r="AJ36" s="72">
        <v>348</v>
      </c>
      <c r="AK36">
        <v>13</v>
      </c>
      <c r="AL36" s="21">
        <f t="shared" si="23"/>
        <v>452400</v>
      </c>
      <c r="AM36" s="72">
        <v>0</v>
      </c>
      <c r="AN36">
        <v>0</v>
      </c>
      <c r="AO36" s="21">
        <f t="shared" si="24"/>
        <v>0</v>
      </c>
      <c r="AP36" s="21">
        <f t="shared" si="12"/>
        <v>574107</v>
      </c>
      <c r="AQ36" s="21">
        <f t="shared" si="25"/>
        <v>1026507</v>
      </c>
      <c r="AR36" s="48">
        <v>1278838</v>
      </c>
      <c r="AS36" s="48">
        <f t="shared" si="29"/>
        <v>1026507</v>
      </c>
      <c r="AT36" s="72">
        <v>1218610</v>
      </c>
      <c r="AU36" s="21">
        <f t="shared" si="30"/>
        <v>192103</v>
      </c>
      <c r="AV36" s="52" t="str">
        <f t="shared" si="32"/>
        <v>No</v>
      </c>
      <c r="AW36" s="48">
        <f t="shared" si="26"/>
        <v>0</v>
      </c>
      <c r="AX36" s="53">
        <f t="shared" si="27"/>
        <v>1218610</v>
      </c>
      <c r="AY36" s="54">
        <f t="shared" si="31"/>
        <v>1218610</v>
      </c>
      <c r="AZ36" s="76"/>
      <c r="BA36" s="21"/>
      <c r="BD36" s="55"/>
      <c r="BE36" s="55"/>
      <c r="BF36" s="55"/>
      <c r="BG36" s="55"/>
      <c r="BH36" s="55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27</v>
      </c>
      <c r="H37" s="5">
        <v>11</v>
      </c>
      <c r="I37" s="2" t="s">
        <v>87</v>
      </c>
      <c r="J37" s="45"/>
      <c r="K37" s="71">
        <v>2273.58</v>
      </c>
      <c r="L37" s="74"/>
      <c r="M37" s="72">
        <v>1222</v>
      </c>
      <c r="N37" s="46">
        <f t="shared" si="13"/>
        <v>366.6</v>
      </c>
      <c r="O37" s="46">
        <f t="shared" si="14"/>
        <v>1364.15</v>
      </c>
      <c r="P37" s="46">
        <f t="shared" si="15"/>
        <v>0</v>
      </c>
      <c r="Q37" s="46">
        <f t="shared" si="16"/>
        <v>0</v>
      </c>
      <c r="R37" s="47">
        <f t="shared" si="17"/>
        <v>0.54</v>
      </c>
      <c r="S37" s="47">
        <f t="shared" si="5"/>
        <v>0</v>
      </c>
      <c r="T37" s="46">
        <f t="shared" si="6"/>
        <v>0</v>
      </c>
      <c r="U37" s="46">
        <f t="shared" si="18"/>
        <v>0</v>
      </c>
      <c r="V37" s="72">
        <v>98</v>
      </c>
      <c r="W37" s="46">
        <f t="shared" si="19"/>
        <v>24.5</v>
      </c>
      <c r="X37" s="22">
        <f t="shared" si="20"/>
        <v>366.6</v>
      </c>
      <c r="Y37" s="10">
        <f t="shared" si="21"/>
        <v>2664.68</v>
      </c>
      <c r="Z37" s="71">
        <v>4359819492.6700001</v>
      </c>
      <c r="AA37" s="72">
        <v>21560</v>
      </c>
      <c r="AB37" s="22">
        <f t="shared" si="7"/>
        <v>202217.97</v>
      </c>
      <c r="AC37" s="9">
        <f t="shared" si="8"/>
        <v>0.78833699999999995</v>
      </c>
      <c r="AD37" s="72">
        <v>90061</v>
      </c>
      <c r="AE37" s="9">
        <f t="shared" si="9"/>
        <v>0.65292399999999995</v>
      </c>
      <c r="AF37" s="9">
        <f t="shared" si="28"/>
        <v>0.25228699999999998</v>
      </c>
      <c r="AG37" s="49">
        <f t="shared" si="10"/>
        <v>0.25228699999999998</v>
      </c>
      <c r="AH37" s="50">
        <f t="shared" si="11"/>
        <v>0</v>
      </c>
      <c r="AI37" s="51">
        <f t="shared" si="22"/>
        <v>0.25228699999999998</v>
      </c>
      <c r="AJ37" s="72">
        <v>0</v>
      </c>
      <c r="AK37">
        <v>0</v>
      </c>
      <c r="AL37" s="21">
        <f t="shared" si="23"/>
        <v>0</v>
      </c>
      <c r="AM37" s="72">
        <v>0</v>
      </c>
      <c r="AN37">
        <v>0</v>
      </c>
      <c r="AO37" s="21">
        <f t="shared" si="24"/>
        <v>0</v>
      </c>
      <c r="AP37" s="21">
        <f t="shared" si="12"/>
        <v>7747844</v>
      </c>
      <c r="AQ37" s="21">
        <f t="shared" si="25"/>
        <v>7747844</v>
      </c>
      <c r="AR37" s="48">
        <v>6160837</v>
      </c>
      <c r="AS37" s="48">
        <f t="shared" si="29"/>
        <v>8047852</v>
      </c>
      <c r="AT37" s="72">
        <v>8047852</v>
      </c>
      <c r="AU37" s="21">
        <f>ABS(AQ37-AT37)</f>
        <v>300008</v>
      </c>
      <c r="AV37" s="52" t="str">
        <f t="shared" si="32"/>
        <v>No</v>
      </c>
      <c r="AW37" s="48">
        <f t="shared" si="26"/>
        <v>0</v>
      </c>
      <c r="AX37" s="53">
        <f t="shared" si="27"/>
        <v>8047852</v>
      </c>
      <c r="AY37" s="54">
        <f t="shared" si="31"/>
        <v>8047852</v>
      </c>
      <c r="AZ37" s="76"/>
      <c r="BA37" s="21"/>
      <c r="BD37" s="55"/>
      <c r="BE37" s="55"/>
      <c r="BF37" s="55"/>
      <c r="BG37" s="55"/>
      <c r="BH37" s="55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5"/>
      <c r="K38" s="71">
        <v>679.37</v>
      </c>
      <c r="L38" s="73"/>
      <c r="M38" s="72">
        <v>132</v>
      </c>
      <c r="N38" s="46">
        <f t="shared" si="13"/>
        <v>39.6</v>
      </c>
      <c r="O38" s="46">
        <f t="shared" si="14"/>
        <v>407.62</v>
      </c>
      <c r="P38" s="46">
        <f t="shared" si="15"/>
        <v>0</v>
      </c>
      <c r="Q38" s="46">
        <f t="shared" si="16"/>
        <v>0</v>
      </c>
      <c r="R38" s="47">
        <f t="shared" si="17"/>
        <v>0.19</v>
      </c>
      <c r="S38" s="47">
        <f t="shared" si="5"/>
        <v>0</v>
      </c>
      <c r="T38" s="46">
        <f t="shared" si="6"/>
        <v>0</v>
      </c>
      <c r="U38" s="46">
        <f t="shared" si="18"/>
        <v>0</v>
      </c>
      <c r="V38" s="72">
        <v>4</v>
      </c>
      <c r="W38" s="46">
        <f t="shared" si="19"/>
        <v>1</v>
      </c>
      <c r="X38" s="22">
        <f t="shared" si="20"/>
        <v>39.6</v>
      </c>
      <c r="Y38" s="10">
        <f t="shared" si="21"/>
        <v>719.97</v>
      </c>
      <c r="Z38" s="71">
        <v>823575866.66999996</v>
      </c>
      <c r="AA38" s="72">
        <v>4834</v>
      </c>
      <c r="AB38" s="22">
        <f t="shared" si="7"/>
        <v>170371.51</v>
      </c>
      <c r="AC38" s="9">
        <f t="shared" si="8"/>
        <v>0.66418500000000003</v>
      </c>
      <c r="AD38" s="72">
        <v>114948</v>
      </c>
      <c r="AE38" s="9">
        <f t="shared" si="9"/>
        <v>0.83335000000000004</v>
      </c>
      <c r="AF38" s="9">
        <f t="shared" si="28"/>
        <v>0.28506599999999999</v>
      </c>
      <c r="AG38" s="49">
        <f t="shared" si="10"/>
        <v>0.28506599999999999</v>
      </c>
      <c r="AH38" s="50">
        <f t="shared" si="11"/>
        <v>0</v>
      </c>
      <c r="AI38" s="51">
        <f t="shared" si="22"/>
        <v>0.28506599999999999</v>
      </c>
      <c r="AJ38" s="72">
        <v>0</v>
      </c>
      <c r="AK38">
        <v>0</v>
      </c>
      <c r="AL38" s="21">
        <f t="shared" si="23"/>
        <v>0</v>
      </c>
      <c r="AM38" s="72">
        <v>0</v>
      </c>
      <c r="AN38">
        <v>0</v>
      </c>
      <c r="AO38" s="21">
        <f t="shared" si="24"/>
        <v>0</v>
      </c>
      <c r="AP38" s="21">
        <f t="shared" si="12"/>
        <v>2365379</v>
      </c>
      <c r="AQ38" s="21">
        <f t="shared" si="25"/>
        <v>2365379</v>
      </c>
      <c r="AR38" s="48">
        <v>2983350</v>
      </c>
      <c r="AS38" s="48">
        <f t="shared" si="29"/>
        <v>2365379</v>
      </c>
      <c r="AT38" s="72">
        <v>2683216</v>
      </c>
      <c r="AU38" s="21">
        <f t="shared" si="30"/>
        <v>317837</v>
      </c>
      <c r="AV38" s="52" t="str">
        <f t="shared" si="32"/>
        <v>No</v>
      </c>
      <c r="AW38" s="48">
        <f t="shared" si="26"/>
        <v>0</v>
      </c>
      <c r="AX38" s="53">
        <f t="shared" si="27"/>
        <v>2683216</v>
      </c>
      <c r="AY38" s="54">
        <f t="shared" si="31"/>
        <v>2683216</v>
      </c>
      <c r="AZ38" s="76"/>
      <c r="BA38" s="21"/>
      <c r="BD38" s="55"/>
      <c r="BE38" s="55"/>
      <c r="BF38" s="55"/>
      <c r="BG38" s="55"/>
      <c r="BH38" s="55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5"/>
      <c r="K39" s="71">
        <v>254.33</v>
      </c>
      <c r="L39" s="73"/>
      <c r="M39" s="72">
        <v>83</v>
      </c>
      <c r="N39" s="46">
        <f t="shared" si="13"/>
        <v>24.9</v>
      </c>
      <c r="O39" s="46">
        <f t="shared" si="14"/>
        <v>152.6</v>
      </c>
      <c r="P39" s="46">
        <f t="shared" si="15"/>
        <v>0</v>
      </c>
      <c r="Q39" s="46">
        <f t="shared" si="16"/>
        <v>0</v>
      </c>
      <c r="R39" s="47">
        <f t="shared" si="17"/>
        <v>0.33</v>
      </c>
      <c r="S39" s="47">
        <f t="shared" si="5"/>
        <v>0</v>
      </c>
      <c r="T39" s="46">
        <f t="shared" si="6"/>
        <v>0</v>
      </c>
      <c r="U39" s="46">
        <f t="shared" si="18"/>
        <v>0</v>
      </c>
      <c r="V39" s="72">
        <v>3</v>
      </c>
      <c r="W39" s="46">
        <f t="shared" si="19"/>
        <v>0.75</v>
      </c>
      <c r="X39" s="22">
        <f t="shared" si="20"/>
        <v>24.9</v>
      </c>
      <c r="Y39" s="10">
        <f t="shared" si="21"/>
        <v>279.98</v>
      </c>
      <c r="Z39" s="71">
        <v>484392984.32999998</v>
      </c>
      <c r="AA39" s="72">
        <v>2420</v>
      </c>
      <c r="AB39" s="22">
        <f t="shared" si="7"/>
        <v>200162.39</v>
      </c>
      <c r="AC39" s="9">
        <f t="shared" si="8"/>
        <v>0.78032299999999999</v>
      </c>
      <c r="AD39" s="72">
        <v>102440</v>
      </c>
      <c r="AE39" s="9">
        <f t="shared" si="9"/>
        <v>0.74266900000000002</v>
      </c>
      <c r="AF39" s="9">
        <f t="shared" si="28"/>
        <v>0.23097300000000001</v>
      </c>
      <c r="AG39" s="49">
        <f t="shared" si="10"/>
        <v>0.23097300000000001</v>
      </c>
      <c r="AH39" s="50">
        <f t="shared" si="11"/>
        <v>0</v>
      </c>
      <c r="AI39" s="51">
        <f t="shared" si="22"/>
        <v>0.23097300000000001</v>
      </c>
      <c r="AJ39" s="72">
        <v>0</v>
      </c>
      <c r="AK39">
        <v>0</v>
      </c>
      <c r="AL39" s="21">
        <f t="shared" si="23"/>
        <v>0</v>
      </c>
      <c r="AM39" s="72">
        <v>42</v>
      </c>
      <c r="AN39">
        <v>4</v>
      </c>
      <c r="AO39" s="21">
        <f t="shared" si="24"/>
        <v>16800</v>
      </c>
      <c r="AP39" s="21">
        <f t="shared" si="12"/>
        <v>745297</v>
      </c>
      <c r="AQ39" s="21">
        <f t="shared" si="25"/>
        <v>762097</v>
      </c>
      <c r="AR39" s="48">
        <v>1223830</v>
      </c>
      <c r="AS39" s="48">
        <f t="shared" si="29"/>
        <v>762097</v>
      </c>
      <c r="AT39" s="72">
        <v>1190095</v>
      </c>
      <c r="AU39" s="21">
        <f t="shared" si="30"/>
        <v>427998</v>
      </c>
      <c r="AV39" s="52" t="str">
        <f t="shared" si="32"/>
        <v>No</v>
      </c>
      <c r="AW39" s="48">
        <f t="shared" si="26"/>
        <v>0</v>
      </c>
      <c r="AX39" s="53">
        <f t="shared" si="27"/>
        <v>1190095</v>
      </c>
      <c r="AY39" s="54">
        <f t="shared" si="31"/>
        <v>1190095</v>
      </c>
      <c r="AZ39" s="76"/>
      <c r="BA39" s="21"/>
      <c r="BD39" s="55"/>
      <c r="BE39" s="55"/>
      <c r="BF39" s="55"/>
      <c r="BG39" s="55"/>
      <c r="BH39" s="55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5"/>
      <c r="K40" s="71">
        <v>2591.44</v>
      </c>
      <c r="L40" s="73"/>
      <c r="M40" s="72">
        <v>940</v>
      </c>
      <c r="N40" s="46">
        <f t="shared" si="13"/>
        <v>282</v>
      </c>
      <c r="O40" s="46">
        <f t="shared" si="14"/>
        <v>1554.86</v>
      </c>
      <c r="P40" s="46">
        <f t="shared" si="15"/>
        <v>0</v>
      </c>
      <c r="Q40" s="46">
        <f t="shared" si="16"/>
        <v>0</v>
      </c>
      <c r="R40" s="47">
        <f t="shared" si="17"/>
        <v>0.36</v>
      </c>
      <c r="S40" s="47">
        <f t="shared" si="5"/>
        <v>0</v>
      </c>
      <c r="T40" s="46">
        <f t="shared" si="6"/>
        <v>0</v>
      </c>
      <c r="U40" s="46">
        <f t="shared" si="18"/>
        <v>0</v>
      </c>
      <c r="V40" s="72">
        <v>191</v>
      </c>
      <c r="W40" s="46">
        <f t="shared" si="19"/>
        <v>47.75</v>
      </c>
      <c r="X40" s="22">
        <f t="shared" si="20"/>
        <v>282</v>
      </c>
      <c r="Y40" s="10">
        <f t="shared" si="21"/>
        <v>2921.19</v>
      </c>
      <c r="Z40" s="71">
        <v>7314429914.6700001</v>
      </c>
      <c r="AA40" s="72">
        <v>28148</v>
      </c>
      <c r="AB40" s="22">
        <f t="shared" si="7"/>
        <v>259856.11</v>
      </c>
      <c r="AC40" s="9">
        <f t="shared" si="8"/>
        <v>1.013036</v>
      </c>
      <c r="AD40" s="72">
        <v>94750</v>
      </c>
      <c r="AE40" s="9">
        <f t="shared" si="9"/>
        <v>0.68691800000000003</v>
      </c>
      <c r="AF40" s="9">
        <f t="shared" si="28"/>
        <v>8.4798999999999999E-2</v>
      </c>
      <c r="AG40" s="49">
        <f t="shared" si="10"/>
        <v>8.4798999999999999E-2</v>
      </c>
      <c r="AH40" s="50">
        <f t="shared" si="11"/>
        <v>0</v>
      </c>
      <c r="AI40" s="51">
        <f t="shared" si="22"/>
        <v>8.4798999999999999E-2</v>
      </c>
      <c r="AJ40" s="72">
        <v>0</v>
      </c>
      <c r="AK40">
        <v>0</v>
      </c>
      <c r="AL40" s="21">
        <f t="shared" si="23"/>
        <v>0</v>
      </c>
      <c r="AM40" s="72">
        <v>0</v>
      </c>
      <c r="AN40">
        <v>0</v>
      </c>
      <c r="AO40" s="21">
        <f t="shared" si="24"/>
        <v>0</v>
      </c>
      <c r="AP40" s="21">
        <f t="shared" si="12"/>
        <v>2854904</v>
      </c>
      <c r="AQ40" s="21">
        <f t="shared" si="25"/>
        <v>2854904</v>
      </c>
      <c r="AR40" s="48">
        <v>2211848</v>
      </c>
      <c r="AS40" s="48">
        <f t="shared" si="29"/>
        <v>2854904</v>
      </c>
      <c r="AT40" s="72">
        <v>3772866</v>
      </c>
      <c r="AU40" s="21">
        <f t="shared" si="30"/>
        <v>917962</v>
      </c>
      <c r="AV40" s="52" t="str">
        <f t="shared" si="32"/>
        <v>No</v>
      </c>
      <c r="AW40" s="48">
        <f t="shared" si="26"/>
        <v>0</v>
      </c>
      <c r="AX40" s="53">
        <f t="shared" si="27"/>
        <v>3772866</v>
      </c>
      <c r="AY40" s="54">
        <f t="shared" si="31"/>
        <v>3772866</v>
      </c>
      <c r="AZ40" s="76"/>
      <c r="BA40" s="21"/>
      <c r="BD40" s="55"/>
      <c r="BE40" s="55"/>
      <c r="BF40" s="55"/>
      <c r="BG40" s="55"/>
      <c r="BH40" s="55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4</v>
      </c>
      <c r="H41" s="5">
        <v>15</v>
      </c>
      <c r="I41" s="2" t="s">
        <v>92</v>
      </c>
      <c r="J41" s="45"/>
      <c r="K41" s="71">
        <v>19751.77</v>
      </c>
      <c r="L41" s="74"/>
      <c r="M41" s="72">
        <v>17254</v>
      </c>
      <c r="N41" s="46">
        <f t="shared" si="13"/>
        <v>5176.2</v>
      </c>
      <c r="O41" s="46">
        <f t="shared" si="14"/>
        <v>11851.06</v>
      </c>
      <c r="P41" s="46">
        <f t="shared" si="15"/>
        <v>5402.9400000000005</v>
      </c>
      <c r="Q41" s="46">
        <f t="shared" si="16"/>
        <v>810.44</v>
      </c>
      <c r="R41" s="47">
        <f t="shared" si="17"/>
        <v>0.87</v>
      </c>
      <c r="S41" s="47">
        <f t="shared" si="5"/>
        <v>0.27</v>
      </c>
      <c r="T41" s="46">
        <f t="shared" si="6"/>
        <v>5332.98</v>
      </c>
      <c r="U41" s="46">
        <f t="shared" si="18"/>
        <v>799.95</v>
      </c>
      <c r="V41" s="72">
        <v>6263</v>
      </c>
      <c r="W41" s="46">
        <f t="shared" si="19"/>
        <v>1565.75</v>
      </c>
      <c r="X41" s="22">
        <f t="shared" si="20"/>
        <v>5176.2</v>
      </c>
      <c r="Y41" s="10">
        <f t="shared" si="21"/>
        <v>27304.16</v>
      </c>
      <c r="Z41" s="71">
        <v>14428521408.33</v>
      </c>
      <c r="AA41" s="72">
        <v>148377</v>
      </c>
      <c r="AB41" s="22">
        <f t="shared" si="7"/>
        <v>97242.3</v>
      </c>
      <c r="AC41" s="9">
        <f t="shared" si="8"/>
        <v>0.37909399999999999</v>
      </c>
      <c r="AD41" s="72">
        <v>54440</v>
      </c>
      <c r="AE41" s="9">
        <f t="shared" si="9"/>
        <v>0.394679</v>
      </c>
      <c r="AF41" s="9">
        <f t="shared" si="28"/>
        <v>0.61623099999999997</v>
      </c>
      <c r="AG41" s="49">
        <f t="shared" si="10"/>
        <v>0.61623099999999997</v>
      </c>
      <c r="AH41" s="50">
        <f t="shared" si="11"/>
        <v>0.06</v>
      </c>
      <c r="AI41" s="51">
        <f t="shared" si="22"/>
        <v>0.67623100000000003</v>
      </c>
      <c r="AJ41" s="72">
        <v>0</v>
      </c>
      <c r="AK41">
        <v>0</v>
      </c>
      <c r="AL41" s="21">
        <f t="shared" si="23"/>
        <v>0</v>
      </c>
      <c r="AM41" s="72">
        <v>0</v>
      </c>
      <c r="AN41">
        <v>0</v>
      </c>
      <c r="AO41" s="21">
        <f t="shared" si="24"/>
        <v>0</v>
      </c>
      <c r="AP41" s="21">
        <f t="shared" si="12"/>
        <v>212796671</v>
      </c>
      <c r="AQ41" s="21">
        <f t="shared" si="25"/>
        <v>212796671</v>
      </c>
      <c r="AR41" s="48">
        <v>181105390</v>
      </c>
      <c r="AS41" s="48">
        <f t="shared" si="29"/>
        <v>212796671</v>
      </c>
      <c r="AT41" s="72">
        <v>201710496</v>
      </c>
      <c r="AU41" s="21">
        <f t="shared" si="30"/>
        <v>11086175</v>
      </c>
      <c r="AV41" s="52" t="str">
        <f t="shared" si="32"/>
        <v>Yes</v>
      </c>
      <c r="AW41" s="48">
        <f t="shared" si="26"/>
        <v>11086175</v>
      </c>
      <c r="AX41" s="53">
        <f t="shared" si="27"/>
        <v>212796671</v>
      </c>
      <c r="AY41" s="54">
        <f t="shared" si="31"/>
        <v>212796671</v>
      </c>
      <c r="AZ41" s="76"/>
      <c r="BA41" s="21"/>
      <c r="BD41" s="55"/>
      <c r="BE41" s="55"/>
      <c r="BF41" s="55"/>
      <c r="BG41" s="55"/>
      <c r="BH41" s="55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5"/>
      <c r="K42" s="71">
        <v>133.88</v>
      </c>
      <c r="L42" s="73"/>
      <c r="M42" s="72">
        <v>19</v>
      </c>
      <c r="N42" s="46">
        <f t="shared" si="13"/>
        <v>5.7</v>
      </c>
      <c r="O42" s="46">
        <f t="shared" si="14"/>
        <v>80.33</v>
      </c>
      <c r="P42" s="46">
        <f t="shared" si="15"/>
        <v>0</v>
      </c>
      <c r="Q42" s="46">
        <f t="shared" si="16"/>
        <v>0</v>
      </c>
      <c r="R42" s="47">
        <f t="shared" si="17"/>
        <v>0.14000000000000001</v>
      </c>
      <c r="S42" s="47">
        <f t="shared" si="5"/>
        <v>0</v>
      </c>
      <c r="T42" s="46">
        <f t="shared" si="6"/>
        <v>0</v>
      </c>
      <c r="U42" s="46">
        <f t="shared" si="18"/>
        <v>0</v>
      </c>
      <c r="V42" s="72">
        <v>1</v>
      </c>
      <c r="W42" s="46">
        <f t="shared" si="19"/>
        <v>0.25</v>
      </c>
      <c r="X42" s="22">
        <f t="shared" si="20"/>
        <v>5.7</v>
      </c>
      <c r="Y42" s="10">
        <f t="shared" si="21"/>
        <v>139.82999999999998</v>
      </c>
      <c r="Z42" s="71">
        <v>694446783</v>
      </c>
      <c r="AA42" s="72">
        <v>1652</v>
      </c>
      <c r="AB42" s="22">
        <f t="shared" si="7"/>
        <v>420367.3</v>
      </c>
      <c r="AC42" s="9">
        <f t="shared" si="8"/>
        <v>1.638781</v>
      </c>
      <c r="AD42" s="72">
        <v>149643</v>
      </c>
      <c r="AE42" s="9">
        <f t="shared" si="9"/>
        <v>1.084881</v>
      </c>
      <c r="AF42" s="9">
        <f t="shared" si="28"/>
        <v>-0.472611</v>
      </c>
      <c r="AG42" s="49">
        <f t="shared" si="10"/>
        <v>0.01</v>
      </c>
      <c r="AH42" s="50">
        <f t="shared" si="11"/>
        <v>0</v>
      </c>
      <c r="AI42" s="51">
        <f t="shared" si="22"/>
        <v>0.01</v>
      </c>
      <c r="AJ42" s="72">
        <v>132</v>
      </c>
      <c r="AK42">
        <v>13</v>
      </c>
      <c r="AL42" s="21">
        <f t="shared" si="23"/>
        <v>171600</v>
      </c>
      <c r="AM42" s="72">
        <v>0</v>
      </c>
      <c r="AN42">
        <v>0</v>
      </c>
      <c r="AO42" s="21">
        <f t="shared" si="24"/>
        <v>0</v>
      </c>
      <c r="AP42" s="21">
        <f t="shared" si="12"/>
        <v>16115</v>
      </c>
      <c r="AQ42" s="21">
        <f t="shared" si="25"/>
        <v>187715</v>
      </c>
      <c r="AR42" s="48">
        <v>23014</v>
      </c>
      <c r="AS42" s="48">
        <f t="shared" si="29"/>
        <v>187715</v>
      </c>
      <c r="AT42" s="72">
        <v>137375</v>
      </c>
      <c r="AU42" s="21">
        <f t="shared" si="30"/>
        <v>50340</v>
      </c>
      <c r="AV42" s="52" t="str">
        <f t="shared" si="32"/>
        <v>Yes</v>
      </c>
      <c r="AW42" s="48">
        <f t="shared" si="26"/>
        <v>50340</v>
      </c>
      <c r="AX42" s="53">
        <f t="shared" si="27"/>
        <v>187715</v>
      </c>
      <c r="AY42" s="54">
        <f t="shared" si="31"/>
        <v>187715</v>
      </c>
      <c r="AZ42" s="76"/>
      <c r="BA42" s="21"/>
      <c r="BD42" s="55"/>
      <c r="BE42" s="55"/>
      <c r="BF42" s="55"/>
      <c r="BG42" s="55"/>
      <c r="BH42" s="55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17</v>
      </c>
      <c r="H43" s="5">
        <v>17</v>
      </c>
      <c r="I43" s="2" t="s">
        <v>94</v>
      </c>
      <c r="J43" s="45"/>
      <c r="K43" s="71">
        <v>7903.53</v>
      </c>
      <c r="L43" s="74"/>
      <c r="M43" s="72">
        <v>4390</v>
      </c>
      <c r="N43" s="46">
        <f t="shared" si="13"/>
        <v>1317</v>
      </c>
      <c r="O43" s="46">
        <f t="shared" si="14"/>
        <v>4742.12</v>
      </c>
      <c r="P43" s="46">
        <f t="shared" si="15"/>
        <v>0</v>
      </c>
      <c r="Q43" s="46">
        <f t="shared" si="16"/>
        <v>0</v>
      </c>
      <c r="R43" s="47">
        <f t="shared" si="17"/>
        <v>0.56000000000000005</v>
      </c>
      <c r="S43" s="47">
        <f t="shared" si="5"/>
        <v>0</v>
      </c>
      <c r="T43" s="46">
        <f t="shared" si="6"/>
        <v>0</v>
      </c>
      <c r="U43" s="46">
        <f t="shared" si="18"/>
        <v>0</v>
      </c>
      <c r="V43" s="72">
        <v>578</v>
      </c>
      <c r="W43" s="46">
        <f t="shared" si="19"/>
        <v>144.5</v>
      </c>
      <c r="X43" s="22">
        <f t="shared" si="20"/>
        <v>1317</v>
      </c>
      <c r="Y43" s="10">
        <f t="shared" si="21"/>
        <v>9365.0299999999988</v>
      </c>
      <c r="Z43" s="71">
        <v>7661802339.3299999</v>
      </c>
      <c r="AA43" s="72">
        <v>61330</v>
      </c>
      <c r="AB43" s="22">
        <f t="shared" si="7"/>
        <v>124927.48</v>
      </c>
      <c r="AC43" s="9">
        <f t="shared" si="8"/>
        <v>0.48702400000000001</v>
      </c>
      <c r="AD43" s="72">
        <v>82094</v>
      </c>
      <c r="AE43" s="9">
        <f t="shared" si="9"/>
        <v>0.59516500000000006</v>
      </c>
      <c r="AF43" s="9">
        <f t="shared" si="28"/>
        <v>0.48053400000000002</v>
      </c>
      <c r="AG43" s="49">
        <f t="shared" si="10"/>
        <v>0.48053400000000002</v>
      </c>
      <c r="AH43" s="50">
        <f t="shared" si="11"/>
        <v>0.03</v>
      </c>
      <c r="AI43" s="51">
        <f t="shared" si="22"/>
        <v>0.51053400000000004</v>
      </c>
      <c r="AJ43" s="72">
        <v>0</v>
      </c>
      <c r="AK43">
        <v>0</v>
      </c>
      <c r="AL43" s="21">
        <f t="shared" si="23"/>
        <v>0</v>
      </c>
      <c r="AM43" s="72">
        <v>0</v>
      </c>
      <c r="AN43">
        <v>0</v>
      </c>
      <c r="AO43" s="21">
        <f t="shared" si="24"/>
        <v>0</v>
      </c>
      <c r="AP43" s="21">
        <f t="shared" si="12"/>
        <v>55102941</v>
      </c>
      <c r="AQ43" s="21">
        <f t="shared" si="25"/>
        <v>55102941</v>
      </c>
      <c r="AR43" s="48">
        <v>44853676</v>
      </c>
      <c r="AS43" s="48">
        <f t="shared" si="29"/>
        <v>55102941</v>
      </c>
      <c r="AT43" s="72">
        <v>53867287</v>
      </c>
      <c r="AU43" s="21">
        <f t="shared" si="30"/>
        <v>1235654</v>
      </c>
      <c r="AV43" s="52" t="str">
        <f t="shared" si="32"/>
        <v>Yes</v>
      </c>
      <c r="AW43" s="48">
        <f t="shared" si="26"/>
        <v>1235654</v>
      </c>
      <c r="AX43" s="53">
        <f t="shared" si="27"/>
        <v>55102941</v>
      </c>
      <c r="AY43" s="54">
        <f t="shared" si="31"/>
        <v>55102941</v>
      </c>
      <c r="AZ43" s="76"/>
      <c r="BA43" s="21"/>
      <c r="BD43" s="55"/>
      <c r="BE43" s="55"/>
      <c r="BF43" s="55"/>
      <c r="BG43" s="55"/>
      <c r="BH43" s="55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5"/>
      <c r="K44" s="71">
        <v>2586.67</v>
      </c>
      <c r="L44" s="73"/>
      <c r="M44" s="72">
        <v>620</v>
      </c>
      <c r="N44" s="46">
        <f t="shared" si="13"/>
        <v>186</v>
      </c>
      <c r="O44" s="46">
        <f t="shared" si="14"/>
        <v>1552</v>
      </c>
      <c r="P44" s="46">
        <f t="shared" si="15"/>
        <v>0</v>
      </c>
      <c r="Q44" s="46">
        <f t="shared" si="16"/>
        <v>0</v>
      </c>
      <c r="R44" s="47">
        <f t="shared" si="17"/>
        <v>0.24</v>
      </c>
      <c r="S44" s="47">
        <f t="shared" si="5"/>
        <v>0</v>
      </c>
      <c r="T44" s="46">
        <f t="shared" si="6"/>
        <v>0</v>
      </c>
      <c r="U44" s="46">
        <f t="shared" si="18"/>
        <v>0</v>
      </c>
      <c r="V44" s="72">
        <v>120</v>
      </c>
      <c r="W44" s="46">
        <f t="shared" si="19"/>
        <v>30</v>
      </c>
      <c r="X44" s="22">
        <f t="shared" si="20"/>
        <v>186</v>
      </c>
      <c r="Y44" s="10">
        <f t="shared" si="21"/>
        <v>2802.67</v>
      </c>
      <c r="Z44" s="71">
        <v>4295207887</v>
      </c>
      <c r="AA44" s="72">
        <v>17543</v>
      </c>
      <c r="AB44" s="22">
        <f t="shared" si="7"/>
        <v>244838.85</v>
      </c>
      <c r="AC44" s="9">
        <f t="shared" si="8"/>
        <v>0.95449200000000001</v>
      </c>
      <c r="AD44" s="72">
        <v>132950</v>
      </c>
      <c r="AE44" s="9">
        <f t="shared" si="9"/>
        <v>0.96386000000000005</v>
      </c>
      <c r="AF44" s="9">
        <f t="shared" si="28"/>
        <v>4.2698E-2</v>
      </c>
      <c r="AG44" s="49">
        <f t="shared" si="10"/>
        <v>4.2698E-2</v>
      </c>
      <c r="AH44" s="50">
        <f t="shared" si="11"/>
        <v>0</v>
      </c>
      <c r="AI44" s="51">
        <f t="shared" si="22"/>
        <v>4.2698E-2</v>
      </c>
      <c r="AJ44" s="72">
        <v>0</v>
      </c>
      <c r="AK44">
        <v>0</v>
      </c>
      <c r="AL44" s="21">
        <f t="shared" si="23"/>
        <v>0</v>
      </c>
      <c r="AM44" s="72">
        <v>0</v>
      </c>
      <c r="AN44">
        <v>0</v>
      </c>
      <c r="AO44" s="21">
        <f t="shared" si="24"/>
        <v>0</v>
      </c>
      <c r="AP44" s="21">
        <f t="shared" si="12"/>
        <v>1379178</v>
      </c>
      <c r="AQ44" s="21">
        <f t="shared" si="25"/>
        <v>1379178</v>
      </c>
      <c r="AR44" s="48">
        <v>1417583</v>
      </c>
      <c r="AS44" s="48">
        <f t="shared" si="29"/>
        <v>1379178</v>
      </c>
      <c r="AT44" s="72">
        <v>1136390</v>
      </c>
      <c r="AU44" s="21">
        <f t="shared" si="30"/>
        <v>242788</v>
      </c>
      <c r="AV44" s="52" t="str">
        <f t="shared" si="32"/>
        <v>Yes</v>
      </c>
      <c r="AW44" s="48">
        <f t="shared" si="26"/>
        <v>242788</v>
      </c>
      <c r="AX44" s="53">
        <f t="shared" si="27"/>
        <v>1379178</v>
      </c>
      <c r="AY44" s="54">
        <f t="shared" si="31"/>
        <v>1379178</v>
      </c>
      <c r="AZ44" s="76"/>
      <c r="BA44" s="21"/>
      <c r="BD44" s="55"/>
      <c r="BE44" s="55"/>
      <c r="BF44" s="55"/>
      <c r="BG44" s="55"/>
      <c r="BH44" s="55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37</v>
      </c>
      <c r="H45" s="5">
        <v>19</v>
      </c>
      <c r="I45" s="2" t="s">
        <v>96</v>
      </c>
      <c r="J45" s="45"/>
      <c r="K45" s="71">
        <v>1136.3</v>
      </c>
      <c r="L45" s="75"/>
      <c r="M45" s="72">
        <v>378</v>
      </c>
      <c r="N45" s="46">
        <f t="shared" si="13"/>
        <v>113.4</v>
      </c>
      <c r="O45" s="46">
        <f t="shared" si="14"/>
        <v>681.78</v>
      </c>
      <c r="P45" s="46">
        <f t="shared" si="15"/>
        <v>0</v>
      </c>
      <c r="Q45" s="46">
        <f t="shared" si="16"/>
        <v>0</v>
      </c>
      <c r="R45" s="47">
        <f t="shared" si="17"/>
        <v>0.33</v>
      </c>
      <c r="S45" s="47">
        <f t="shared" si="5"/>
        <v>0</v>
      </c>
      <c r="T45" s="46">
        <f t="shared" si="6"/>
        <v>0</v>
      </c>
      <c r="U45" s="46">
        <f t="shared" si="18"/>
        <v>0</v>
      </c>
      <c r="V45" s="72">
        <v>18</v>
      </c>
      <c r="W45" s="46">
        <f t="shared" si="19"/>
        <v>4.5</v>
      </c>
      <c r="X45" s="22">
        <f t="shared" si="20"/>
        <v>113.4</v>
      </c>
      <c r="Y45" s="10">
        <f t="shared" si="21"/>
        <v>1254.2</v>
      </c>
      <c r="Z45" s="71">
        <v>1170730658.3299999</v>
      </c>
      <c r="AA45" s="72">
        <v>8502</v>
      </c>
      <c r="AB45" s="22">
        <f t="shared" si="7"/>
        <v>137700.62</v>
      </c>
      <c r="AC45" s="9">
        <f t="shared" si="8"/>
        <v>0.53681900000000005</v>
      </c>
      <c r="AD45" s="72">
        <v>84816</v>
      </c>
      <c r="AE45" s="9">
        <f t="shared" si="9"/>
        <v>0.61489899999999997</v>
      </c>
      <c r="AF45" s="9">
        <f t="shared" si="28"/>
        <v>0.43975700000000001</v>
      </c>
      <c r="AG45" s="49">
        <f t="shared" si="10"/>
        <v>0.43975700000000001</v>
      </c>
      <c r="AH45" s="50">
        <f t="shared" si="11"/>
        <v>0</v>
      </c>
      <c r="AI45" s="51">
        <f t="shared" si="22"/>
        <v>0.43975700000000001</v>
      </c>
      <c r="AJ45" s="72">
        <v>0</v>
      </c>
      <c r="AK45">
        <v>0</v>
      </c>
      <c r="AL45" s="21">
        <f t="shared" si="23"/>
        <v>0</v>
      </c>
      <c r="AM45" s="72">
        <v>222</v>
      </c>
      <c r="AN45">
        <v>4</v>
      </c>
      <c r="AO45" s="21">
        <f t="shared" si="24"/>
        <v>88800</v>
      </c>
      <c r="AP45" s="21">
        <f t="shared" si="12"/>
        <v>6356536</v>
      </c>
      <c r="AQ45" s="21">
        <f t="shared" si="25"/>
        <v>6445336</v>
      </c>
      <c r="AR45" s="48">
        <v>6975373</v>
      </c>
      <c r="AS45" s="48">
        <f t="shared" si="29"/>
        <v>6445336</v>
      </c>
      <c r="AT45" s="72">
        <v>6969690</v>
      </c>
      <c r="AU45" s="21">
        <f t="shared" si="30"/>
        <v>524354</v>
      </c>
      <c r="AV45" s="52" t="str">
        <f t="shared" si="32"/>
        <v>No</v>
      </c>
      <c r="AW45" s="48">
        <f t="shared" si="26"/>
        <v>0</v>
      </c>
      <c r="AX45" s="53">
        <f t="shared" si="27"/>
        <v>6969690</v>
      </c>
      <c r="AY45" s="54">
        <f t="shared" si="31"/>
        <v>6969690</v>
      </c>
      <c r="AZ45" s="76"/>
      <c r="BA45" s="21"/>
      <c r="BD45" s="55"/>
      <c r="BE45" s="55"/>
      <c r="BF45" s="55"/>
      <c r="BG45" s="55"/>
      <c r="BH45" s="55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5"/>
      <c r="K46" s="71">
        <v>1456.6</v>
      </c>
      <c r="L46" s="73"/>
      <c r="M46" s="72">
        <v>199</v>
      </c>
      <c r="N46" s="46">
        <f t="shared" si="13"/>
        <v>59.7</v>
      </c>
      <c r="O46" s="46">
        <f t="shared" si="14"/>
        <v>873.96</v>
      </c>
      <c r="P46" s="46">
        <f t="shared" si="15"/>
        <v>0</v>
      </c>
      <c r="Q46" s="46">
        <f t="shared" si="16"/>
        <v>0</v>
      </c>
      <c r="R46" s="47">
        <f t="shared" si="17"/>
        <v>0.14000000000000001</v>
      </c>
      <c r="S46" s="47">
        <f t="shared" si="5"/>
        <v>0</v>
      </c>
      <c r="T46" s="46">
        <f t="shared" si="6"/>
        <v>0</v>
      </c>
      <c r="U46" s="46">
        <f t="shared" si="18"/>
        <v>0</v>
      </c>
      <c r="V46" s="72">
        <v>28</v>
      </c>
      <c r="W46" s="46">
        <f t="shared" si="19"/>
        <v>7</v>
      </c>
      <c r="X46" s="22">
        <f t="shared" si="20"/>
        <v>59.7</v>
      </c>
      <c r="Y46" s="10">
        <f t="shared" si="21"/>
        <v>1523.3</v>
      </c>
      <c r="Z46" s="71">
        <v>1838927079</v>
      </c>
      <c r="AA46" s="72">
        <v>9710</v>
      </c>
      <c r="AB46" s="22">
        <f t="shared" si="7"/>
        <v>189384.87</v>
      </c>
      <c r="AC46" s="9">
        <f t="shared" si="8"/>
        <v>0.73830799999999996</v>
      </c>
      <c r="AD46" s="72">
        <v>148696</v>
      </c>
      <c r="AE46" s="9">
        <f t="shared" si="9"/>
        <v>1.0780160000000001</v>
      </c>
      <c r="AF46" s="9">
        <f t="shared" si="28"/>
        <v>0.15978000000000001</v>
      </c>
      <c r="AG46" s="49">
        <f t="shared" si="10"/>
        <v>0.15978000000000001</v>
      </c>
      <c r="AH46" s="50">
        <f t="shared" si="11"/>
        <v>0</v>
      </c>
      <c r="AI46" s="51">
        <f t="shared" si="22"/>
        <v>0.15978000000000001</v>
      </c>
      <c r="AJ46" s="72">
        <v>1457</v>
      </c>
      <c r="AK46">
        <v>13</v>
      </c>
      <c r="AL46" s="21">
        <f t="shared" si="23"/>
        <v>1894100</v>
      </c>
      <c r="AM46" s="72">
        <v>0</v>
      </c>
      <c r="AN46">
        <v>0</v>
      </c>
      <c r="AO46" s="21">
        <f t="shared" si="24"/>
        <v>0</v>
      </c>
      <c r="AP46" s="21">
        <f t="shared" si="12"/>
        <v>2805103</v>
      </c>
      <c r="AQ46" s="21">
        <f t="shared" si="25"/>
        <v>4699203</v>
      </c>
      <c r="AR46" s="48">
        <v>4359350</v>
      </c>
      <c r="AS46" s="48">
        <f t="shared" si="29"/>
        <v>4699203</v>
      </c>
      <c r="AT46" s="72">
        <v>4474557</v>
      </c>
      <c r="AU46" s="21">
        <f t="shared" si="30"/>
        <v>224646</v>
      </c>
      <c r="AV46" s="52" t="str">
        <f t="shared" si="32"/>
        <v>Yes</v>
      </c>
      <c r="AW46" s="48">
        <f t="shared" si="26"/>
        <v>224646</v>
      </c>
      <c r="AX46" s="53">
        <f t="shared" si="27"/>
        <v>4699203</v>
      </c>
      <c r="AY46" s="54">
        <f t="shared" si="31"/>
        <v>4699203</v>
      </c>
      <c r="AZ46" s="76"/>
      <c r="BA46" s="21"/>
      <c r="BD46" s="55"/>
      <c r="BE46" s="55"/>
      <c r="BF46" s="55"/>
      <c r="BG46" s="55"/>
      <c r="BH46" s="55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5"/>
      <c r="K47" s="71">
        <v>92.6</v>
      </c>
      <c r="L47" s="73"/>
      <c r="M47" s="72">
        <v>31</v>
      </c>
      <c r="N47" s="46">
        <f t="shared" si="13"/>
        <v>9.3000000000000007</v>
      </c>
      <c r="O47" s="46">
        <f t="shared" si="14"/>
        <v>55.56</v>
      </c>
      <c r="P47" s="46">
        <f t="shared" si="15"/>
        <v>0</v>
      </c>
      <c r="Q47" s="46">
        <f t="shared" si="16"/>
        <v>0</v>
      </c>
      <c r="R47" s="47">
        <f t="shared" si="17"/>
        <v>0.33</v>
      </c>
      <c r="S47" s="47">
        <f t="shared" si="5"/>
        <v>0</v>
      </c>
      <c r="T47" s="46">
        <f t="shared" si="6"/>
        <v>0</v>
      </c>
      <c r="U47" s="46">
        <f t="shared" si="18"/>
        <v>0</v>
      </c>
      <c r="V47" s="72">
        <v>2</v>
      </c>
      <c r="W47" s="46">
        <f t="shared" si="19"/>
        <v>0.5</v>
      </c>
      <c r="X47" s="22">
        <f t="shared" si="20"/>
        <v>9.3000000000000007</v>
      </c>
      <c r="Y47" s="10">
        <f t="shared" si="21"/>
        <v>102.39999999999999</v>
      </c>
      <c r="Z47" s="71">
        <v>332983303</v>
      </c>
      <c r="AA47" s="72">
        <v>1081</v>
      </c>
      <c r="AB47" s="22">
        <f t="shared" si="7"/>
        <v>308032.65999999997</v>
      </c>
      <c r="AC47" s="9">
        <f t="shared" si="8"/>
        <v>1.20085</v>
      </c>
      <c r="AD47" s="72">
        <v>89318</v>
      </c>
      <c r="AE47" s="9">
        <f t="shared" si="9"/>
        <v>0.64753700000000003</v>
      </c>
      <c r="AF47" s="9">
        <f t="shared" si="28"/>
        <v>-3.4855999999999998E-2</v>
      </c>
      <c r="AG47" s="49">
        <f t="shared" si="10"/>
        <v>0.01</v>
      </c>
      <c r="AH47" s="50">
        <f t="shared" si="11"/>
        <v>0</v>
      </c>
      <c r="AI47" s="51">
        <f t="shared" si="22"/>
        <v>0.01</v>
      </c>
      <c r="AJ47" s="72">
        <v>29</v>
      </c>
      <c r="AK47">
        <v>4</v>
      </c>
      <c r="AL47" s="21">
        <f t="shared" si="23"/>
        <v>11600</v>
      </c>
      <c r="AM47" s="72">
        <v>0</v>
      </c>
      <c r="AN47">
        <v>0</v>
      </c>
      <c r="AO47" s="21">
        <f t="shared" si="24"/>
        <v>0</v>
      </c>
      <c r="AP47" s="21">
        <f t="shared" si="12"/>
        <v>11802</v>
      </c>
      <c r="AQ47" s="21">
        <f t="shared" si="25"/>
        <v>23402</v>
      </c>
      <c r="AR47" s="48">
        <v>177216</v>
      </c>
      <c r="AS47" s="48">
        <f t="shared" si="29"/>
        <v>23402</v>
      </c>
      <c r="AT47" s="72">
        <v>125752</v>
      </c>
      <c r="AU47" s="21">
        <f t="shared" si="30"/>
        <v>102350</v>
      </c>
      <c r="AV47" s="52" t="str">
        <f t="shared" si="32"/>
        <v>No</v>
      </c>
      <c r="AW47" s="48">
        <f t="shared" si="26"/>
        <v>0</v>
      </c>
      <c r="AX47" s="53">
        <f t="shared" si="27"/>
        <v>125752</v>
      </c>
      <c r="AY47" s="54">
        <f t="shared" si="31"/>
        <v>125752</v>
      </c>
      <c r="AZ47" s="76"/>
      <c r="BA47" s="21"/>
      <c r="BD47" s="55"/>
      <c r="BE47" s="55"/>
      <c r="BF47" s="55"/>
      <c r="BG47" s="55"/>
      <c r="BH47" s="55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5"/>
      <c r="K48" s="71">
        <v>636.36</v>
      </c>
      <c r="L48" s="73"/>
      <c r="M48" s="72">
        <v>199</v>
      </c>
      <c r="N48" s="46">
        <f t="shared" si="13"/>
        <v>59.7</v>
      </c>
      <c r="O48" s="46">
        <f t="shared" si="14"/>
        <v>381.82</v>
      </c>
      <c r="P48" s="46">
        <f t="shared" si="15"/>
        <v>0</v>
      </c>
      <c r="Q48" s="46">
        <f t="shared" si="16"/>
        <v>0</v>
      </c>
      <c r="R48" s="47">
        <f t="shared" si="17"/>
        <v>0.31</v>
      </c>
      <c r="S48" s="47">
        <f t="shared" si="5"/>
        <v>0</v>
      </c>
      <c r="T48" s="46">
        <f t="shared" si="6"/>
        <v>0</v>
      </c>
      <c r="U48" s="46">
        <f t="shared" si="18"/>
        <v>0</v>
      </c>
      <c r="V48" s="72">
        <v>13</v>
      </c>
      <c r="W48" s="46">
        <f t="shared" si="19"/>
        <v>3.25</v>
      </c>
      <c r="X48" s="22">
        <f t="shared" si="20"/>
        <v>59.7</v>
      </c>
      <c r="Y48" s="10">
        <f t="shared" si="21"/>
        <v>699.31000000000006</v>
      </c>
      <c r="Z48" s="71">
        <v>765221701</v>
      </c>
      <c r="AA48" s="72">
        <v>5102</v>
      </c>
      <c r="AB48" s="22">
        <f t="shared" si="7"/>
        <v>149984.65</v>
      </c>
      <c r="AC48" s="9">
        <f t="shared" si="8"/>
        <v>0.58470800000000001</v>
      </c>
      <c r="AD48" s="72">
        <v>96121</v>
      </c>
      <c r="AE48" s="9">
        <f t="shared" si="9"/>
        <v>0.69685799999999998</v>
      </c>
      <c r="AF48" s="9">
        <f t="shared" si="28"/>
        <v>0.38164700000000001</v>
      </c>
      <c r="AG48" s="49">
        <f t="shared" si="10"/>
        <v>0.38164700000000001</v>
      </c>
      <c r="AH48" s="50">
        <f t="shared" si="11"/>
        <v>0</v>
      </c>
      <c r="AI48" s="51">
        <f t="shared" si="22"/>
        <v>0.38164700000000001</v>
      </c>
      <c r="AJ48" s="72">
        <v>0</v>
      </c>
      <c r="AK48">
        <v>0</v>
      </c>
      <c r="AL48" s="21">
        <f t="shared" si="23"/>
        <v>0</v>
      </c>
      <c r="AM48" s="72">
        <v>122</v>
      </c>
      <c r="AN48">
        <v>4</v>
      </c>
      <c r="AO48" s="21">
        <f t="shared" si="24"/>
        <v>48800</v>
      </c>
      <c r="AP48" s="21">
        <f t="shared" si="12"/>
        <v>3075902</v>
      </c>
      <c r="AQ48" s="21">
        <f t="shared" si="25"/>
        <v>3124702</v>
      </c>
      <c r="AR48" s="48">
        <v>4665608</v>
      </c>
      <c r="AS48" s="48">
        <f t="shared" si="29"/>
        <v>3124702</v>
      </c>
      <c r="AT48" s="72">
        <v>4004835</v>
      </c>
      <c r="AU48" s="21">
        <f t="shared" si="30"/>
        <v>880133</v>
      </c>
      <c r="AV48" s="52" t="str">
        <f t="shared" si="32"/>
        <v>No</v>
      </c>
      <c r="AW48" s="48">
        <f t="shared" si="26"/>
        <v>0</v>
      </c>
      <c r="AX48" s="53">
        <f t="shared" si="27"/>
        <v>4004835</v>
      </c>
      <c r="AY48" s="54">
        <f t="shared" si="31"/>
        <v>4004835</v>
      </c>
      <c r="AZ48" s="76"/>
      <c r="BA48" s="21"/>
      <c r="BD48" s="55"/>
      <c r="BE48" s="55"/>
      <c r="BF48" s="55"/>
      <c r="BG48" s="55"/>
      <c r="BH48" s="55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5"/>
      <c r="K49" s="71">
        <v>1445.61</v>
      </c>
      <c r="L49" s="73"/>
      <c r="M49" s="72">
        <v>224</v>
      </c>
      <c r="N49" s="46">
        <f t="shared" si="13"/>
        <v>67.2</v>
      </c>
      <c r="O49" s="46">
        <f t="shared" si="14"/>
        <v>867.37</v>
      </c>
      <c r="P49" s="46">
        <f t="shared" si="15"/>
        <v>0</v>
      </c>
      <c r="Q49" s="46">
        <f t="shared" si="16"/>
        <v>0</v>
      </c>
      <c r="R49" s="47">
        <f t="shared" si="17"/>
        <v>0.15</v>
      </c>
      <c r="S49" s="47">
        <f t="shared" si="5"/>
        <v>0</v>
      </c>
      <c r="T49" s="46">
        <f t="shared" si="6"/>
        <v>0</v>
      </c>
      <c r="U49" s="46">
        <f t="shared" si="18"/>
        <v>0</v>
      </c>
      <c r="V49" s="72">
        <v>10</v>
      </c>
      <c r="W49" s="46">
        <f t="shared" si="19"/>
        <v>2.5</v>
      </c>
      <c r="X49" s="22">
        <f t="shared" si="20"/>
        <v>67.2</v>
      </c>
      <c r="Y49" s="10">
        <f t="shared" si="21"/>
        <v>1515.31</v>
      </c>
      <c r="Z49" s="71">
        <v>2004435480</v>
      </c>
      <c r="AA49" s="72">
        <v>10091</v>
      </c>
      <c r="AB49" s="22">
        <f t="shared" si="7"/>
        <v>198635.96</v>
      </c>
      <c r="AC49" s="9">
        <f t="shared" si="8"/>
        <v>0.77437199999999995</v>
      </c>
      <c r="AD49" s="72">
        <v>108059</v>
      </c>
      <c r="AE49" s="9">
        <f t="shared" si="9"/>
        <v>0.78340600000000005</v>
      </c>
      <c r="AF49" s="9">
        <f t="shared" si="28"/>
        <v>0.22291800000000001</v>
      </c>
      <c r="AG49" s="49">
        <f t="shared" si="10"/>
        <v>0.22291800000000001</v>
      </c>
      <c r="AH49" s="50">
        <f t="shared" si="11"/>
        <v>0</v>
      </c>
      <c r="AI49" s="51">
        <f t="shared" si="22"/>
        <v>0.22291800000000001</v>
      </c>
      <c r="AJ49" s="72">
        <v>0</v>
      </c>
      <c r="AK49">
        <v>0</v>
      </c>
      <c r="AL49" s="21">
        <f t="shared" si="23"/>
        <v>0</v>
      </c>
      <c r="AM49" s="72">
        <v>0</v>
      </c>
      <c r="AN49">
        <v>0</v>
      </c>
      <c r="AO49" s="21">
        <f t="shared" si="24"/>
        <v>0</v>
      </c>
      <c r="AP49" s="21">
        <f t="shared" si="12"/>
        <v>3893028</v>
      </c>
      <c r="AQ49" s="21">
        <f t="shared" si="25"/>
        <v>3893028</v>
      </c>
      <c r="AR49" s="48">
        <v>3403900</v>
      </c>
      <c r="AS49" s="48">
        <f t="shared" si="29"/>
        <v>3893028</v>
      </c>
      <c r="AT49" s="72">
        <v>4068515</v>
      </c>
      <c r="AU49" s="21">
        <f t="shared" si="30"/>
        <v>175487</v>
      </c>
      <c r="AV49" s="52" t="str">
        <f t="shared" si="32"/>
        <v>No</v>
      </c>
      <c r="AW49" s="48">
        <f t="shared" si="26"/>
        <v>0</v>
      </c>
      <c r="AX49" s="53">
        <f t="shared" si="27"/>
        <v>4068515</v>
      </c>
      <c r="AY49" s="54">
        <f t="shared" si="31"/>
        <v>4068515</v>
      </c>
      <c r="AZ49" s="76"/>
      <c r="BA49" s="21"/>
      <c r="BD49" s="55"/>
      <c r="BE49" s="55"/>
      <c r="BF49" s="55"/>
      <c r="BG49" s="55"/>
      <c r="BH49" s="55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30</v>
      </c>
      <c r="H50" s="5">
        <v>24</v>
      </c>
      <c r="I50" s="2" t="s">
        <v>102</v>
      </c>
      <c r="J50" s="45"/>
      <c r="K50" s="71">
        <v>253.83</v>
      </c>
      <c r="L50" s="74"/>
      <c r="M50" s="72">
        <v>114</v>
      </c>
      <c r="N50" s="46">
        <f t="shared" si="13"/>
        <v>34.200000000000003</v>
      </c>
      <c r="O50" s="46">
        <f t="shared" si="14"/>
        <v>152.30000000000001</v>
      </c>
      <c r="P50" s="46">
        <f t="shared" si="15"/>
        <v>0</v>
      </c>
      <c r="Q50" s="46">
        <f t="shared" si="16"/>
        <v>0</v>
      </c>
      <c r="R50" s="47">
        <f t="shared" si="17"/>
        <v>0.45</v>
      </c>
      <c r="S50" s="47">
        <f t="shared" si="5"/>
        <v>0</v>
      </c>
      <c r="T50" s="46">
        <f t="shared" si="6"/>
        <v>0</v>
      </c>
      <c r="U50" s="46">
        <f t="shared" si="18"/>
        <v>0</v>
      </c>
      <c r="V50" s="72">
        <v>2</v>
      </c>
      <c r="W50" s="46">
        <f t="shared" si="19"/>
        <v>0.5</v>
      </c>
      <c r="X50" s="22">
        <f t="shared" si="20"/>
        <v>34.200000000000003</v>
      </c>
      <c r="Y50" s="10">
        <f t="shared" si="21"/>
        <v>288.53000000000003</v>
      </c>
      <c r="Z50" s="71">
        <v>360414995.67000002</v>
      </c>
      <c r="AA50" s="72">
        <v>2156</v>
      </c>
      <c r="AB50" s="22">
        <f t="shared" si="7"/>
        <v>167168.37</v>
      </c>
      <c r="AC50" s="9">
        <f t="shared" si="8"/>
        <v>0.651698</v>
      </c>
      <c r="AD50" s="72">
        <v>83750</v>
      </c>
      <c r="AE50" s="9">
        <f t="shared" si="9"/>
        <v>0.60716999999999999</v>
      </c>
      <c r="AF50" s="9">
        <f t="shared" si="28"/>
        <v>0.36165999999999998</v>
      </c>
      <c r="AG50" s="49">
        <f t="shared" si="10"/>
        <v>0.36165999999999998</v>
      </c>
      <c r="AH50" s="50">
        <f t="shared" si="11"/>
        <v>0</v>
      </c>
      <c r="AI50" s="51">
        <f t="shared" si="22"/>
        <v>0.36165999999999998</v>
      </c>
      <c r="AJ50" s="72">
        <v>107</v>
      </c>
      <c r="AK50">
        <v>6</v>
      </c>
      <c r="AL50" s="21">
        <f t="shared" si="23"/>
        <v>64200</v>
      </c>
      <c r="AM50" s="72">
        <v>0</v>
      </c>
      <c r="AN50">
        <v>0</v>
      </c>
      <c r="AO50" s="21">
        <f t="shared" si="24"/>
        <v>0</v>
      </c>
      <c r="AP50" s="21">
        <f t="shared" si="12"/>
        <v>1202631</v>
      </c>
      <c r="AQ50" s="21">
        <f t="shared" si="25"/>
        <v>1266831</v>
      </c>
      <c r="AR50" s="48">
        <v>1856992</v>
      </c>
      <c r="AS50" s="48">
        <f t="shared" si="29"/>
        <v>1266831</v>
      </c>
      <c r="AT50" s="72">
        <v>1652147</v>
      </c>
      <c r="AU50" s="21">
        <f t="shared" si="30"/>
        <v>385316</v>
      </c>
      <c r="AV50" s="52" t="str">
        <f t="shared" si="32"/>
        <v>No</v>
      </c>
      <c r="AW50" s="48">
        <f t="shared" si="26"/>
        <v>0</v>
      </c>
      <c r="AX50" s="53">
        <f t="shared" si="27"/>
        <v>1652147</v>
      </c>
      <c r="AY50" s="54">
        <f t="shared" si="31"/>
        <v>1652147</v>
      </c>
      <c r="AZ50" s="76"/>
      <c r="BA50" s="21"/>
      <c r="BD50" s="55"/>
      <c r="BE50" s="55"/>
      <c r="BF50" s="55"/>
      <c r="BG50" s="55"/>
      <c r="BH50" s="55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5"/>
      <c r="K51" s="71">
        <v>4238.7299999999996</v>
      </c>
      <c r="L51" s="73"/>
      <c r="M51" s="72">
        <v>737</v>
      </c>
      <c r="N51" s="46">
        <f t="shared" si="13"/>
        <v>221.1</v>
      </c>
      <c r="O51" s="46">
        <f t="shared" si="14"/>
        <v>2543.2399999999998</v>
      </c>
      <c r="P51" s="46">
        <f t="shared" si="15"/>
        <v>0</v>
      </c>
      <c r="Q51" s="46">
        <f t="shared" si="16"/>
        <v>0</v>
      </c>
      <c r="R51" s="47">
        <f t="shared" si="17"/>
        <v>0.17</v>
      </c>
      <c r="S51" s="47">
        <f t="shared" si="5"/>
        <v>0</v>
      </c>
      <c r="T51" s="46">
        <f t="shared" si="6"/>
        <v>0</v>
      </c>
      <c r="U51" s="46">
        <f t="shared" si="18"/>
        <v>0</v>
      </c>
      <c r="V51" s="72">
        <v>158</v>
      </c>
      <c r="W51" s="46">
        <f t="shared" si="19"/>
        <v>39.5</v>
      </c>
      <c r="X51" s="22">
        <f t="shared" si="20"/>
        <v>221.1</v>
      </c>
      <c r="Y51" s="10">
        <f t="shared" si="21"/>
        <v>4499.33</v>
      </c>
      <c r="Z51" s="71">
        <v>5632141245.6700001</v>
      </c>
      <c r="AA51" s="72">
        <v>28994</v>
      </c>
      <c r="AB51" s="22">
        <f t="shared" si="7"/>
        <v>194251.96</v>
      </c>
      <c r="AC51" s="9">
        <f t="shared" si="8"/>
        <v>0.75728200000000001</v>
      </c>
      <c r="AD51" s="72">
        <v>147969</v>
      </c>
      <c r="AE51" s="9">
        <f t="shared" si="9"/>
        <v>1.0727450000000001</v>
      </c>
      <c r="AF51" s="9">
        <f t="shared" si="28"/>
        <v>0.14807899999999999</v>
      </c>
      <c r="AG51" s="49">
        <f t="shared" si="10"/>
        <v>0.14807899999999999</v>
      </c>
      <c r="AH51" s="50">
        <f t="shared" si="11"/>
        <v>0</v>
      </c>
      <c r="AI51" s="51">
        <f t="shared" si="22"/>
        <v>0.14807899999999999</v>
      </c>
      <c r="AJ51" s="72">
        <v>0</v>
      </c>
      <c r="AK51">
        <v>0</v>
      </c>
      <c r="AL51" s="21">
        <f t="shared" si="23"/>
        <v>0</v>
      </c>
      <c r="AM51" s="72">
        <v>0</v>
      </c>
      <c r="AN51">
        <v>0</v>
      </c>
      <c r="AO51" s="21">
        <f t="shared" si="24"/>
        <v>0</v>
      </c>
      <c r="AP51" s="21">
        <f t="shared" si="12"/>
        <v>7678604</v>
      </c>
      <c r="AQ51" s="21">
        <f t="shared" si="25"/>
        <v>7678604</v>
      </c>
      <c r="AR51" s="48">
        <v>9436665</v>
      </c>
      <c r="AS51" s="48">
        <f t="shared" si="29"/>
        <v>7678604</v>
      </c>
      <c r="AT51" s="72">
        <v>9439993</v>
      </c>
      <c r="AU51" s="21">
        <f t="shared" si="30"/>
        <v>1761389</v>
      </c>
      <c r="AV51" s="52" t="str">
        <f t="shared" si="32"/>
        <v>No</v>
      </c>
      <c r="AW51" s="48">
        <f t="shared" si="26"/>
        <v>0</v>
      </c>
      <c r="AX51" s="53">
        <f t="shared" si="27"/>
        <v>9439993</v>
      </c>
      <c r="AY51" s="54">
        <f t="shared" si="31"/>
        <v>9439993</v>
      </c>
      <c r="AZ51" s="76"/>
      <c r="BA51" s="21"/>
      <c r="BD51" s="55"/>
      <c r="BE51" s="55"/>
      <c r="BF51" s="55"/>
      <c r="BG51" s="55"/>
      <c r="BH51" s="55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5"/>
      <c r="K52" s="71">
        <v>387.43</v>
      </c>
      <c r="L52" s="73"/>
      <c r="M52" s="72">
        <v>105</v>
      </c>
      <c r="N52" s="46">
        <f t="shared" si="13"/>
        <v>31.5</v>
      </c>
      <c r="O52" s="46">
        <f t="shared" si="14"/>
        <v>232.46</v>
      </c>
      <c r="P52" s="46">
        <f t="shared" si="15"/>
        <v>0</v>
      </c>
      <c r="Q52" s="46">
        <f t="shared" si="16"/>
        <v>0</v>
      </c>
      <c r="R52" s="47">
        <f t="shared" si="17"/>
        <v>0.27</v>
      </c>
      <c r="S52" s="47">
        <f t="shared" si="5"/>
        <v>0</v>
      </c>
      <c r="T52" s="46">
        <f t="shared" si="6"/>
        <v>0</v>
      </c>
      <c r="U52" s="46">
        <f t="shared" si="18"/>
        <v>0</v>
      </c>
      <c r="V52" s="72">
        <v>6</v>
      </c>
      <c r="W52" s="46">
        <f t="shared" si="19"/>
        <v>1.5</v>
      </c>
      <c r="X52" s="22">
        <f t="shared" si="20"/>
        <v>31.5</v>
      </c>
      <c r="Y52" s="10">
        <f t="shared" si="21"/>
        <v>420.43</v>
      </c>
      <c r="Z52" s="71">
        <v>852636052.66999996</v>
      </c>
      <c r="AA52" s="72">
        <v>3757</v>
      </c>
      <c r="AB52" s="22">
        <f t="shared" si="7"/>
        <v>226945.98</v>
      </c>
      <c r="AC52" s="9">
        <f t="shared" si="8"/>
        <v>0.88473800000000002</v>
      </c>
      <c r="AD52" s="72">
        <v>90929</v>
      </c>
      <c r="AE52" s="9">
        <f t="shared" si="9"/>
        <v>0.65921700000000005</v>
      </c>
      <c r="AF52" s="9">
        <f t="shared" si="28"/>
        <v>0.182918</v>
      </c>
      <c r="AG52" s="49">
        <f t="shared" si="10"/>
        <v>0.182918</v>
      </c>
      <c r="AH52" s="50">
        <f t="shared" si="11"/>
        <v>0</v>
      </c>
      <c r="AI52" s="51">
        <f t="shared" si="22"/>
        <v>0.182918</v>
      </c>
      <c r="AJ52" s="72">
        <v>176</v>
      </c>
      <c r="AK52">
        <v>6</v>
      </c>
      <c r="AL52" s="21">
        <f t="shared" si="23"/>
        <v>105600</v>
      </c>
      <c r="AM52" s="72">
        <v>0</v>
      </c>
      <c r="AN52">
        <v>0</v>
      </c>
      <c r="AO52" s="21">
        <f t="shared" si="24"/>
        <v>0</v>
      </c>
      <c r="AP52" s="21">
        <f t="shared" si="12"/>
        <v>886321</v>
      </c>
      <c r="AQ52" s="21">
        <f t="shared" si="25"/>
        <v>991921</v>
      </c>
      <c r="AR52" s="48">
        <v>659216</v>
      </c>
      <c r="AS52" s="48">
        <f t="shared" si="29"/>
        <v>991921</v>
      </c>
      <c r="AT52" s="72">
        <v>947013</v>
      </c>
      <c r="AU52" s="21">
        <f t="shared" si="30"/>
        <v>44908</v>
      </c>
      <c r="AV52" s="52" t="str">
        <f t="shared" si="32"/>
        <v>Yes</v>
      </c>
      <c r="AW52" s="48">
        <f t="shared" si="26"/>
        <v>44908</v>
      </c>
      <c r="AX52" s="53">
        <f t="shared" si="27"/>
        <v>991921</v>
      </c>
      <c r="AY52" s="54">
        <f t="shared" si="31"/>
        <v>991921</v>
      </c>
      <c r="AZ52" s="76"/>
      <c r="BA52" s="21"/>
      <c r="BD52" s="55"/>
      <c r="BE52" s="55"/>
      <c r="BF52" s="55"/>
      <c r="BG52" s="55"/>
      <c r="BH52" s="55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5"/>
      <c r="K53" s="71">
        <v>1416.62</v>
      </c>
      <c r="L53" s="73"/>
      <c r="M53" s="72">
        <v>591</v>
      </c>
      <c r="N53" s="46">
        <f t="shared" si="13"/>
        <v>177.3</v>
      </c>
      <c r="O53" s="46">
        <f t="shared" si="14"/>
        <v>849.97</v>
      </c>
      <c r="P53" s="46">
        <f t="shared" si="15"/>
        <v>0</v>
      </c>
      <c r="Q53" s="46">
        <f t="shared" si="16"/>
        <v>0</v>
      </c>
      <c r="R53" s="47">
        <f t="shared" si="17"/>
        <v>0.42</v>
      </c>
      <c r="S53" s="47">
        <f t="shared" si="5"/>
        <v>0</v>
      </c>
      <c r="T53" s="46">
        <f t="shared" si="6"/>
        <v>0</v>
      </c>
      <c r="U53" s="46">
        <f t="shared" si="18"/>
        <v>0</v>
      </c>
      <c r="V53" s="72">
        <v>176</v>
      </c>
      <c r="W53" s="46">
        <f t="shared" si="19"/>
        <v>44</v>
      </c>
      <c r="X53" s="22">
        <f t="shared" si="20"/>
        <v>177.3</v>
      </c>
      <c r="Y53" s="10">
        <f t="shared" si="21"/>
        <v>1637.9199999999998</v>
      </c>
      <c r="Z53" s="71">
        <v>3065867522.6700001</v>
      </c>
      <c r="AA53" s="72">
        <v>13399</v>
      </c>
      <c r="AB53" s="22">
        <f t="shared" si="7"/>
        <v>228813.16</v>
      </c>
      <c r="AC53" s="9">
        <f t="shared" si="8"/>
        <v>0.89201699999999995</v>
      </c>
      <c r="AD53" s="72">
        <v>110556</v>
      </c>
      <c r="AE53" s="9">
        <f t="shared" si="9"/>
        <v>0.80150900000000003</v>
      </c>
      <c r="AF53" s="9">
        <f t="shared" si="28"/>
        <v>0.13513500000000001</v>
      </c>
      <c r="AG53" s="49">
        <f t="shared" si="10"/>
        <v>0.13513500000000001</v>
      </c>
      <c r="AH53" s="50">
        <f t="shared" si="11"/>
        <v>0</v>
      </c>
      <c r="AI53" s="51">
        <f t="shared" si="22"/>
        <v>0.13513500000000001</v>
      </c>
      <c r="AJ53" s="72">
        <v>0</v>
      </c>
      <c r="AK53">
        <v>0</v>
      </c>
      <c r="AL53" s="21">
        <f t="shared" si="23"/>
        <v>0</v>
      </c>
      <c r="AM53" s="72">
        <v>0</v>
      </c>
      <c r="AN53">
        <v>0</v>
      </c>
      <c r="AO53" s="21">
        <f t="shared" si="24"/>
        <v>0</v>
      </c>
      <c r="AP53" s="21">
        <f t="shared" si="12"/>
        <v>2550947</v>
      </c>
      <c r="AQ53" s="21">
        <f t="shared" si="25"/>
        <v>2550947</v>
      </c>
      <c r="AR53" s="48">
        <v>6326998</v>
      </c>
      <c r="AS53" s="48">
        <f t="shared" si="29"/>
        <v>2550947</v>
      </c>
      <c r="AT53" s="72">
        <v>5192084</v>
      </c>
      <c r="AU53" s="21">
        <f t="shared" si="30"/>
        <v>2641137</v>
      </c>
      <c r="AV53" s="52" t="str">
        <f t="shared" si="32"/>
        <v>No</v>
      </c>
      <c r="AW53" s="48">
        <f t="shared" si="26"/>
        <v>0</v>
      </c>
      <c r="AX53" s="53">
        <f t="shared" si="27"/>
        <v>5192084</v>
      </c>
      <c r="AY53" s="54">
        <f t="shared" si="31"/>
        <v>5192084</v>
      </c>
      <c r="AZ53" s="76"/>
      <c r="BA53" s="21"/>
      <c r="BD53" s="55"/>
      <c r="BE53" s="55"/>
      <c r="BF53" s="55"/>
      <c r="BG53" s="55"/>
      <c r="BH53" s="55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5"/>
      <c r="K54" s="71">
        <v>2059.41</v>
      </c>
      <c r="L54" s="73"/>
      <c r="M54" s="72">
        <v>515</v>
      </c>
      <c r="N54" s="46">
        <f t="shared" si="13"/>
        <v>154.5</v>
      </c>
      <c r="O54" s="46">
        <f t="shared" si="14"/>
        <v>1235.6500000000001</v>
      </c>
      <c r="P54" s="46">
        <f t="shared" si="15"/>
        <v>0</v>
      </c>
      <c r="Q54" s="46">
        <f t="shared" si="16"/>
        <v>0</v>
      </c>
      <c r="R54" s="47">
        <f t="shared" si="17"/>
        <v>0.25</v>
      </c>
      <c r="S54" s="47">
        <f t="shared" si="5"/>
        <v>0</v>
      </c>
      <c r="T54" s="46">
        <f t="shared" si="6"/>
        <v>0</v>
      </c>
      <c r="U54" s="46">
        <f t="shared" si="18"/>
        <v>0</v>
      </c>
      <c r="V54" s="72">
        <v>43</v>
      </c>
      <c r="W54" s="46">
        <f t="shared" si="19"/>
        <v>10.75</v>
      </c>
      <c r="X54" s="22">
        <f t="shared" si="20"/>
        <v>154.5</v>
      </c>
      <c r="Y54" s="10">
        <f t="shared" si="21"/>
        <v>2224.66</v>
      </c>
      <c r="Z54" s="71">
        <v>2412272603</v>
      </c>
      <c r="AA54" s="72">
        <v>15572</v>
      </c>
      <c r="AB54" s="22">
        <f t="shared" si="7"/>
        <v>154910.9</v>
      </c>
      <c r="AC54" s="9">
        <f t="shared" si="8"/>
        <v>0.60391300000000003</v>
      </c>
      <c r="AD54" s="72">
        <v>114505</v>
      </c>
      <c r="AE54" s="9">
        <f t="shared" si="9"/>
        <v>0.83013800000000004</v>
      </c>
      <c r="AF54" s="9">
        <f t="shared" si="28"/>
        <v>0.32822000000000001</v>
      </c>
      <c r="AG54" s="49">
        <f t="shared" si="10"/>
        <v>0.32822000000000001</v>
      </c>
      <c r="AH54" s="50">
        <f t="shared" si="11"/>
        <v>0</v>
      </c>
      <c r="AI54" s="51">
        <f t="shared" si="22"/>
        <v>0.32822000000000001</v>
      </c>
      <c r="AJ54" s="72">
        <v>0</v>
      </c>
      <c r="AK54">
        <v>0</v>
      </c>
      <c r="AL54" s="21">
        <f t="shared" si="23"/>
        <v>0</v>
      </c>
      <c r="AM54" s="72">
        <v>0</v>
      </c>
      <c r="AN54">
        <v>0</v>
      </c>
      <c r="AO54" s="21">
        <f t="shared" si="24"/>
        <v>0</v>
      </c>
      <c r="AP54" s="21">
        <f t="shared" si="12"/>
        <v>8415300</v>
      </c>
      <c r="AQ54" s="21">
        <f t="shared" si="25"/>
        <v>8415300</v>
      </c>
      <c r="AR54" s="48">
        <v>13503310</v>
      </c>
      <c r="AS54" s="48">
        <f t="shared" si="29"/>
        <v>8415300</v>
      </c>
      <c r="AT54" s="72">
        <v>12040218</v>
      </c>
      <c r="AU54" s="21">
        <f t="shared" si="30"/>
        <v>3624918</v>
      </c>
      <c r="AV54" s="52" t="str">
        <f t="shared" si="32"/>
        <v>No</v>
      </c>
      <c r="AW54" s="48">
        <f t="shared" si="26"/>
        <v>0</v>
      </c>
      <c r="AX54" s="53">
        <f t="shared" si="27"/>
        <v>12040218</v>
      </c>
      <c r="AY54" s="54">
        <f t="shared" si="31"/>
        <v>12040218</v>
      </c>
      <c r="AZ54" s="76"/>
      <c r="BA54" s="21"/>
      <c r="BD54" s="55"/>
      <c r="BE54" s="55"/>
      <c r="BF54" s="55"/>
      <c r="BG54" s="55"/>
      <c r="BH54" s="55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5"/>
      <c r="K55" s="71">
        <v>144.68</v>
      </c>
      <c r="L55" s="75"/>
      <c r="M55" s="72">
        <v>42</v>
      </c>
      <c r="N55" s="46">
        <f t="shared" si="13"/>
        <v>12.6</v>
      </c>
      <c r="O55" s="46">
        <f t="shared" si="14"/>
        <v>86.81</v>
      </c>
      <c r="P55" s="46">
        <f t="shared" si="15"/>
        <v>0</v>
      </c>
      <c r="Q55" s="46">
        <f t="shared" si="16"/>
        <v>0</v>
      </c>
      <c r="R55" s="47">
        <f t="shared" si="17"/>
        <v>0.28999999999999998</v>
      </c>
      <c r="S55" s="47">
        <f t="shared" si="5"/>
        <v>0</v>
      </c>
      <c r="T55" s="46">
        <f t="shared" si="6"/>
        <v>0</v>
      </c>
      <c r="U55" s="46">
        <f t="shared" si="18"/>
        <v>0</v>
      </c>
      <c r="V55" s="72">
        <v>0</v>
      </c>
      <c r="W55" s="46">
        <f t="shared" si="19"/>
        <v>0</v>
      </c>
      <c r="X55" s="22">
        <f t="shared" si="20"/>
        <v>12.6</v>
      </c>
      <c r="Y55" s="10">
        <f t="shared" si="21"/>
        <v>157.28</v>
      </c>
      <c r="Z55" s="71">
        <v>348296693.67000002</v>
      </c>
      <c r="AA55" s="72">
        <v>1369</v>
      </c>
      <c r="AB55" s="22">
        <f t="shared" si="7"/>
        <v>254416.87</v>
      </c>
      <c r="AC55" s="9">
        <f t="shared" si="8"/>
        <v>0.99183200000000005</v>
      </c>
      <c r="AD55" s="72">
        <v>120625</v>
      </c>
      <c r="AE55" s="9">
        <f t="shared" si="9"/>
        <v>0.87450700000000003</v>
      </c>
      <c r="AF55" s="9">
        <f t="shared" si="28"/>
        <v>4.3366000000000002E-2</v>
      </c>
      <c r="AG55" s="49">
        <f t="shared" si="10"/>
        <v>4.3366000000000002E-2</v>
      </c>
      <c r="AH55" s="50">
        <f t="shared" si="11"/>
        <v>0</v>
      </c>
      <c r="AI55" s="51">
        <f t="shared" si="22"/>
        <v>4.3366000000000002E-2</v>
      </c>
      <c r="AJ55" s="72">
        <v>79</v>
      </c>
      <c r="AK55">
        <v>6</v>
      </c>
      <c r="AL55" s="21">
        <f t="shared" si="23"/>
        <v>47400</v>
      </c>
      <c r="AM55" s="72">
        <v>0</v>
      </c>
      <c r="AN55">
        <v>0</v>
      </c>
      <c r="AO55" s="21">
        <f t="shared" si="24"/>
        <v>0</v>
      </c>
      <c r="AP55" s="21">
        <f t="shared" si="12"/>
        <v>78607</v>
      </c>
      <c r="AQ55" s="21">
        <f t="shared" si="25"/>
        <v>126007</v>
      </c>
      <c r="AR55" s="48">
        <v>491388</v>
      </c>
      <c r="AS55" s="48">
        <f t="shared" si="29"/>
        <v>126007</v>
      </c>
      <c r="AT55" s="72">
        <v>403912</v>
      </c>
      <c r="AU55" s="21">
        <f t="shared" si="30"/>
        <v>277905</v>
      </c>
      <c r="AV55" s="52" t="str">
        <f t="shared" si="32"/>
        <v>No</v>
      </c>
      <c r="AW55" s="48">
        <f t="shared" si="26"/>
        <v>0</v>
      </c>
      <c r="AX55" s="53">
        <f t="shared" si="27"/>
        <v>403912</v>
      </c>
      <c r="AY55" s="54">
        <f t="shared" si="31"/>
        <v>403912</v>
      </c>
      <c r="AZ55" s="76"/>
      <c r="BA55" s="21"/>
      <c r="BD55" s="55"/>
      <c r="BE55" s="55"/>
      <c r="BF55" s="55"/>
      <c r="BG55" s="55"/>
      <c r="BH55" s="55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5"/>
      <c r="K56" s="71">
        <v>594.46</v>
      </c>
      <c r="L56" s="73"/>
      <c r="M56" s="72">
        <v>136</v>
      </c>
      <c r="N56" s="46">
        <f t="shared" si="13"/>
        <v>40.799999999999997</v>
      </c>
      <c r="O56" s="46">
        <f t="shared" si="14"/>
        <v>356.68</v>
      </c>
      <c r="P56" s="46">
        <f t="shared" si="15"/>
        <v>0</v>
      </c>
      <c r="Q56" s="46">
        <f t="shared" si="16"/>
        <v>0</v>
      </c>
      <c r="R56" s="47">
        <f t="shared" si="17"/>
        <v>0.23</v>
      </c>
      <c r="S56" s="47">
        <f t="shared" si="5"/>
        <v>0</v>
      </c>
      <c r="T56" s="46">
        <f t="shared" si="6"/>
        <v>0</v>
      </c>
      <c r="U56" s="46">
        <f t="shared" si="18"/>
        <v>0</v>
      </c>
      <c r="V56" s="72">
        <v>4</v>
      </c>
      <c r="W56" s="46">
        <f t="shared" si="19"/>
        <v>1</v>
      </c>
      <c r="X56" s="22">
        <f t="shared" si="20"/>
        <v>40.799999999999997</v>
      </c>
      <c r="Y56" s="10">
        <f t="shared" si="21"/>
        <v>636.26</v>
      </c>
      <c r="Z56" s="71">
        <v>934944951</v>
      </c>
      <c r="AA56" s="72">
        <v>5258</v>
      </c>
      <c r="AB56" s="22">
        <f t="shared" si="7"/>
        <v>177813.8</v>
      </c>
      <c r="AC56" s="9">
        <f t="shared" si="8"/>
        <v>0.69319799999999998</v>
      </c>
      <c r="AD56" s="72">
        <v>124311</v>
      </c>
      <c r="AE56" s="9">
        <f t="shared" si="9"/>
        <v>0.90122899999999995</v>
      </c>
      <c r="AF56" s="9">
        <f t="shared" si="28"/>
        <v>0.244393</v>
      </c>
      <c r="AG56" s="49">
        <f t="shared" si="10"/>
        <v>0.244393</v>
      </c>
      <c r="AH56" s="50">
        <f t="shared" si="11"/>
        <v>0</v>
      </c>
      <c r="AI56" s="51">
        <f t="shared" si="22"/>
        <v>0.244393</v>
      </c>
      <c r="AJ56" s="72">
        <v>0</v>
      </c>
      <c r="AK56">
        <v>0</v>
      </c>
      <c r="AL56" s="21">
        <f t="shared" si="23"/>
        <v>0</v>
      </c>
      <c r="AM56" s="72">
        <v>0</v>
      </c>
      <c r="AN56">
        <v>0</v>
      </c>
      <c r="AO56" s="21">
        <f t="shared" si="24"/>
        <v>0</v>
      </c>
      <c r="AP56" s="21">
        <f t="shared" si="12"/>
        <v>1792109</v>
      </c>
      <c r="AQ56" s="21">
        <f t="shared" si="25"/>
        <v>1792109</v>
      </c>
      <c r="AR56" s="48">
        <v>2523462</v>
      </c>
      <c r="AS56" s="48">
        <f t="shared" si="29"/>
        <v>1792109</v>
      </c>
      <c r="AT56" s="72">
        <v>2316189</v>
      </c>
      <c r="AU56" s="21">
        <f t="shared" si="30"/>
        <v>524080</v>
      </c>
      <c r="AV56" s="52" t="str">
        <f t="shared" si="32"/>
        <v>No</v>
      </c>
      <c r="AW56" s="48">
        <f t="shared" si="26"/>
        <v>0</v>
      </c>
      <c r="AX56" s="53">
        <f t="shared" si="27"/>
        <v>2316189</v>
      </c>
      <c r="AY56" s="54">
        <f t="shared" si="31"/>
        <v>2316189</v>
      </c>
      <c r="AZ56" s="76"/>
      <c r="BA56" s="21"/>
      <c r="BD56" s="55"/>
      <c r="BE56" s="55"/>
      <c r="BF56" s="55"/>
      <c r="BG56" s="55"/>
      <c r="BH56" s="55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5"/>
      <c r="K57" s="71">
        <v>118.04</v>
      </c>
      <c r="L57" s="73"/>
      <c r="M57" s="72">
        <v>50</v>
      </c>
      <c r="N57" s="46">
        <f t="shared" si="13"/>
        <v>15</v>
      </c>
      <c r="O57" s="46">
        <f t="shared" si="14"/>
        <v>70.819999999999993</v>
      </c>
      <c r="P57" s="46">
        <f t="shared" si="15"/>
        <v>0</v>
      </c>
      <c r="Q57" s="46">
        <f t="shared" si="16"/>
        <v>0</v>
      </c>
      <c r="R57" s="47">
        <f t="shared" si="17"/>
        <v>0.42</v>
      </c>
      <c r="S57" s="47">
        <f t="shared" si="5"/>
        <v>0</v>
      </c>
      <c r="T57" s="46">
        <f t="shared" si="6"/>
        <v>0</v>
      </c>
      <c r="U57" s="46">
        <f t="shared" si="18"/>
        <v>0</v>
      </c>
      <c r="V57" s="72">
        <v>2</v>
      </c>
      <c r="W57" s="46">
        <f t="shared" si="19"/>
        <v>0.5</v>
      </c>
      <c r="X57" s="22">
        <f t="shared" si="20"/>
        <v>15</v>
      </c>
      <c r="Y57" s="10">
        <f t="shared" si="21"/>
        <v>133.54000000000002</v>
      </c>
      <c r="Z57" s="71">
        <v>690771254</v>
      </c>
      <c r="AA57" s="72">
        <v>1573</v>
      </c>
      <c r="AB57" s="22">
        <f t="shared" si="7"/>
        <v>439142.56</v>
      </c>
      <c r="AC57" s="9">
        <f t="shared" si="8"/>
        <v>1.7119759999999999</v>
      </c>
      <c r="AD57" s="72">
        <v>99922</v>
      </c>
      <c r="AE57" s="9">
        <f t="shared" si="9"/>
        <v>0.724414</v>
      </c>
      <c r="AF57" s="9">
        <f t="shared" si="28"/>
        <v>-0.41570699999999999</v>
      </c>
      <c r="AG57" s="49">
        <f t="shared" si="10"/>
        <v>0.01</v>
      </c>
      <c r="AH57" s="50">
        <f t="shared" si="11"/>
        <v>0</v>
      </c>
      <c r="AI57" s="51">
        <f t="shared" si="22"/>
        <v>0.01</v>
      </c>
      <c r="AJ57" s="72">
        <v>42</v>
      </c>
      <c r="AK57">
        <v>4</v>
      </c>
      <c r="AL57" s="21">
        <f t="shared" si="23"/>
        <v>16800</v>
      </c>
      <c r="AM57" s="72">
        <v>0</v>
      </c>
      <c r="AN57">
        <v>0</v>
      </c>
      <c r="AO57" s="21">
        <f t="shared" si="24"/>
        <v>0</v>
      </c>
      <c r="AP57" s="21">
        <f t="shared" si="12"/>
        <v>15390</v>
      </c>
      <c r="AQ57" s="21">
        <f t="shared" si="25"/>
        <v>32190</v>
      </c>
      <c r="AR57" s="48">
        <v>6976</v>
      </c>
      <c r="AS57" s="48">
        <f t="shared" si="29"/>
        <v>32190</v>
      </c>
      <c r="AT57" s="72">
        <v>25057</v>
      </c>
      <c r="AU57" s="21">
        <f t="shared" si="30"/>
        <v>7133</v>
      </c>
      <c r="AV57" s="52" t="str">
        <f t="shared" si="32"/>
        <v>Yes</v>
      </c>
      <c r="AW57" s="48">
        <f t="shared" si="26"/>
        <v>7133</v>
      </c>
      <c r="AX57" s="53">
        <f t="shared" si="27"/>
        <v>32190</v>
      </c>
      <c r="AY57" s="54">
        <f t="shared" si="31"/>
        <v>32190</v>
      </c>
      <c r="AZ57" s="76"/>
      <c r="BA57" s="21"/>
      <c r="BD57" s="55"/>
      <c r="BE57" s="55"/>
      <c r="BF57" s="55"/>
      <c r="BG57" s="55"/>
      <c r="BH57" s="55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5"/>
      <c r="K58" s="71">
        <v>1586.87</v>
      </c>
      <c r="L58" s="73"/>
      <c r="M58" s="72">
        <v>429</v>
      </c>
      <c r="N58" s="46">
        <f t="shared" si="13"/>
        <v>128.69999999999999</v>
      </c>
      <c r="O58" s="46">
        <f t="shared" si="14"/>
        <v>952.12</v>
      </c>
      <c r="P58" s="46">
        <f t="shared" si="15"/>
        <v>0</v>
      </c>
      <c r="Q58" s="46">
        <f t="shared" si="16"/>
        <v>0</v>
      </c>
      <c r="R58" s="47">
        <f t="shared" si="17"/>
        <v>0.27</v>
      </c>
      <c r="S58" s="47">
        <f t="shared" si="5"/>
        <v>0</v>
      </c>
      <c r="T58" s="46">
        <f t="shared" si="6"/>
        <v>0</v>
      </c>
      <c r="U58" s="46">
        <f t="shared" si="18"/>
        <v>0</v>
      </c>
      <c r="V58" s="72">
        <v>20</v>
      </c>
      <c r="W58" s="46">
        <f t="shared" si="19"/>
        <v>5</v>
      </c>
      <c r="X58" s="22">
        <f t="shared" si="20"/>
        <v>128.69999999999999</v>
      </c>
      <c r="Y58" s="10">
        <f t="shared" si="21"/>
        <v>1720.57</v>
      </c>
      <c r="Z58" s="71">
        <v>1966026459.3299999</v>
      </c>
      <c r="AA58" s="72">
        <v>12285</v>
      </c>
      <c r="AB58" s="22">
        <f t="shared" si="7"/>
        <v>160034.71</v>
      </c>
      <c r="AC58" s="9">
        <f t="shared" si="8"/>
        <v>0.62388699999999997</v>
      </c>
      <c r="AD58" s="72">
        <v>101916</v>
      </c>
      <c r="AE58" s="9">
        <f t="shared" si="9"/>
        <v>0.73887000000000003</v>
      </c>
      <c r="AF58" s="9">
        <f t="shared" si="28"/>
        <v>0.34161799999999998</v>
      </c>
      <c r="AG58" s="49">
        <f t="shared" si="10"/>
        <v>0.34161799999999998</v>
      </c>
      <c r="AH58" s="50">
        <f t="shared" si="11"/>
        <v>0</v>
      </c>
      <c r="AI58" s="51">
        <f t="shared" si="22"/>
        <v>0.34161799999999998</v>
      </c>
      <c r="AJ58" s="72">
        <v>0</v>
      </c>
      <c r="AK58">
        <v>0</v>
      </c>
      <c r="AL58" s="21">
        <f t="shared" si="23"/>
        <v>0</v>
      </c>
      <c r="AM58" s="72">
        <v>0</v>
      </c>
      <c r="AN58">
        <v>0</v>
      </c>
      <c r="AO58" s="21">
        <f t="shared" si="24"/>
        <v>0</v>
      </c>
      <c r="AP58" s="21">
        <f t="shared" si="12"/>
        <v>6774138</v>
      </c>
      <c r="AQ58" s="21">
        <f t="shared" si="25"/>
        <v>6774138</v>
      </c>
      <c r="AR58" s="48">
        <v>8756165</v>
      </c>
      <c r="AS58" s="48">
        <f t="shared" si="29"/>
        <v>6774138</v>
      </c>
      <c r="AT58" s="72">
        <v>7952911</v>
      </c>
      <c r="AU58" s="21">
        <f t="shared" si="30"/>
        <v>1178773</v>
      </c>
      <c r="AV58" s="52" t="str">
        <f t="shared" si="32"/>
        <v>No</v>
      </c>
      <c r="AW58" s="48">
        <f t="shared" si="26"/>
        <v>0</v>
      </c>
      <c r="AX58" s="53">
        <f t="shared" si="27"/>
        <v>7952911</v>
      </c>
      <c r="AY58" s="54">
        <f t="shared" si="31"/>
        <v>7952911</v>
      </c>
      <c r="AZ58" s="76"/>
      <c r="BA58" s="21"/>
      <c r="BD58" s="55"/>
      <c r="BE58" s="55"/>
      <c r="BF58" s="55"/>
      <c r="BG58" s="55"/>
      <c r="BH58" s="55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5"/>
      <c r="K59" s="71">
        <v>1879.61</v>
      </c>
      <c r="L59" s="73"/>
      <c r="M59" s="72">
        <v>494</v>
      </c>
      <c r="N59" s="46">
        <f t="shared" si="13"/>
        <v>148.19999999999999</v>
      </c>
      <c r="O59" s="46">
        <f t="shared" si="14"/>
        <v>1127.77</v>
      </c>
      <c r="P59" s="46">
        <f t="shared" si="15"/>
        <v>0</v>
      </c>
      <c r="Q59" s="46">
        <f t="shared" si="16"/>
        <v>0</v>
      </c>
      <c r="R59" s="47">
        <f t="shared" si="17"/>
        <v>0.26</v>
      </c>
      <c r="S59" s="47">
        <f t="shared" si="5"/>
        <v>0</v>
      </c>
      <c r="T59" s="46">
        <f t="shared" si="6"/>
        <v>0</v>
      </c>
      <c r="U59" s="46">
        <f t="shared" si="18"/>
        <v>0</v>
      </c>
      <c r="V59" s="72">
        <v>107</v>
      </c>
      <c r="W59" s="46">
        <f t="shared" si="19"/>
        <v>26.75</v>
      </c>
      <c r="X59" s="22">
        <f t="shared" si="20"/>
        <v>148.19999999999999</v>
      </c>
      <c r="Y59" s="10">
        <f t="shared" si="21"/>
        <v>2054.56</v>
      </c>
      <c r="Z59" s="71">
        <v>2720359037</v>
      </c>
      <c r="AA59" s="72">
        <v>14317</v>
      </c>
      <c r="AB59" s="22">
        <f t="shared" si="7"/>
        <v>190009.01</v>
      </c>
      <c r="AC59" s="9">
        <f t="shared" si="8"/>
        <v>0.74074099999999998</v>
      </c>
      <c r="AD59" s="72">
        <v>101424</v>
      </c>
      <c r="AE59" s="9">
        <f t="shared" si="9"/>
        <v>0.73530300000000004</v>
      </c>
      <c r="AF59" s="9">
        <f t="shared" si="28"/>
        <v>0.26089000000000001</v>
      </c>
      <c r="AG59" s="49">
        <f t="shared" si="10"/>
        <v>0.26089000000000001</v>
      </c>
      <c r="AH59" s="50">
        <f t="shared" si="11"/>
        <v>0</v>
      </c>
      <c r="AI59" s="51">
        <f t="shared" si="22"/>
        <v>0.26089000000000001</v>
      </c>
      <c r="AJ59" s="72">
        <v>0</v>
      </c>
      <c r="AK59">
        <v>0</v>
      </c>
      <c r="AL59" s="21">
        <f t="shared" si="23"/>
        <v>0</v>
      </c>
      <c r="AM59" s="72">
        <v>0</v>
      </c>
      <c r="AN59">
        <v>0</v>
      </c>
      <c r="AO59" s="21">
        <f t="shared" si="24"/>
        <v>0</v>
      </c>
      <c r="AP59" s="21">
        <f t="shared" si="12"/>
        <v>6177563</v>
      </c>
      <c r="AQ59" s="21">
        <f t="shared" si="25"/>
        <v>6177563</v>
      </c>
      <c r="AR59" s="48">
        <v>4646922</v>
      </c>
      <c r="AS59" s="48">
        <f t="shared" si="29"/>
        <v>6177563</v>
      </c>
      <c r="AT59" s="72">
        <v>5631142</v>
      </c>
      <c r="AU59" s="21">
        <f t="shared" si="30"/>
        <v>546421</v>
      </c>
      <c r="AV59" s="52" t="str">
        <f t="shared" si="32"/>
        <v>Yes</v>
      </c>
      <c r="AW59" s="48">
        <f t="shared" si="26"/>
        <v>546421</v>
      </c>
      <c r="AX59" s="53">
        <f t="shared" si="27"/>
        <v>6177563</v>
      </c>
      <c r="AY59" s="54">
        <f t="shared" si="31"/>
        <v>6177563</v>
      </c>
      <c r="AZ59" s="76"/>
      <c r="BA59" s="21"/>
      <c r="BD59" s="55"/>
      <c r="BE59" s="55"/>
      <c r="BF59" s="55"/>
      <c r="BG59" s="55"/>
      <c r="BH59" s="55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5"/>
      <c r="K60" s="71">
        <v>11855.68</v>
      </c>
      <c r="L60" s="73"/>
      <c r="M60" s="72">
        <v>6695</v>
      </c>
      <c r="N60" s="46">
        <f t="shared" si="13"/>
        <v>2008.5</v>
      </c>
      <c r="O60" s="46">
        <f t="shared" si="14"/>
        <v>7113.41</v>
      </c>
      <c r="P60" s="46">
        <f t="shared" si="15"/>
        <v>0</v>
      </c>
      <c r="Q60" s="46">
        <f t="shared" si="16"/>
        <v>0</v>
      </c>
      <c r="R60" s="47">
        <f t="shared" si="17"/>
        <v>0.56000000000000005</v>
      </c>
      <c r="S60" s="47">
        <f t="shared" si="5"/>
        <v>0</v>
      </c>
      <c r="T60" s="46">
        <f t="shared" si="6"/>
        <v>0</v>
      </c>
      <c r="U60" s="46">
        <f t="shared" si="18"/>
        <v>0</v>
      </c>
      <c r="V60" s="72">
        <v>4492</v>
      </c>
      <c r="W60" s="46">
        <f t="shared" si="19"/>
        <v>1123</v>
      </c>
      <c r="X60" s="22">
        <f t="shared" si="20"/>
        <v>2008.5</v>
      </c>
      <c r="Y60" s="10">
        <f t="shared" si="21"/>
        <v>14987.18</v>
      </c>
      <c r="Z60" s="71">
        <v>14823521457.33</v>
      </c>
      <c r="AA60" s="72">
        <v>86967</v>
      </c>
      <c r="AB60" s="22">
        <f t="shared" si="7"/>
        <v>170449.96</v>
      </c>
      <c r="AC60" s="9">
        <f t="shared" si="8"/>
        <v>0.66449100000000005</v>
      </c>
      <c r="AD60" s="72">
        <v>79983</v>
      </c>
      <c r="AE60" s="9">
        <f t="shared" si="9"/>
        <v>0.57986000000000004</v>
      </c>
      <c r="AF60" s="9">
        <f t="shared" si="28"/>
        <v>0.360898</v>
      </c>
      <c r="AG60" s="49">
        <f t="shared" si="10"/>
        <v>0.360898</v>
      </c>
      <c r="AH60" s="50">
        <f t="shared" si="11"/>
        <v>0</v>
      </c>
      <c r="AI60" s="51">
        <f t="shared" si="22"/>
        <v>0.360898</v>
      </c>
      <c r="AJ60" s="72">
        <v>0</v>
      </c>
      <c r="AK60">
        <v>0</v>
      </c>
      <c r="AL60" s="21">
        <f t="shared" si="23"/>
        <v>0</v>
      </c>
      <c r="AM60" s="72">
        <v>0</v>
      </c>
      <c r="AN60">
        <v>0</v>
      </c>
      <c r="AO60" s="21">
        <f t="shared" si="24"/>
        <v>0</v>
      </c>
      <c r="AP60" s="21">
        <f t="shared" si="12"/>
        <v>62336919</v>
      </c>
      <c r="AQ60" s="21">
        <f t="shared" si="25"/>
        <v>62336919</v>
      </c>
      <c r="AR60" s="48">
        <v>31290480</v>
      </c>
      <c r="AS60" s="48">
        <f t="shared" si="29"/>
        <v>62336919</v>
      </c>
      <c r="AT60" s="72">
        <v>53201306</v>
      </c>
      <c r="AU60" s="21">
        <f t="shared" si="30"/>
        <v>9135613</v>
      </c>
      <c r="AV60" s="52" t="str">
        <f t="shared" si="32"/>
        <v>Yes</v>
      </c>
      <c r="AW60" s="48">
        <f t="shared" si="26"/>
        <v>9135613</v>
      </c>
      <c r="AX60" s="53">
        <f t="shared" si="27"/>
        <v>62336919</v>
      </c>
      <c r="AY60" s="54">
        <f t="shared" si="31"/>
        <v>62336919</v>
      </c>
      <c r="AZ60" s="76"/>
      <c r="BA60" s="21"/>
      <c r="BD60" s="55"/>
      <c r="BE60" s="55"/>
      <c r="BF60" s="55"/>
      <c r="BG60" s="55"/>
      <c r="BH60" s="55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5"/>
      <c r="K61" s="71">
        <v>4642.8900000000003</v>
      </c>
      <c r="L61" s="73"/>
      <c r="M61" s="72">
        <v>111</v>
      </c>
      <c r="N61" s="46">
        <f t="shared" si="13"/>
        <v>33.299999999999997</v>
      </c>
      <c r="O61" s="46">
        <f t="shared" si="14"/>
        <v>2785.73</v>
      </c>
      <c r="P61" s="46">
        <f t="shared" si="15"/>
        <v>0</v>
      </c>
      <c r="Q61" s="46">
        <f t="shared" si="16"/>
        <v>0</v>
      </c>
      <c r="R61" s="47">
        <f t="shared" si="17"/>
        <v>0.02</v>
      </c>
      <c r="S61" s="47">
        <f t="shared" si="5"/>
        <v>0</v>
      </c>
      <c r="T61" s="46">
        <f t="shared" si="6"/>
        <v>0</v>
      </c>
      <c r="U61" s="46">
        <f t="shared" si="18"/>
        <v>0</v>
      </c>
      <c r="V61" s="72">
        <v>66</v>
      </c>
      <c r="W61" s="46">
        <f t="shared" si="19"/>
        <v>16.5</v>
      </c>
      <c r="X61" s="22">
        <f t="shared" si="20"/>
        <v>33.299999999999997</v>
      </c>
      <c r="Y61" s="10">
        <f t="shared" si="21"/>
        <v>4692.6900000000005</v>
      </c>
      <c r="Z61" s="71">
        <v>16019983955.33</v>
      </c>
      <c r="AA61" s="72">
        <v>21926</v>
      </c>
      <c r="AB61" s="22">
        <f t="shared" si="7"/>
        <v>730638.69</v>
      </c>
      <c r="AC61" s="9">
        <f t="shared" si="8"/>
        <v>2.8483589999999999</v>
      </c>
      <c r="AD61" s="72">
        <v>250000</v>
      </c>
      <c r="AE61" s="9">
        <f t="shared" si="9"/>
        <v>1.812449</v>
      </c>
      <c r="AF61" s="9">
        <f t="shared" si="28"/>
        <v>-1.5375859999999999</v>
      </c>
      <c r="AG61" s="49">
        <f t="shared" si="10"/>
        <v>0.01</v>
      </c>
      <c r="AH61" s="50">
        <f t="shared" si="11"/>
        <v>0</v>
      </c>
      <c r="AI61" s="51">
        <f t="shared" si="22"/>
        <v>0.01</v>
      </c>
      <c r="AJ61" s="72">
        <v>0</v>
      </c>
      <c r="AK61">
        <v>0</v>
      </c>
      <c r="AL61" s="21">
        <f t="shared" si="23"/>
        <v>0</v>
      </c>
      <c r="AM61" s="72">
        <v>0</v>
      </c>
      <c r="AN61">
        <v>0</v>
      </c>
      <c r="AO61" s="21">
        <f t="shared" si="24"/>
        <v>0</v>
      </c>
      <c r="AP61" s="21">
        <f t="shared" si="12"/>
        <v>540833</v>
      </c>
      <c r="AQ61" s="21">
        <f t="shared" si="25"/>
        <v>540833</v>
      </c>
      <c r="AR61" s="48">
        <v>406683</v>
      </c>
      <c r="AS61" s="48">
        <f t="shared" si="29"/>
        <v>540833</v>
      </c>
      <c r="AT61" s="72">
        <v>515629</v>
      </c>
      <c r="AU61" s="21">
        <f t="shared" si="30"/>
        <v>25204</v>
      </c>
      <c r="AV61" s="52" t="str">
        <f t="shared" si="32"/>
        <v>Yes</v>
      </c>
      <c r="AW61" s="48">
        <f t="shared" si="26"/>
        <v>25204</v>
      </c>
      <c r="AX61" s="53">
        <f t="shared" si="27"/>
        <v>540833</v>
      </c>
      <c r="AY61" s="54">
        <f t="shared" si="31"/>
        <v>540833</v>
      </c>
      <c r="AZ61" s="76"/>
      <c r="BA61" s="21"/>
      <c r="BD61" s="55"/>
      <c r="BE61" s="55"/>
      <c r="BF61" s="55"/>
      <c r="BG61" s="55"/>
      <c r="BH61" s="55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5"/>
      <c r="K62" s="71">
        <v>442.53</v>
      </c>
      <c r="L62" s="73"/>
      <c r="M62" s="72">
        <v>141</v>
      </c>
      <c r="N62" s="46">
        <f t="shared" si="13"/>
        <v>42.3</v>
      </c>
      <c r="O62" s="46">
        <f t="shared" si="14"/>
        <v>265.52</v>
      </c>
      <c r="P62" s="46">
        <f t="shared" si="15"/>
        <v>0</v>
      </c>
      <c r="Q62" s="46">
        <f t="shared" si="16"/>
        <v>0</v>
      </c>
      <c r="R62" s="47">
        <f t="shared" si="17"/>
        <v>0.32</v>
      </c>
      <c r="S62" s="47">
        <f t="shared" si="5"/>
        <v>0</v>
      </c>
      <c r="T62" s="46">
        <f t="shared" si="6"/>
        <v>0</v>
      </c>
      <c r="U62" s="46">
        <f t="shared" si="18"/>
        <v>0</v>
      </c>
      <c r="V62" s="72">
        <v>17</v>
      </c>
      <c r="W62" s="46">
        <f t="shared" si="19"/>
        <v>4.25</v>
      </c>
      <c r="X62" s="22">
        <f t="shared" si="20"/>
        <v>42.3</v>
      </c>
      <c r="Y62" s="10">
        <f t="shared" si="21"/>
        <v>489.08</v>
      </c>
      <c r="Z62" s="71">
        <v>923397709.33000004</v>
      </c>
      <c r="AA62" s="72">
        <v>4445</v>
      </c>
      <c r="AB62" s="22">
        <f t="shared" si="7"/>
        <v>207738.52</v>
      </c>
      <c r="AC62" s="9">
        <f t="shared" si="8"/>
        <v>0.80985799999999997</v>
      </c>
      <c r="AD62" s="72">
        <v>85859</v>
      </c>
      <c r="AE62" s="9">
        <f t="shared" si="9"/>
        <v>0.62246000000000001</v>
      </c>
      <c r="AF62" s="9">
        <f t="shared" si="28"/>
        <v>0.246361</v>
      </c>
      <c r="AG62" s="49">
        <f t="shared" si="10"/>
        <v>0.246361</v>
      </c>
      <c r="AH62" s="50">
        <f t="shared" si="11"/>
        <v>0</v>
      </c>
      <c r="AI62" s="51">
        <f t="shared" si="22"/>
        <v>0.246361</v>
      </c>
      <c r="AJ62" s="72">
        <v>226</v>
      </c>
      <c r="AK62">
        <v>6</v>
      </c>
      <c r="AL62" s="21">
        <f t="shared" si="23"/>
        <v>135600</v>
      </c>
      <c r="AM62" s="72">
        <v>0</v>
      </c>
      <c r="AN62">
        <v>0</v>
      </c>
      <c r="AO62" s="21">
        <f t="shared" si="24"/>
        <v>0</v>
      </c>
      <c r="AP62" s="21">
        <f t="shared" si="12"/>
        <v>1388650</v>
      </c>
      <c r="AQ62" s="21">
        <f t="shared" si="25"/>
        <v>1524250</v>
      </c>
      <c r="AR62" s="48">
        <v>1675092</v>
      </c>
      <c r="AS62" s="48">
        <f t="shared" si="29"/>
        <v>1524250</v>
      </c>
      <c r="AT62" s="72">
        <v>1676105</v>
      </c>
      <c r="AU62" s="21">
        <f t="shared" si="30"/>
        <v>151855</v>
      </c>
      <c r="AV62" s="52" t="str">
        <f t="shared" si="32"/>
        <v>No</v>
      </c>
      <c r="AW62" s="48">
        <f t="shared" si="26"/>
        <v>0</v>
      </c>
      <c r="AX62" s="53">
        <f t="shared" si="27"/>
        <v>1676105</v>
      </c>
      <c r="AY62" s="54">
        <f t="shared" si="31"/>
        <v>1676105</v>
      </c>
      <c r="AZ62" s="76"/>
      <c r="BA62" s="21"/>
      <c r="BD62" s="55"/>
      <c r="BE62" s="55"/>
      <c r="BF62" s="55"/>
      <c r="BG62" s="55"/>
      <c r="BH62" s="55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5"/>
      <c r="K63" s="71">
        <v>1419.56</v>
      </c>
      <c r="L63" s="74"/>
      <c r="M63" s="72">
        <v>781</v>
      </c>
      <c r="N63" s="46">
        <f t="shared" si="13"/>
        <v>234.3</v>
      </c>
      <c r="O63" s="46">
        <f t="shared" si="14"/>
        <v>851.74</v>
      </c>
      <c r="P63" s="46">
        <f t="shared" si="15"/>
        <v>0</v>
      </c>
      <c r="Q63" s="46">
        <f t="shared" si="16"/>
        <v>0</v>
      </c>
      <c r="R63" s="47">
        <f t="shared" si="17"/>
        <v>0.55000000000000004</v>
      </c>
      <c r="S63" s="47">
        <f t="shared" si="5"/>
        <v>0</v>
      </c>
      <c r="T63" s="46">
        <f t="shared" si="6"/>
        <v>0</v>
      </c>
      <c r="U63" s="46">
        <f t="shared" si="18"/>
        <v>0</v>
      </c>
      <c r="V63" s="72">
        <v>92</v>
      </c>
      <c r="W63" s="46">
        <f t="shared" si="19"/>
        <v>23</v>
      </c>
      <c r="X63" s="22">
        <f t="shared" si="20"/>
        <v>234.3</v>
      </c>
      <c r="Y63" s="10">
        <f t="shared" si="21"/>
        <v>1676.86</v>
      </c>
      <c r="Z63" s="71">
        <v>1491792673.6700001</v>
      </c>
      <c r="AA63" s="72">
        <v>12358</v>
      </c>
      <c r="AB63" s="22">
        <f t="shared" si="7"/>
        <v>120714.73</v>
      </c>
      <c r="AC63" s="9">
        <f t="shared" si="8"/>
        <v>0.47060000000000002</v>
      </c>
      <c r="AD63" s="72">
        <v>69835</v>
      </c>
      <c r="AE63" s="9">
        <f t="shared" si="9"/>
        <v>0.50629000000000002</v>
      </c>
      <c r="AF63" s="9">
        <f t="shared" si="28"/>
        <v>0.51869299999999996</v>
      </c>
      <c r="AG63" s="49">
        <f t="shared" si="10"/>
        <v>0.51869299999999996</v>
      </c>
      <c r="AH63" s="50">
        <f t="shared" si="11"/>
        <v>0.05</v>
      </c>
      <c r="AI63" s="51">
        <f t="shared" si="22"/>
        <v>0.568693</v>
      </c>
      <c r="AJ63" s="72">
        <v>0</v>
      </c>
      <c r="AK63">
        <v>0</v>
      </c>
      <c r="AL63" s="21">
        <f t="shared" si="23"/>
        <v>0</v>
      </c>
      <c r="AM63" s="72">
        <v>0</v>
      </c>
      <c r="AN63">
        <v>0</v>
      </c>
      <c r="AO63" s="21">
        <f t="shared" si="24"/>
        <v>0</v>
      </c>
      <c r="AP63" s="21">
        <f t="shared" si="12"/>
        <v>10990454</v>
      </c>
      <c r="AQ63" s="21">
        <f t="shared" si="25"/>
        <v>10990454</v>
      </c>
      <c r="AR63" s="48">
        <v>7902388</v>
      </c>
      <c r="AS63" s="48">
        <f t="shared" si="29"/>
        <v>10990454</v>
      </c>
      <c r="AT63" s="72">
        <v>10597864</v>
      </c>
      <c r="AU63" s="21">
        <f t="shared" si="30"/>
        <v>392590</v>
      </c>
      <c r="AV63" s="52" t="str">
        <f t="shared" si="32"/>
        <v>Yes</v>
      </c>
      <c r="AW63" s="48">
        <f t="shared" si="26"/>
        <v>392590</v>
      </c>
      <c r="AX63" s="53">
        <f t="shared" si="27"/>
        <v>10990454</v>
      </c>
      <c r="AY63" s="54">
        <f t="shared" si="31"/>
        <v>10990454</v>
      </c>
      <c r="AZ63" s="76"/>
      <c r="BA63" s="21"/>
      <c r="BD63" s="55"/>
      <c r="BE63" s="55"/>
      <c r="BF63" s="55"/>
      <c r="BG63" s="55"/>
      <c r="BH63" s="55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5"/>
      <c r="K64" s="71">
        <v>879.09</v>
      </c>
      <c r="L64" s="73"/>
      <c r="M64" s="72">
        <v>138</v>
      </c>
      <c r="N64" s="46">
        <f t="shared" si="13"/>
        <v>41.4</v>
      </c>
      <c r="O64" s="46">
        <f t="shared" si="14"/>
        <v>527.45000000000005</v>
      </c>
      <c r="P64" s="46">
        <f t="shared" si="15"/>
        <v>0</v>
      </c>
      <c r="Q64" s="46">
        <f t="shared" si="16"/>
        <v>0</v>
      </c>
      <c r="R64" s="47">
        <f t="shared" si="17"/>
        <v>0.16</v>
      </c>
      <c r="S64" s="47">
        <f t="shared" si="5"/>
        <v>0</v>
      </c>
      <c r="T64" s="46">
        <f t="shared" si="6"/>
        <v>0</v>
      </c>
      <c r="U64" s="46">
        <f t="shared" si="18"/>
        <v>0</v>
      </c>
      <c r="V64" s="72">
        <v>14</v>
      </c>
      <c r="W64" s="46">
        <f t="shared" si="19"/>
        <v>3.5</v>
      </c>
      <c r="X64" s="22">
        <f t="shared" si="20"/>
        <v>41.4</v>
      </c>
      <c r="Y64" s="10">
        <f t="shared" si="21"/>
        <v>923.99</v>
      </c>
      <c r="Z64" s="71">
        <v>1299117202.3299999</v>
      </c>
      <c r="AA64" s="72">
        <v>7207</v>
      </c>
      <c r="AB64" s="22">
        <f t="shared" si="7"/>
        <v>180257.69</v>
      </c>
      <c r="AC64" s="9">
        <f t="shared" si="8"/>
        <v>0.70272599999999996</v>
      </c>
      <c r="AD64" s="72">
        <v>148095</v>
      </c>
      <c r="AE64" s="9">
        <f t="shared" si="9"/>
        <v>1.0736589999999999</v>
      </c>
      <c r="AF64" s="9">
        <f t="shared" si="28"/>
        <v>0.18599399999999999</v>
      </c>
      <c r="AG64" s="49">
        <f t="shared" si="10"/>
        <v>0.18599399999999999</v>
      </c>
      <c r="AH64" s="50">
        <f t="shared" si="11"/>
        <v>0</v>
      </c>
      <c r="AI64" s="51">
        <f t="shared" si="22"/>
        <v>0.18599399999999999</v>
      </c>
      <c r="AJ64" s="72">
        <v>886</v>
      </c>
      <c r="AK64">
        <v>13</v>
      </c>
      <c r="AL64" s="21">
        <f t="shared" si="23"/>
        <v>1151800</v>
      </c>
      <c r="AM64" s="72">
        <v>0</v>
      </c>
      <c r="AN64">
        <v>0</v>
      </c>
      <c r="AO64" s="21">
        <f t="shared" si="24"/>
        <v>0</v>
      </c>
      <c r="AP64" s="21">
        <f t="shared" si="12"/>
        <v>1980647</v>
      </c>
      <c r="AQ64" s="21">
        <f t="shared" si="25"/>
        <v>3132447</v>
      </c>
      <c r="AR64" s="48">
        <v>3895303</v>
      </c>
      <c r="AS64" s="48">
        <f t="shared" si="29"/>
        <v>3132447</v>
      </c>
      <c r="AT64" s="72">
        <v>3293232</v>
      </c>
      <c r="AU64" s="21">
        <f t="shared" si="30"/>
        <v>160785</v>
      </c>
      <c r="AV64" s="52" t="str">
        <f t="shared" si="32"/>
        <v>No</v>
      </c>
      <c r="AW64" s="48">
        <f t="shared" si="26"/>
        <v>0</v>
      </c>
      <c r="AX64" s="53">
        <f t="shared" si="27"/>
        <v>3293232</v>
      </c>
      <c r="AY64" s="54">
        <f t="shared" si="31"/>
        <v>3293232</v>
      </c>
      <c r="AZ64" s="76"/>
      <c r="BA64" s="21"/>
      <c r="BD64" s="55"/>
      <c r="BE64" s="55"/>
      <c r="BF64" s="55"/>
      <c r="BG64" s="55"/>
      <c r="BH64" s="55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5"/>
      <c r="K65" s="71">
        <v>205.07</v>
      </c>
      <c r="L65" s="73"/>
      <c r="M65" s="72">
        <v>47</v>
      </c>
      <c r="N65" s="46">
        <f t="shared" si="13"/>
        <v>14.1</v>
      </c>
      <c r="O65" s="46">
        <f t="shared" si="14"/>
        <v>123.04</v>
      </c>
      <c r="P65" s="46">
        <f t="shared" si="15"/>
        <v>0</v>
      </c>
      <c r="Q65" s="46">
        <f t="shared" si="16"/>
        <v>0</v>
      </c>
      <c r="R65" s="47">
        <f t="shared" si="17"/>
        <v>0.23</v>
      </c>
      <c r="S65" s="47">
        <f t="shared" si="5"/>
        <v>0</v>
      </c>
      <c r="T65" s="46">
        <f t="shared" si="6"/>
        <v>0</v>
      </c>
      <c r="U65" s="46">
        <f t="shared" si="18"/>
        <v>0</v>
      </c>
      <c r="V65" s="72">
        <v>5</v>
      </c>
      <c r="W65" s="46">
        <f t="shared" si="19"/>
        <v>1.25</v>
      </c>
      <c r="X65" s="22">
        <f t="shared" si="20"/>
        <v>14.1</v>
      </c>
      <c r="Y65" s="10">
        <f t="shared" si="21"/>
        <v>220.42</v>
      </c>
      <c r="Z65" s="71">
        <v>308911448</v>
      </c>
      <c r="AA65" s="72">
        <v>1675</v>
      </c>
      <c r="AB65" s="22">
        <f t="shared" si="7"/>
        <v>184424.75</v>
      </c>
      <c r="AC65" s="9">
        <f t="shared" si="8"/>
        <v>0.71897100000000003</v>
      </c>
      <c r="AD65" s="72">
        <v>100673</v>
      </c>
      <c r="AE65" s="9">
        <f t="shared" si="9"/>
        <v>0.72985900000000004</v>
      </c>
      <c r="AF65" s="9">
        <f t="shared" si="28"/>
        <v>0.27776299999999998</v>
      </c>
      <c r="AG65" s="49">
        <f t="shared" si="10"/>
        <v>0.27776299999999998</v>
      </c>
      <c r="AH65" s="50">
        <f t="shared" si="11"/>
        <v>0</v>
      </c>
      <c r="AI65" s="51">
        <f t="shared" si="22"/>
        <v>0.27776299999999998</v>
      </c>
      <c r="AJ65" s="72">
        <v>0</v>
      </c>
      <c r="AK65">
        <v>0</v>
      </c>
      <c r="AL65" s="21">
        <f t="shared" si="23"/>
        <v>0</v>
      </c>
      <c r="AM65" s="72">
        <v>42</v>
      </c>
      <c r="AN65">
        <v>4</v>
      </c>
      <c r="AO65" s="21">
        <f t="shared" si="24"/>
        <v>16800</v>
      </c>
      <c r="AP65" s="21">
        <f t="shared" si="12"/>
        <v>705613</v>
      </c>
      <c r="AQ65" s="21">
        <f t="shared" si="25"/>
        <v>722413</v>
      </c>
      <c r="AR65" s="48">
        <v>1091881</v>
      </c>
      <c r="AS65" s="48">
        <f t="shared" si="29"/>
        <v>722413</v>
      </c>
      <c r="AT65" s="72">
        <v>947176</v>
      </c>
      <c r="AU65" s="21">
        <f t="shared" si="30"/>
        <v>224763</v>
      </c>
      <c r="AV65" s="52" t="str">
        <f t="shared" si="32"/>
        <v>No</v>
      </c>
      <c r="AW65" s="48">
        <f t="shared" si="26"/>
        <v>0</v>
      </c>
      <c r="AX65" s="53">
        <f t="shared" si="27"/>
        <v>947176</v>
      </c>
      <c r="AY65" s="54">
        <f t="shared" si="31"/>
        <v>947176</v>
      </c>
      <c r="AZ65" s="76"/>
      <c r="BA65" s="21"/>
      <c r="BD65" s="55"/>
      <c r="BE65" s="55"/>
      <c r="BF65" s="55"/>
      <c r="BG65" s="55"/>
      <c r="BH65" s="55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5"/>
      <c r="K66" s="71">
        <v>880.21</v>
      </c>
      <c r="L66" s="73"/>
      <c r="M66" s="72">
        <v>143</v>
      </c>
      <c r="N66" s="46">
        <f t="shared" si="13"/>
        <v>42.9</v>
      </c>
      <c r="O66" s="46">
        <f t="shared" si="14"/>
        <v>528.13</v>
      </c>
      <c r="P66" s="46">
        <f t="shared" si="15"/>
        <v>0</v>
      </c>
      <c r="Q66" s="46">
        <f t="shared" si="16"/>
        <v>0</v>
      </c>
      <c r="R66" s="47">
        <f t="shared" si="17"/>
        <v>0.16</v>
      </c>
      <c r="S66" s="47">
        <f t="shared" si="5"/>
        <v>0</v>
      </c>
      <c r="T66" s="46">
        <f t="shared" si="6"/>
        <v>0</v>
      </c>
      <c r="U66" s="46">
        <f t="shared" si="18"/>
        <v>0</v>
      </c>
      <c r="V66" s="72">
        <v>20</v>
      </c>
      <c r="W66" s="46">
        <f t="shared" si="19"/>
        <v>5</v>
      </c>
      <c r="X66" s="22">
        <f t="shared" si="20"/>
        <v>42.9</v>
      </c>
      <c r="Y66" s="10">
        <f t="shared" si="21"/>
        <v>928.11</v>
      </c>
      <c r="Z66" s="71">
        <v>1099724344</v>
      </c>
      <c r="AA66" s="72">
        <v>5218</v>
      </c>
      <c r="AB66" s="22">
        <f t="shared" si="7"/>
        <v>210755.91</v>
      </c>
      <c r="AC66" s="9">
        <f t="shared" si="8"/>
        <v>0.82162199999999996</v>
      </c>
      <c r="AD66" s="72">
        <v>107478</v>
      </c>
      <c r="AE66" s="9">
        <f t="shared" si="9"/>
        <v>0.77919400000000005</v>
      </c>
      <c r="AF66" s="9">
        <f t="shared" si="28"/>
        <v>0.191106</v>
      </c>
      <c r="AG66" s="49">
        <f t="shared" si="10"/>
        <v>0.191106</v>
      </c>
      <c r="AH66" s="50">
        <f t="shared" si="11"/>
        <v>0</v>
      </c>
      <c r="AI66" s="51">
        <f t="shared" si="22"/>
        <v>0.191106</v>
      </c>
      <c r="AJ66" s="72">
        <v>0</v>
      </c>
      <c r="AK66">
        <v>0</v>
      </c>
      <c r="AL66" s="21">
        <f t="shared" si="23"/>
        <v>0</v>
      </c>
      <c r="AM66" s="72">
        <v>0</v>
      </c>
      <c r="AN66">
        <v>0</v>
      </c>
      <c r="AO66" s="21">
        <f t="shared" si="24"/>
        <v>0</v>
      </c>
      <c r="AP66" s="21">
        <f t="shared" si="12"/>
        <v>2044159</v>
      </c>
      <c r="AQ66" s="21">
        <f t="shared" si="25"/>
        <v>2044159</v>
      </c>
      <c r="AR66" s="48">
        <v>1439845</v>
      </c>
      <c r="AS66" s="48">
        <f t="shared" si="29"/>
        <v>2044159</v>
      </c>
      <c r="AT66" s="72">
        <v>1510105</v>
      </c>
      <c r="AU66" s="21">
        <f t="shared" si="30"/>
        <v>534054</v>
      </c>
      <c r="AV66" s="52" t="str">
        <f t="shared" si="32"/>
        <v>Yes</v>
      </c>
      <c r="AW66" s="48">
        <f t="shared" si="26"/>
        <v>534054</v>
      </c>
      <c r="AX66" s="53">
        <f t="shared" si="27"/>
        <v>2044159</v>
      </c>
      <c r="AY66" s="54">
        <f t="shared" si="31"/>
        <v>2044159</v>
      </c>
      <c r="AZ66" s="76"/>
      <c r="BA66" s="21"/>
      <c r="BD66" s="55"/>
      <c r="BE66" s="55"/>
      <c r="BF66" s="55"/>
      <c r="BG66" s="55"/>
      <c r="BH66" s="55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5"/>
      <c r="K67" s="71">
        <v>947.11</v>
      </c>
      <c r="L67" s="73"/>
      <c r="M67" s="72">
        <v>254</v>
      </c>
      <c r="N67" s="46">
        <f t="shared" si="13"/>
        <v>76.2</v>
      </c>
      <c r="O67" s="46">
        <f t="shared" si="14"/>
        <v>568.27</v>
      </c>
      <c r="P67" s="46">
        <f t="shared" si="15"/>
        <v>0</v>
      </c>
      <c r="Q67" s="46">
        <f t="shared" si="16"/>
        <v>0</v>
      </c>
      <c r="R67" s="47">
        <f t="shared" si="17"/>
        <v>0.27</v>
      </c>
      <c r="S67" s="47">
        <f t="shared" si="5"/>
        <v>0</v>
      </c>
      <c r="T67" s="46">
        <f t="shared" si="6"/>
        <v>0</v>
      </c>
      <c r="U67" s="46">
        <f t="shared" si="18"/>
        <v>0</v>
      </c>
      <c r="V67" s="72">
        <v>6</v>
      </c>
      <c r="W67" s="46">
        <f t="shared" si="19"/>
        <v>1.5</v>
      </c>
      <c r="X67" s="22">
        <f t="shared" si="20"/>
        <v>76.2</v>
      </c>
      <c r="Y67" s="10">
        <f t="shared" si="21"/>
        <v>1024.81</v>
      </c>
      <c r="Z67" s="71">
        <v>1671840303.3299999</v>
      </c>
      <c r="AA67" s="72">
        <v>8949</v>
      </c>
      <c r="AB67" s="22">
        <f t="shared" si="7"/>
        <v>186818.67</v>
      </c>
      <c r="AC67" s="9">
        <f t="shared" si="8"/>
        <v>0.72830300000000003</v>
      </c>
      <c r="AD67" s="72">
        <v>107096</v>
      </c>
      <c r="AE67" s="9">
        <f t="shared" si="9"/>
        <v>0.776424</v>
      </c>
      <c r="AF67" s="9">
        <f t="shared" si="28"/>
        <v>0.25726100000000002</v>
      </c>
      <c r="AG67" s="49">
        <f t="shared" si="10"/>
        <v>0.25726100000000002</v>
      </c>
      <c r="AH67" s="50">
        <f t="shared" si="11"/>
        <v>0</v>
      </c>
      <c r="AI67" s="51">
        <f t="shared" si="22"/>
        <v>0.25726100000000002</v>
      </c>
      <c r="AJ67" s="72">
        <v>0</v>
      </c>
      <c r="AK67">
        <v>0</v>
      </c>
      <c r="AL67" s="21">
        <f t="shared" si="23"/>
        <v>0</v>
      </c>
      <c r="AM67" s="72">
        <v>0</v>
      </c>
      <c r="AN67">
        <v>0</v>
      </c>
      <c r="AO67" s="21">
        <f t="shared" si="24"/>
        <v>0</v>
      </c>
      <c r="AP67" s="21">
        <f t="shared" si="12"/>
        <v>3038493</v>
      </c>
      <c r="AQ67" s="21">
        <f t="shared" si="25"/>
        <v>3038493</v>
      </c>
      <c r="AR67" s="48">
        <v>3686134</v>
      </c>
      <c r="AS67" s="48">
        <f t="shared" si="29"/>
        <v>3038493</v>
      </c>
      <c r="AT67" s="72">
        <v>3555957</v>
      </c>
      <c r="AU67" s="21">
        <f t="shared" si="30"/>
        <v>517464</v>
      </c>
      <c r="AV67" s="52" t="str">
        <f t="shared" si="32"/>
        <v>No</v>
      </c>
      <c r="AW67" s="48">
        <f t="shared" si="26"/>
        <v>0</v>
      </c>
      <c r="AX67" s="53">
        <f t="shared" si="27"/>
        <v>3555957</v>
      </c>
      <c r="AY67" s="54">
        <f t="shared" si="31"/>
        <v>3555957</v>
      </c>
      <c r="AZ67" s="76"/>
      <c r="BA67" s="21"/>
      <c r="BD67" s="55"/>
      <c r="BE67" s="55"/>
      <c r="BF67" s="55"/>
      <c r="BG67" s="55"/>
      <c r="BH67" s="55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5"/>
      <c r="K68" s="71">
        <v>1703.03</v>
      </c>
      <c r="L68" s="73"/>
      <c r="M68" s="72">
        <v>398</v>
      </c>
      <c r="N68" s="46">
        <f t="shared" si="13"/>
        <v>119.4</v>
      </c>
      <c r="O68" s="46">
        <f t="shared" si="14"/>
        <v>1021.82</v>
      </c>
      <c r="P68" s="46">
        <f t="shared" si="15"/>
        <v>0</v>
      </c>
      <c r="Q68" s="46">
        <f t="shared" si="16"/>
        <v>0</v>
      </c>
      <c r="R68" s="47">
        <f t="shared" si="17"/>
        <v>0.23</v>
      </c>
      <c r="S68" s="47">
        <f t="shared" si="5"/>
        <v>0</v>
      </c>
      <c r="T68" s="46">
        <f t="shared" si="6"/>
        <v>0</v>
      </c>
      <c r="U68" s="46">
        <f t="shared" si="18"/>
        <v>0</v>
      </c>
      <c r="V68" s="72">
        <v>17</v>
      </c>
      <c r="W68" s="46">
        <f t="shared" si="19"/>
        <v>4.25</v>
      </c>
      <c r="X68" s="22">
        <f t="shared" si="20"/>
        <v>119.4</v>
      </c>
      <c r="Y68" s="10">
        <f t="shared" si="21"/>
        <v>1826.68</v>
      </c>
      <c r="Z68" s="71">
        <v>2132251283.3299999</v>
      </c>
      <c r="AA68" s="72">
        <v>12960</v>
      </c>
      <c r="AB68" s="22">
        <f t="shared" si="7"/>
        <v>164525.56</v>
      </c>
      <c r="AC68" s="9">
        <f t="shared" si="8"/>
        <v>0.64139500000000005</v>
      </c>
      <c r="AD68" s="72">
        <v>116163</v>
      </c>
      <c r="AE68" s="9">
        <f t="shared" si="9"/>
        <v>0.84215799999999996</v>
      </c>
      <c r="AF68" s="9">
        <f t="shared" si="28"/>
        <v>0.29837599999999997</v>
      </c>
      <c r="AG68" s="49">
        <f t="shared" si="10"/>
        <v>0.29837599999999997</v>
      </c>
      <c r="AH68" s="50">
        <f t="shared" si="11"/>
        <v>0</v>
      </c>
      <c r="AI68" s="51">
        <f t="shared" si="22"/>
        <v>0.29837599999999997</v>
      </c>
      <c r="AJ68" s="72">
        <v>0</v>
      </c>
      <c r="AK68">
        <v>0</v>
      </c>
      <c r="AL68" s="21">
        <f t="shared" si="23"/>
        <v>0</v>
      </c>
      <c r="AM68" s="72">
        <v>0</v>
      </c>
      <c r="AN68">
        <v>0</v>
      </c>
      <c r="AO68" s="21">
        <f t="shared" si="24"/>
        <v>0</v>
      </c>
      <c r="AP68" s="21">
        <f t="shared" si="12"/>
        <v>6281557</v>
      </c>
      <c r="AQ68" s="21">
        <f t="shared" si="25"/>
        <v>6281557</v>
      </c>
      <c r="AR68" s="48">
        <v>7538993</v>
      </c>
      <c r="AS68" s="48">
        <f t="shared" si="29"/>
        <v>6281557</v>
      </c>
      <c r="AT68" s="72">
        <v>6960947</v>
      </c>
      <c r="AU68" s="21">
        <f t="shared" si="30"/>
        <v>679390</v>
      </c>
      <c r="AV68" s="52" t="str">
        <f t="shared" si="32"/>
        <v>No</v>
      </c>
      <c r="AW68" s="48">
        <f t="shared" si="26"/>
        <v>0</v>
      </c>
      <c r="AX68" s="53">
        <f t="shared" si="27"/>
        <v>6960947</v>
      </c>
      <c r="AY68" s="54">
        <f t="shared" si="31"/>
        <v>6960947</v>
      </c>
      <c r="AZ68" s="76"/>
      <c r="BA68" s="21"/>
      <c r="BD68" s="55"/>
      <c r="BE68" s="55"/>
      <c r="BF68" s="55"/>
      <c r="BG68" s="55"/>
      <c r="BH68" s="55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8</v>
      </c>
      <c r="H69" s="5">
        <v>43</v>
      </c>
      <c r="I69" s="2" t="s">
        <v>122</v>
      </c>
      <c r="J69" s="45"/>
      <c r="K69" s="71">
        <v>7964.72</v>
      </c>
      <c r="L69" s="74"/>
      <c r="M69" s="72">
        <v>5017</v>
      </c>
      <c r="N69" s="46">
        <f t="shared" si="13"/>
        <v>1505.1</v>
      </c>
      <c r="O69" s="46">
        <f t="shared" si="14"/>
        <v>4778.83</v>
      </c>
      <c r="P69" s="46">
        <f t="shared" si="15"/>
        <v>238.17000000000007</v>
      </c>
      <c r="Q69" s="46">
        <f t="shared" si="16"/>
        <v>35.729999999999997</v>
      </c>
      <c r="R69" s="47">
        <f t="shared" si="17"/>
        <v>0.63</v>
      </c>
      <c r="S69" s="47">
        <f t="shared" si="5"/>
        <v>3.0000000000000027E-2</v>
      </c>
      <c r="T69" s="46">
        <f t="shared" si="6"/>
        <v>238.94</v>
      </c>
      <c r="U69" s="46">
        <f t="shared" si="18"/>
        <v>35.840000000000003</v>
      </c>
      <c r="V69" s="72">
        <v>1421</v>
      </c>
      <c r="W69" s="46">
        <f t="shared" si="19"/>
        <v>355.25</v>
      </c>
      <c r="X69" s="22">
        <f t="shared" si="20"/>
        <v>1505.1</v>
      </c>
      <c r="Y69" s="10">
        <f t="shared" si="21"/>
        <v>9860.7999999999993</v>
      </c>
      <c r="Z69" s="71">
        <v>5311609918.6700001</v>
      </c>
      <c r="AA69" s="72">
        <v>50718</v>
      </c>
      <c r="AB69" s="22">
        <f t="shared" si="7"/>
        <v>104728.3</v>
      </c>
      <c r="AC69" s="9">
        <f t="shared" si="8"/>
        <v>0.40827799999999997</v>
      </c>
      <c r="AD69" s="72">
        <v>64244</v>
      </c>
      <c r="AE69" s="9">
        <f t="shared" si="9"/>
        <v>0.465756</v>
      </c>
      <c r="AF69" s="9">
        <f t="shared" si="28"/>
        <v>0.57447899999999996</v>
      </c>
      <c r="AG69" s="49">
        <f t="shared" si="10"/>
        <v>0.57447899999999996</v>
      </c>
      <c r="AH69" s="50">
        <f t="shared" si="11"/>
        <v>0.05</v>
      </c>
      <c r="AI69" s="51">
        <f t="shared" si="22"/>
        <v>0.62447900000000001</v>
      </c>
      <c r="AJ69" s="72">
        <v>0</v>
      </c>
      <c r="AK69">
        <v>0</v>
      </c>
      <c r="AL69" s="21">
        <f t="shared" si="23"/>
        <v>0</v>
      </c>
      <c r="AM69" s="72">
        <v>0</v>
      </c>
      <c r="AN69">
        <v>0</v>
      </c>
      <c r="AO69" s="21">
        <f t="shared" si="24"/>
        <v>0</v>
      </c>
      <c r="AP69" s="21">
        <f t="shared" si="12"/>
        <v>70969366</v>
      </c>
      <c r="AQ69" s="21">
        <f t="shared" si="25"/>
        <v>70969366</v>
      </c>
      <c r="AR69" s="48">
        <v>49075156</v>
      </c>
      <c r="AS69" s="48">
        <f t="shared" si="29"/>
        <v>70969366</v>
      </c>
      <c r="AT69" s="72">
        <v>66388025</v>
      </c>
      <c r="AU69" s="21">
        <f t="shared" si="30"/>
        <v>4581341</v>
      </c>
      <c r="AV69" s="52" t="str">
        <f t="shared" si="32"/>
        <v>Yes</v>
      </c>
      <c r="AW69" s="48">
        <f t="shared" si="26"/>
        <v>4581341</v>
      </c>
      <c r="AX69" s="53">
        <f t="shared" si="27"/>
        <v>70969366</v>
      </c>
      <c r="AY69" s="54">
        <f t="shared" si="31"/>
        <v>70969366</v>
      </c>
      <c r="AZ69" s="76"/>
      <c r="BA69" s="21"/>
      <c r="BD69" s="55"/>
      <c r="BE69" s="55"/>
      <c r="BF69" s="55"/>
      <c r="BG69" s="55"/>
      <c r="BH69" s="55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24</v>
      </c>
      <c r="H70" s="5">
        <v>44</v>
      </c>
      <c r="I70" s="2" t="s">
        <v>123</v>
      </c>
      <c r="J70" s="45"/>
      <c r="K70" s="71">
        <v>3033.89</v>
      </c>
      <c r="L70" s="74"/>
      <c r="M70" s="72">
        <v>1774</v>
      </c>
      <c r="N70" s="46">
        <f t="shared" si="13"/>
        <v>532.20000000000005</v>
      </c>
      <c r="O70" s="46">
        <f t="shared" si="14"/>
        <v>1820.33</v>
      </c>
      <c r="P70" s="46">
        <f t="shared" si="15"/>
        <v>0</v>
      </c>
      <c r="Q70" s="46">
        <f t="shared" si="16"/>
        <v>0</v>
      </c>
      <c r="R70" s="47">
        <f t="shared" si="17"/>
        <v>0.57999999999999996</v>
      </c>
      <c r="S70" s="47">
        <f t="shared" si="5"/>
        <v>0</v>
      </c>
      <c r="T70" s="46">
        <f t="shared" si="6"/>
        <v>0</v>
      </c>
      <c r="U70" s="46">
        <f t="shared" si="18"/>
        <v>0</v>
      </c>
      <c r="V70" s="72">
        <v>424</v>
      </c>
      <c r="W70" s="46">
        <f t="shared" si="19"/>
        <v>106</v>
      </c>
      <c r="X70" s="22">
        <f t="shared" si="20"/>
        <v>532.20000000000005</v>
      </c>
      <c r="Y70" s="10">
        <f t="shared" si="21"/>
        <v>3672.09</v>
      </c>
      <c r="Z70" s="71">
        <v>3729987516.3299999</v>
      </c>
      <c r="AA70" s="72">
        <v>27682</v>
      </c>
      <c r="AB70" s="22">
        <f t="shared" si="7"/>
        <v>134744.15</v>
      </c>
      <c r="AC70" s="9">
        <f t="shared" si="8"/>
        <v>0.52529300000000001</v>
      </c>
      <c r="AD70" s="72">
        <v>83489</v>
      </c>
      <c r="AE70" s="9">
        <f t="shared" si="9"/>
        <v>0.60527799999999998</v>
      </c>
      <c r="AF70" s="9">
        <f t="shared" si="28"/>
        <v>0.450712</v>
      </c>
      <c r="AG70" s="49">
        <f t="shared" si="10"/>
        <v>0.450712</v>
      </c>
      <c r="AH70" s="50">
        <f t="shared" si="11"/>
        <v>0</v>
      </c>
      <c r="AI70" s="51">
        <f t="shared" si="22"/>
        <v>0.450712</v>
      </c>
      <c r="AJ70" s="72">
        <v>0</v>
      </c>
      <c r="AK70">
        <v>0</v>
      </c>
      <c r="AL70" s="21">
        <f t="shared" si="23"/>
        <v>0</v>
      </c>
      <c r="AM70" s="72">
        <v>0</v>
      </c>
      <c r="AN70">
        <v>0</v>
      </c>
      <c r="AO70" s="21">
        <f t="shared" si="24"/>
        <v>0</v>
      </c>
      <c r="AP70" s="21">
        <f t="shared" si="12"/>
        <v>19074509</v>
      </c>
      <c r="AQ70" s="21">
        <f t="shared" si="25"/>
        <v>19074509</v>
      </c>
      <c r="AR70" s="48">
        <v>19595415</v>
      </c>
      <c r="AS70" s="48">
        <f t="shared" si="29"/>
        <v>20005957</v>
      </c>
      <c r="AT70" s="72">
        <v>20005957</v>
      </c>
      <c r="AU70" s="21">
        <f t="shared" si="30"/>
        <v>931448</v>
      </c>
      <c r="AV70" s="52" t="str">
        <f t="shared" si="32"/>
        <v>No</v>
      </c>
      <c r="AW70" s="48">
        <f t="shared" si="26"/>
        <v>0</v>
      </c>
      <c r="AX70" s="53">
        <f t="shared" si="27"/>
        <v>20005957</v>
      </c>
      <c r="AY70" s="54">
        <f t="shared" si="31"/>
        <v>20005957</v>
      </c>
      <c r="AZ70" s="76"/>
      <c r="BA70" s="21"/>
      <c r="BD70" s="55"/>
      <c r="BE70" s="55"/>
      <c r="BF70" s="55"/>
      <c r="BG70" s="55"/>
      <c r="BH70" s="55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5"/>
      <c r="K71" s="71">
        <v>2369.14</v>
      </c>
      <c r="L71" s="73"/>
      <c r="M71" s="72">
        <v>620</v>
      </c>
      <c r="N71" s="46">
        <f t="shared" si="13"/>
        <v>186</v>
      </c>
      <c r="O71" s="46">
        <f t="shared" si="14"/>
        <v>1421.48</v>
      </c>
      <c r="P71" s="46">
        <f t="shared" si="15"/>
        <v>0</v>
      </c>
      <c r="Q71" s="46">
        <f t="shared" si="16"/>
        <v>0</v>
      </c>
      <c r="R71" s="47">
        <f t="shared" si="17"/>
        <v>0.26</v>
      </c>
      <c r="S71" s="47">
        <f t="shared" si="5"/>
        <v>0</v>
      </c>
      <c r="T71" s="46">
        <f t="shared" si="6"/>
        <v>0</v>
      </c>
      <c r="U71" s="46">
        <f t="shared" si="18"/>
        <v>0</v>
      </c>
      <c r="V71" s="72">
        <v>103</v>
      </c>
      <c r="W71" s="46">
        <f t="shared" si="19"/>
        <v>25.75</v>
      </c>
      <c r="X71" s="22">
        <f t="shared" si="20"/>
        <v>186</v>
      </c>
      <c r="Y71" s="10">
        <f t="shared" si="21"/>
        <v>2580.89</v>
      </c>
      <c r="Z71" s="71">
        <v>4375644296.6700001</v>
      </c>
      <c r="AA71" s="72">
        <v>18788</v>
      </c>
      <c r="AB71" s="22">
        <f t="shared" si="7"/>
        <v>232895.69</v>
      </c>
      <c r="AC71" s="9">
        <f t="shared" si="8"/>
        <v>0.90793199999999996</v>
      </c>
      <c r="AD71" s="72">
        <v>105064</v>
      </c>
      <c r="AE71" s="9">
        <f t="shared" si="9"/>
        <v>0.76169299999999995</v>
      </c>
      <c r="AF71" s="9">
        <f t="shared" si="28"/>
        <v>0.13594000000000001</v>
      </c>
      <c r="AG71" s="49">
        <f t="shared" si="10"/>
        <v>0.13594000000000001</v>
      </c>
      <c r="AH71" s="50">
        <f t="shared" si="11"/>
        <v>0</v>
      </c>
      <c r="AI71" s="51">
        <f t="shared" si="22"/>
        <v>0.13594000000000001</v>
      </c>
      <c r="AJ71" s="72">
        <v>0</v>
      </c>
      <c r="AK71">
        <v>0</v>
      </c>
      <c r="AL71" s="21">
        <f t="shared" si="23"/>
        <v>0</v>
      </c>
      <c r="AM71" s="72">
        <v>0</v>
      </c>
      <c r="AN71">
        <v>0</v>
      </c>
      <c r="AO71" s="21">
        <f t="shared" si="24"/>
        <v>0</v>
      </c>
      <c r="AP71" s="21">
        <f t="shared" si="12"/>
        <v>4043502</v>
      </c>
      <c r="AQ71" s="21">
        <f t="shared" si="25"/>
        <v>4043502</v>
      </c>
      <c r="AR71" s="48">
        <v>6918462</v>
      </c>
      <c r="AS71" s="48">
        <f t="shared" si="29"/>
        <v>4043502</v>
      </c>
      <c r="AT71" s="72">
        <v>6076507</v>
      </c>
      <c r="AU71" s="21">
        <f t="shared" si="30"/>
        <v>2033005</v>
      </c>
      <c r="AV71" s="52" t="str">
        <f t="shared" si="32"/>
        <v>No</v>
      </c>
      <c r="AW71" s="48">
        <f t="shared" si="26"/>
        <v>0</v>
      </c>
      <c r="AX71" s="53">
        <f t="shared" si="27"/>
        <v>6076507</v>
      </c>
      <c r="AY71" s="54">
        <f t="shared" si="31"/>
        <v>6076507</v>
      </c>
      <c r="AZ71" s="76"/>
      <c r="BA71" s="21"/>
      <c r="BD71" s="55"/>
      <c r="BE71" s="55"/>
      <c r="BF71" s="55"/>
      <c r="BG71" s="55"/>
      <c r="BH71" s="55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5"/>
      <c r="K72" s="71">
        <v>1248.57</v>
      </c>
      <c r="L72" s="73"/>
      <c r="M72" s="72">
        <v>106</v>
      </c>
      <c r="N72" s="46">
        <f t="shared" si="13"/>
        <v>31.8</v>
      </c>
      <c r="O72" s="46">
        <f t="shared" si="14"/>
        <v>749.14</v>
      </c>
      <c r="P72" s="46">
        <f t="shared" si="15"/>
        <v>0</v>
      </c>
      <c r="Q72" s="46">
        <f t="shared" si="16"/>
        <v>0</v>
      </c>
      <c r="R72" s="47">
        <f t="shared" si="17"/>
        <v>0.08</v>
      </c>
      <c r="S72" s="47">
        <f t="shared" si="5"/>
        <v>0</v>
      </c>
      <c r="T72" s="46">
        <f t="shared" si="6"/>
        <v>0</v>
      </c>
      <c r="U72" s="46">
        <f t="shared" si="18"/>
        <v>0</v>
      </c>
      <c r="V72" s="72">
        <v>33</v>
      </c>
      <c r="W72" s="46">
        <f t="shared" si="19"/>
        <v>8.25</v>
      </c>
      <c r="X72" s="22">
        <f t="shared" si="20"/>
        <v>31.8</v>
      </c>
      <c r="Y72" s="10">
        <f t="shared" si="21"/>
        <v>1288.6199999999999</v>
      </c>
      <c r="Z72" s="71">
        <v>2307946074</v>
      </c>
      <c r="AA72" s="72">
        <v>7630</v>
      </c>
      <c r="AB72" s="22">
        <f t="shared" si="7"/>
        <v>302483.09999999998</v>
      </c>
      <c r="AC72" s="9">
        <f t="shared" si="8"/>
        <v>1.1792149999999999</v>
      </c>
      <c r="AD72" s="72">
        <v>181934</v>
      </c>
      <c r="AE72" s="9">
        <f t="shared" si="9"/>
        <v>1.3189850000000001</v>
      </c>
      <c r="AF72" s="9">
        <f t="shared" si="28"/>
        <v>-0.22114600000000001</v>
      </c>
      <c r="AG72" s="49">
        <f t="shared" si="10"/>
        <v>0.01</v>
      </c>
      <c r="AH72" s="50">
        <f t="shared" si="11"/>
        <v>0</v>
      </c>
      <c r="AI72" s="51">
        <f t="shared" si="22"/>
        <v>0.01</v>
      </c>
      <c r="AJ72" s="72">
        <v>384</v>
      </c>
      <c r="AK72">
        <v>4</v>
      </c>
      <c r="AL72" s="21">
        <f t="shared" si="23"/>
        <v>153600</v>
      </c>
      <c r="AM72" s="72">
        <v>0</v>
      </c>
      <c r="AN72">
        <v>0</v>
      </c>
      <c r="AO72" s="21">
        <f t="shared" si="24"/>
        <v>0</v>
      </c>
      <c r="AP72" s="21">
        <f t="shared" si="12"/>
        <v>148513</v>
      </c>
      <c r="AQ72" s="21">
        <f t="shared" si="25"/>
        <v>302113</v>
      </c>
      <c r="AR72" s="48">
        <v>177907</v>
      </c>
      <c r="AS72" s="48">
        <f t="shared" si="29"/>
        <v>302113</v>
      </c>
      <c r="AT72" s="72">
        <v>279493</v>
      </c>
      <c r="AU72" s="21">
        <f t="shared" si="30"/>
        <v>22620</v>
      </c>
      <c r="AV72" s="52" t="str">
        <f t="shared" si="32"/>
        <v>Yes</v>
      </c>
      <c r="AW72" s="48">
        <f t="shared" si="26"/>
        <v>22620</v>
      </c>
      <c r="AX72" s="53">
        <f t="shared" si="27"/>
        <v>302113</v>
      </c>
      <c r="AY72" s="54">
        <f t="shared" si="31"/>
        <v>302113</v>
      </c>
      <c r="AZ72" s="76"/>
      <c r="BA72" s="21"/>
      <c r="BD72" s="55"/>
      <c r="BE72" s="55"/>
      <c r="BF72" s="55"/>
      <c r="BG72" s="55"/>
      <c r="BH72" s="55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39</v>
      </c>
      <c r="H73" s="5">
        <v>47</v>
      </c>
      <c r="I73" s="2" t="s">
        <v>126</v>
      </c>
      <c r="J73" s="45"/>
      <c r="K73" s="71">
        <v>1078.75</v>
      </c>
      <c r="L73" s="74"/>
      <c r="M73" s="72">
        <v>582</v>
      </c>
      <c r="N73" s="46">
        <f t="shared" si="13"/>
        <v>174.6</v>
      </c>
      <c r="O73" s="46">
        <f t="shared" si="14"/>
        <v>647.25</v>
      </c>
      <c r="P73" s="46">
        <f t="shared" si="15"/>
        <v>0</v>
      </c>
      <c r="Q73" s="46">
        <f t="shared" si="16"/>
        <v>0</v>
      </c>
      <c r="R73" s="47">
        <f t="shared" si="17"/>
        <v>0.54</v>
      </c>
      <c r="S73" s="47">
        <f t="shared" si="5"/>
        <v>0</v>
      </c>
      <c r="T73" s="46">
        <f t="shared" si="6"/>
        <v>0</v>
      </c>
      <c r="U73" s="46">
        <f t="shared" si="18"/>
        <v>0</v>
      </c>
      <c r="V73" s="72">
        <v>60</v>
      </c>
      <c r="W73" s="46">
        <f t="shared" si="19"/>
        <v>15</v>
      </c>
      <c r="X73" s="22">
        <f t="shared" si="20"/>
        <v>174.6</v>
      </c>
      <c r="Y73" s="10">
        <f t="shared" si="21"/>
        <v>1268.3499999999999</v>
      </c>
      <c r="Z73" s="71">
        <v>1888370129</v>
      </c>
      <c r="AA73" s="72">
        <v>11176</v>
      </c>
      <c r="AB73" s="22">
        <f t="shared" si="7"/>
        <v>168966.55</v>
      </c>
      <c r="AC73" s="9">
        <f t="shared" si="8"/>
        <v>0.65870799999999996</v>
      </c>
      <c r="AD73" s="72">
        <v>90480</v>
      </c>
      <c r="AE73" s="9">
        <f t="shared" si="9"/>
        <v>0.65596200000000005</v>
      </c>
      <c r="AF73" s="9">
        <f t="shared" si="28"/>
        <v>0.34211599999999998</v>
      </c>
      <c r="AG73" s="49">
        <f t="shared" si="10"/>
        <v>0.34211599999999998</v>
      </c>
      <c r="AH73" s="50">
        <f t="shared" si="11"/>
        <v>0</v>
      </c>
      <c r="AI73" s="51">
        <f t="shared" si="22"/>
        <v>0.34211599999999998</v>
      </c>
      <c r="AJ73" s="72">
        <v>0</v>
      </c>
      <c r="AK73">
        <v>0</v>
      </c>
      <c r="AL73" s="21">
        <f t="shared" si="23"/>
        <v>0</v>
      </c>
      <c r="AM73" s="72">
        <v>0</v>
      </c>
      <c r="AN73">
        <v>0</v>
      </c>
      <c r="AO73" s="21">
        <f t="shared" si="24"/>
        <v>0</v>
      </c>
      <c r="AP73" s="21">
        <f t="shared" si="12"/>
        <v>5000961</v>
      </c>
      <c r="AQ73" s="21">
        <f t="shared" si="25"/>
        <v>5000961</v>
      </c>
      <c r="AR73" s="48">
        <v>5669122</v>
      </c>
      <c r="AS73" s="48">
        <f t="shared" si="29"/>
        <v>5669122</v>
      </c>
      <c r="AT73" s="72">
        <v>5669122</v>
      </c>
      <c r="AU73" s="21">
        <f t="shared" si="30"/>
        <v>668161</v>
      </c>
      <c r="AV73" s="52" t="str">
        <f t="shared" si="32"/>
        <v>No</v>
      </c>
      <c r="AW73" s="48">
        <f t="shared" si="26"/>
        <v>0</v>
      </c>
      <c r="AX73" s="53">
        <f t="shared" si="27"/>
        <v>5669122</v>
      </c>
      <c r="AY73" s="54">
        <f t="shared" si="31"/>
        <v>5669122</v>
      </c>
      <c r="AZ73" s="76"/>
      <c r="BA73" s="21"/>
      <c r="BD73" s="55"/>
      <c r="BE73" s="55"/>
      <c r="BF73" s="55"/>
      <c r="BG73" s="55"/>
      <c r="BH73" s="55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5"/>
      <c r="K74" s="71">
        <v>2493.41</v>
      </c>
      <c r="L74" s="73"/>
      <c r="M74" s="72">
        <v>511</v>
      </c>
      <c r="N74" s="46">
        <f t="shared" si="13"/>
        <v>153.30000000000001</v>
      </c>
      <c r="O74" s="46">
        <f t="shared" si="14"/>
        <v>1496.05</v>
      </c>
      <c r="P74" s="46">
        <f t="shared" si="15"/>
        <v>0</v>
      </c>
      <c r="Q74" s="46">
        <f t="shared" si="16"/>
        <v>0</v>
      </c>
      <c r="R74" s="47">
        <f t="shared" si="17"/>
        <v>0.2</v>
      </c>
      <c r="S74" s="47">
        <f t="shared" si="5"/>
        <v>0</v>
      </c>
      <c r="T74" s="46">
        <f t="shared" si="6"/>
        <v>0</v>
      </c>
      <c r="U74" s="46">
        <f t="shared" si="18"/>
        <v>0</v>
      </c>
      <c r="V74" s="72">
        <v>50</v>
      </c>
      <c r="W74" s="46">
        <f t="shared" si="19"/>
        <v>12.5</v>
      </c>
      <c r="X74" s="22">
        <f t="shared" si="20"/>
        <v>153.30000000000001</v>
      </c>
      <c r="Y74" s="10">
        <f t="shared" si="21"/>
        <v>2659.21</v>
      </c>
      <c r="Z74" s="71">
        <v>2631023954.3299999</v>
      </c>
      <c r="AA74" s="72">
        <v>16977</v>
      </c>
      <c r="AB74" s="22">
        <f t="shared" si="7"/>
        <v>154975.79</v>
      </c>
      <c r="AC74" s="9">
        <f t="shared" si="8"/>
        <v>0.60416499999999995</v>
      </c>
      <c r="AD74" s="72">
        <v>124495</v>
      </c>
      <c r="AE74" s="9">
        <f t="shared" si="9"/>
        <v>0.902563</v>
      </c>
      <c r="AF74" s="9">
        <f t="shared" si="28"/>
        <v>0.30631599999999998</v>
      </c>
      <c r="AG74" s="49">
        <f t="shared" si="10"/>
        <v>0.30631599999999998</v>
      </c>
      <c r="AH74" s="50">
        <f t="shared" si="11"/>
        <v>0</v>
      </c>
      <c r="AI74" s="51">
        <f t="shared" si="22"/>
        <v>0.30631599999999998</v>
      </c>
      <c r="AJ74" s="72">
        <v>0</v>
      </c>
      <c r="AK74">
        <v>0</v>
      </c>
      <c r="AL74" s="21">
        <f t="shared" si="23"/>
        <v>0</v>
      </c>
      <c r="AM74" s="72">
        <v>0</v>
      </c>
      <c r="AN74">
        <v>0</v>
      </c>
      <c r="AO74" s="21">
        <f t="shared" si="24"/>
        <v>0</v>
      </c>
      <c r="AP74" s="21">
        <f t="shared" si="12"/>
        <v>9387788</v>
      </c>
      <c r="AQ74" s="21">
        <f t="shared" si="25"/>
        <v>9387788</v>
      </c>
      <c r="AR74" s="48">
        <v>9684435</v>
      </c>
      <c r="AS74" s="48">
        <f t="shared" si="29"/>
        <v>9387788</v>
      </c>
      <c r="AT74" s="72">
        <v>10341646</v>
      </c>
      <c r="AU74" s="21">
        <f t="shared" si="30"/>
        <v>953858</v>
      </c>
      <c r="AV74" s="52" t="str">
        <f t="shared" si="32"/>
        <v>No</v>
      </c>
      <c r="AW74" s="48">
        <f t="shared" si="26"/>
        <v>0</v>
      </c>
      <c r="AX74" s="53">
        <f t="shared" si="27"/>
        <v>10341646</v>
      </c>
      <c r="AY74" s="54">
        <f t="shared" si="31"/>
        <v>10341646</v>
      </c>
      <c r="AZ74" s="76"/>
      <c r="BA74" s="21"/>
      <c r="BD74" s="55"/>
      <c r="BE74" s="55"/>
      <c r="BF74" s="55"/>
      <c r="BG74" s="55"/>
      <c r="BH74" s="55"/>
    </row>
    <row r="75" spans="1:60" x14ac:dyDescent="0.5">
      <c r="A75" s="5" t="s">
        <v>99</v>
      </c>
      <c r="B75" s="5"/>
      <c r="C75" s="57">
        <v>1</v>
      </c>
      <c r="D75" s="57">
        <v>1</v>
      </c>
      <c r="E75" s="33"/>
      <c r="F75" s="2">
        <v>9</v>
      </c>
      <c r="G75">
        <v>33</v>
      </c>
      <c r="H75" s="5">
        <v>49</v>
      </c>
      <c r="I75" s="2" t="s">
        <v>128</v>
      </c>
      <c r="J75" s="45"/>
      <c r="K75" s="71">
        <v>4853.21</v>
      </c>
      <c r="L75" s="74"/>
      <c r="M75" s="72">
        <v>2415</v>
      </c>
      <c r="N75" s="46">
        <f t="shared" si="13"/>
        <v>724.5</v>
      </c>
      <c r="O75" s="46">
        <f t="shared" si="14"/>
        <v>2911.93</v>
      </c>
      <c r="P75" s="46">
        <f t="shared" si="15"/>
        <v>0</v>
      </c>
      <c r="Q75" s="46">
        <f t="shared" si="16"/>
        <v>0</v>
      </c>
      <c r="R75" s="47">
        <f t="shared" si="17"/>
        <v>0.5</v>
      </c>
      <c r="S75" s="47">
        <f t="shared" si="5"/>
        <v>0</v>
      </c>
      <c r="T75" s="46">
        <f t="shared" si="6"/>
        <v>0</v>
      </c>
      <c r="U75" s="46">
        <f t="shared" si="18"/>
        <v>0</v>
      </c>
      <c r="V75" s="72">
        <v>194</v>
      </c>
      <c r="W75" s="46">
        <f t="shared" si="19"/>
        <v>48.5</v>
      </c>
      <c r="X75" s="22">
        <f t="shared" si="20"/>
        <v>724.5</v>
      </c>
      <c r="Y75" s="10">
        <f t="shared" si="21"/>
        <v>5626.21</v>
      </c>
      <c r="Z75" s="71">
        <v>5550865510.6700001</v>
      </c>
      <c r="AA75" s="72">
        <v>41245</v>
      </c>
      <c r="AB75" s="22">
        <f t="shared" si="7"/>
        <v>134582.75</v>
      </c>
      <c r="AC75" s="9">
        <f t="shared" si="8"/>
        <v>0.52466400000000002</v>
      </c>
      <c r="AD75" s="72">
        <v>90741</v>
      </c>
      <c r="AE75" s="9">
        <f t="shared" si="9"/>
        <v>0.65785400000000005</v>
      </c>
      <c r="AF75" s="9">
        <f t="shared" si="28"/>
        <v>0.43537900000000002</v>
      </c>
      <c r="AG75" s="49">
        <f t="shared" si="10"/>
        <v>0.43537900000000002</v>
      </c>
      <c r="AH75" s="50">
        <f t="shared" si="11"/>
        <v>0</v>
      </c>
      <c r="AI75" s="51">
        <f t="shared" si="22"/>
        <v>0.43537900000000002</v>
      </c>
      <c r="AJ75" s="72">
        <v>0</v>
      </c>
      <c r="AK75">
        <v>0</v>
      </c>
      <c r="AL75" s="21">
        <f t="shared" si="23"/>
        <v>0</v>
      </c>
      <c r="AM75" s="72">
        <v>0</v>
      </c>
      <c r="AN75">
        <v>0</v>
      </c>
      <c r="AO75" s="21">
        <f t="shared" si="24"/>
        <v>0</v>
      </c>
      <c r="AP75" s="21">
        <f t="shared" si="12"/>
        <v>28230876</v>
      </c>
      <c r="AQ75" s="21">
        <f t="shared" si="25"/>
        <v>28230876</v>
      </c>
      <c r="AR75" s="48">
        <v>28585010</v>
      </c>
      <c r="AS75" s="48">
        <f t="shared" si="29"/>
        <v>29823645</v>
      </c>
      <c r="AT75" s="72">
        <v>29823645</v>
      </c>
      <c r="AU75" s="21">
        <f t="shared" si="30"/>
        <v>1592769</v>
      </c>
      <c r="AV75" s="52" t="str">
        <f t="shared" si="32"/>
        <v>No</v>
      </c>
      <c r="AW75" s="48">
        <f t="shared" si="26"/>
        <v>0</v>
      </c>
      <c r="AX75" s="53">
        <f t="shared" si="27"/>
        <v>29823645</v>
      </c>
      <c r="AY75" s="54">
        <f t="shared" si="31"/>
        <v>29823645</v>
      </c>
      <c r="AZ75" s="76"/>
      <c r="BA75" s="21"/>
      <c r="BD75" s="55"/>
      <c r="BE75" s="55"/>
      <c r="BF75" s="55"/>
      <c r="BG75" s="55"/>
      <c r="BH75" s="55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5"/>
      <c r="K76" s="71">
        <v>515.57000000000005</v>
      </c>
      <c r="L76" s="73"/>
      <c r="M76" s="72">
        <v>112</v>
      </c>
      <c r="N76" s="46">
        <f t="shared" si="13"/>
        <v>33.6</v>
      </c>
      <c r="O76" s="46">
        <f t="shared" si="14"/>
        <v>309.33999999999997</v>
      </c>
      <c r="P76" s="46">
        <f t="shared" si="15"/>
        <v>0</v>
      </c>
      <c r="Q76" s="46">
        <f t="shared" si="16"/>
        <v>0</v>
      </c>
      <c r="R76" s="47">
        <f t="shared" si="17"/>
        <v>0.22</v>
      </c>
      <c r="S76" s="47">
        <f t="shared" si="5"/>
        <v>0</v>
      </c>
      <c r="T76" s="46">
        <f t="shared" si="6"/>
        <v>0</v>
      </c>
      <c r="U76" s="46">
        <f t="shared" si="18"/>
        <v>0</v>
      </c>
      <c r="V76" s="72">
        <v>16</v>
      </c>
      <c r="W76" s="46">
        <f t="shared" si="19"/>
        <v>4</v>
      </c>
      <c r="X76" s="22">
        <f t="shared" si="20"/>
        <v>33.6</v>
      </c>
      <c r="Y76" s="10">
        <f t="shared" si="21"/>
        <v>553.17000000000007</v>
      </c>
      <c r="Z76" s="71">
        <v>2151119350.3299999</v>
      </c>
      <c r="AA76" s="72">
        <v>6793</v>
      </c>
      <c r="AB76" s="22">
        <f t="shared" si="7"/>
        <v>316667.06</v>
      </c>
      <c r="AC76" s="9">
        <f t="shared" si="8"/>
        <v>1.2345109999999999</v>
      </c>
      <c r="AD76" s="72">
        <v>96734</v>
      </c>
      <c r="AE76" s="9">
        <f t="shared" si="9"/>
        <v>0.70130199999999998</v>
      </c>
      <c r="AF76" s="9">
        <f t="shared" si="28"/>
        <v>-7.4548000000000003E-2</v>
      </c>
      <c r="AG76" s="49">
        <f t="shared" si="10"/>
        <v>0.01</v>
      </c>
      <c r="AH76" s="50">
        <f t="shared" si="11"/>
        <v>0</v>
      </c>
      <c r="AI76" s="51">
        <f t="shared" si="22"/>
        <v>0.01</v>
      </c>
      <c r="AJ76" s="72">
        <v>253</v>
      </c>
      <c r="AK76">
        <v>6</v>
      </c>
      <c r="AL76" s="21">
        <f t="shared" si="23"/>
        <v>151800</v>
      </c>
      <c r="AM76" s="72">
        <v>0</v>
      </c>
      <c r="AN76">
        <v>0</v>
      </c>
      <c r="AO76" s="21">
        <f t="shared" si="24"/>
        <v>0</v>
      </c>
      <c r="AP76" s="21">
        <f t="shared" si="12"/>
        <v>63753</v>
      </c>
      <c r="AQ76" s="21">
        <f t="shared" si="25"/>
        <v>215553</v>
      </c>
      <c r="AR76" s="48">
        <v>105052</v>
      </c>
      <c r="AS76" s="48">
        <f t="shared" si="29"/>
        <v>215553</v>
      </c>
      <c r="AT76" s="72">
        <v>213526</v>
      </c>
      <c r="AU76" s="21">
        <f t="shared" si="30"/>
        <v>2027</v>
      </c>
      <c r="AV76" s="52" t="str">
        <f t="shared" si="32"/>
        <v>Yes</v>
      </c>
      <c r="AW76" s="48">
        <f t="shared" si="26"/>
        <v>2027</v>
      </c>
      <c r="AX76" s="53">
        <f t="shared" si="27"/>
        <v>215553</v>
      </c>
      <c r="AY76" s="54">
        <f t="shared" si="31"/>
        <v>215553</v>
      </c>
      <c r="AZ76" s="76"/>
      <c r="BA76" s="21"/>
      <c r="BD76" s="55"/>
      <c r="BE76" s="55"/>
      <c r="BF76" s="55"/>
      <c r="BG76" s="55"/>
      <c r="BH76" s="55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5"/>
      <c r="K77" s="71">
        <v>9095.2800000000007</v>
      </c>
      <c r="L77" s="73"/>
      <c r="M77" s="72">
        <v>1584</v>
      </c>
      <c r="N77" s="46">
        <f t="shared" si="13"/>
        <v>475.2</v>
      </c>
      <c r="O77" s="46">
        <f t="shared" si="14"/>
        <v>5457.17</v>
      </c>
      <c r="P77" s="46">
        <f t="shared" si="15"/>
        <v>0</v>
      </c>
      <c r="Q77" s="46">
        <f t="shared" si="16"/>
        <v>0</v>
      </c>
      <c r="R77" s="47">
        <f t="shared" si="17"/>
        <v>0.17</v>
      </c>
      <c r="S77" s="47">
        <f t="shared" si="5"/>
        <v>0</v>
      </c>
      <c r="T77" s="46">
        <f t="shared" si="6"/>
        <v>0</v>
      </c>
      <c r="U77" s="46">
        <f t="shared" si="18"/>
        <v>0</v>
      </c>
      <c r="V77" s="72">
        <v>337</v>
      </c>
      <c r="W77" s="46">
        <f t="shared" si="19"/>
        <v>84.25</v>
      </c>
      <c r="X77" s="22">
        <f t="shared" si="20"/>
        <v>475.2</v>
      </c>
      <c r="Y77" s="10">
        <f t="shared" si="21"/>
        <v>9654.7300000000014</v>
      </c>
      <c r="Z77" s="71">
        <v>19919614070.669998</v>
      </c>
      <c r="AA77" s="72">
        <v>62871</v>
      </c>
      <c r="AB77" s="22">
        <f t="shared" si="7"/>
        <v>316833.09999999998</v>
      </c>
      <c r="AC77" s="9">
        <f t="shared" si="8"/>
        <v>1.235158</v>
      </c>
      <c r="AD77" s="72">
        <v>165316</v>
      </c>
      <c r="AE77" s="9">
        <f t="shared" si="9"/>
        <v>1.198507</v>
      </c>
      <c r="AF77" s="9">
        <f t="shared" si="28"/>
        <v>-0.224163</v>
      </c>
      <c r="AG77" s="49">
        <f t="shared" si="10"/>
        <v>0.01</v>
      </c>
      <c r="AH77" s="50">
        <f t="shared" si="11"/>
        <v>0</v>
      </c>
      <c r="AI77" s="51">
        <f t="shared" si="22"/>
        <v>0.01</v>
      </c>
      <c r="AJ77" s="72">
        <v>0</v>
      </c>
      <c r="AK77">
        <v>0</v>
      </c>
      <c r="AL77" s="21">
        <f t="shared" si="23"/>
        <v>0</v>
      </c>
      <c r="AM77" s="72">
        <v>0</v>
      </c>
      <c r="AN77">
        <v>0</v>
      </c>
      <c r="AO77" s="21">
        <f t="shared" si="24"/>
        <v>0</v>
      </c>
      <c r="AP77" s="21">
        <f t="shared" si="12"/>
        <v>1112708</v>
      </c>
      <c r="AQ77" s="21">
        <f t="shared" si="25"/>
        <v>1112708</v>
      </c>
      <c r="AR77" s="48">
        <v>1087165</v>
      </c>
      <c r="AS77" s="48">
        <f t="shared" si="29"/>
        <v>1112708</v>
      </c>
      <c r="AT77" s="72">
        <v>1131021</v>
      </c>
      <c r="AU77" s="21">
        <f t="shared" si="30"/>
        <v>18313</v>
      </c>
      <c r="AV77" s="52" t="str">
        <f t="shared" si="32"/>
        <v>No</v>
      </c>
      <c r="AW77" s="48">
        <f t="shared" si="26"/>
        <v>0</v>
      </c>
      <c r="AX77" s="53">
        <f t="shared" si="27"/>
        <v>1131021</v>
      </c>
      <c r="AY77" s="54">
        <f t="shared" si="31"/>
        <v>1131021</v>
      </c>
      <c r="AZ77" s="76"/>
      <c r="BA77" s="21"/>
      <c r="BD77" s="55"/>
      <c r="BE77" s="55"/>
      <c r="BF77" s="55"/>
      <c r="BG77" s="55"/>
      <c r="BH77" s="55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5"/>
      <c r="K78" s="71">
        <v>4141.59</v>
      </c>
      <c r="L78" s="73"/>
      <c r="M78" s="72">
        <v>750</v>
      </c>
      <c r="N78" s="46">
        <f t="shared" si="13"/>
        <v>225</v>
      </c>
      <c r="O78" s="46">
        <f t="shared" si="14"/>
        <v>2484.9499999999998</v>
      </c>
      <c r="P78" s="46">
        <f t="shared" si="15"/>
        <v>0</v>
      </c>
      <c r="Q78" s="46">
        <f t="shared" si="16"/>
        <v>0</v>
      </c>
      <c r="R78" s="47">
        <f t="shared" si="17"/>
        <v>0.18</v>
      </c>
      <c r="S78" s="47">
        <f t="shared" si="5"/>
        <v>0</v>
      </c>
      <c r="T78" s="46">
        <f t="shared" si="6"/>
        <v>0</v>
      </c>
      <c r="U78" s="46">
        <f t="shared" si="18"/>
        <v>0</v>
      </c>
      <c r="V78" s="72">
        <v>232</v>
      </c>
      <c r="W78" s="46">
        <f t="shared" si="19"/>
        <v>58</v>
      </c>
      <c r="X78" s="22">
        <f t="shared" si="20"/>
        <v>225</v>
      </c>
      <c r="Y78" s="10">
        <f t="shared" si="21"/>
        <v>4424.59</v>
      </c>
      <c r="Z78" s="71">
        <v>6561510015</v>
      </c>
      <c r="AA78" s="72">
        <v>26728</v>
      </c>
      <c r="AB78" s="22">
        <f t="shared" si="7"/>
        <v>245491.99</v>
      </c>
      <c r="AC78" s="9">
        <f t="shared" si="8"/>
        <v>0.95703800000000006</v>
      </c>
      <c r="AD78" s="72">
        <v>118329</v>
      </c>
      <c r="AE78" s="9">
        <f t="shared" si="9"/>
        <v>0.85786099999999998</v>
      </c>
      <c r="AF78" s="9">
        <f t="shared" si="28"/>
        <v>7.2715000000000002E-2</v>
      </c>
      <c r="AG78" s="49">
        <f t="shared" si="10"/>
        <v>7.2715000000000002E-2</v>
      </c>
      <c r="AH78" s="50">
        <f t="shared" si="11"/>
        <v>0</v>
      </c>
      <c r="AI78" s="51">
        <f t="shared" si="22"/>
        <v>7.2715000000000002E-2</v>
      </c>
      <c r="AJ78" s="72">
        <v>0</v>
      </c>
      <c r="AK78">
        <v>0</v>
      </c>
      <c r="AL78" s="21">
        <f t="shared" si="23"/>
        <v>0</v>
      </c>
      <c r="AM78" s="72">
        <v>0</v>
      </c>
      <c r="AN78">
        <v>0</v>
      </c>
      <c r="AO78" s="21">
        <f t="shared" si="24"/>
        <v>0</v>
      </c>
      <c r="AP78" s="21">
        <f t="shared" si="12"/>
        <v>3707985</v>
      </c>
      <c r="AQ78" s="21">
        <f t="shared" si="25"/>
        <v>3707985</v>
      </c>
      <c r="AR78" s="48">
        <v>1095080</v>
      </c>
      <c r="AS78" s="48">
        <f t="shared" si="29"/>
        <v>3707985</v>
      </c>
      <c r="AT78" s="72">
        <v>1760375</v>
      </c>
      <c r="AU78" s="21">
        <f t="shared" si="30"/>
        <v>1947610</v>
      </c>
      <c r="AV78" s="52" t="str">
        <f t="shared" si="32"/>
        <v>Yes</v>
      </c>
      <c r="AW78" s="48">
        <f t="shared" si="26"/>
        <v>1947610</v>
      </c>
      <c r="AX78" s="53">
        <f t="shared" si="27"/>
        <v>3707985</v>
      </c>
      <c r="AY78" s="54">
        <f t="shared" si="31"/>
        <v>3707985</v>
      </c>
      <c r="AZ78" s="76"/>
      <c r="BA78" s="21"/>
      <c r="BD78" s="55"/>
      <c r="BE78" s="55"/>
      <c r="BF78" s="55"/>
      <c r="BG78" s="55"/>
      <c r="BH78" s="55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5"/>
      <c r="K79" s="71">
        <v>241.44</v>
      </c>
      <c r="L79" s="73"/>
      <c r="M79" s="72">
        <v>64</v>
      </c>
      <c r="N79" s="46">
        <f t="shared" si="13"/>
        <v>19.2</v>
      </c>
      <c r="O79" s="46">
        <f t="shared" si="14"/>
        <v>144.86000000000001</v>
      </c>
      <c r="P79" s="46">
        <f t="shared" si="15"/>
        <v>0</v>
      </c>
      <c r="Q79" s="46">
        <f t="shared" si="16"/>
        <v>0</v>
      </c>
      <c r="R79" s="47">
        <f t="shared" si="17"/>
        <v>0.27</v>
      </c>
      <c r="S79" s="47">
        <f t="shared" si="5"/>
        <v>0</v>
      </c>
      <c r="T79" s="46">
        <f t="shared" si="6"/>
        <v>0</v>
      </c>
      <c r="U79" s="46">
        <f t="shared" si="18"/>
        <v>0</v>
      </c>
      <c r="V79" s="72">
        <v>0</v>
      </c>
      <c r="W79" s="46">
        <f t="shared" si="19"/>
        <v>0</v>
      </c>
      <c r="X79" s="22">
        <f t="shared" si="20"/>
        <v>19.2</v>
      </c>
      <c r="Y79" s="10">
        <f t="shared" si="21"/>
        <v>260.64</v>
      </c>
      <c r="Z79" s="71">
        <v>433334079.67000002</v>
      </c>
      <c r="AA79" s="72">
        <v>1881</v>
      </c>
      <c r="AB79" s="22">
        <f t="shared" si="7"/>
        <v>230374.31</v>
      </c>
      <c r="AC79" s="9">
        <f t="shared" si="8"/>
        <v>0.89810299999999998</v>
      </c>
      <c r="AD79" s="72">
        <v>95543</v>
      </c>
      <c r="AE79" s="9">
        <f t="shared" si="9"/>
        <v>0.69266700000000003</v>
      </c>
      <c r="AF79" s="9">
        <f t="shared" si="28"/>
        <v>0.16352800000000001</v>
      </c>
      <c r="AG79" s="49">
        <f t="shared" si="10"/>
        <v>0.16352800000000001</v>
      </c>
      <c r="AH79" s="50">
        <f t="shared" si="11"/>
        <v>0</v>
      </c>
      <c r="AI79" s="51">
        <f t="shared" si="22"/>
        <v>0.16352800000000001</v>
      </c>
      <c r="AJ79" s="72">
        <v>0</v>
      </c>
      <c r="AK79">
        <v>0</v>
      </c>
      <c r="AL79" s="21">
        <f t="shared" si="23"/>
        <v>0</v>
      </c>
      <c r="AM79" s="72">
        <v>44</v>
      </c>
      <c r="AN79">
        <v>4</v>
      </c>
      <c r="AO79" s="21">
        <f t="shared" si="24"/>
        <v>17600</v>
      </c>
      <c r="AP79" s="21">
        <f t="shared" si="12"/>
        <v>491218</v>
      </c>
      <c r="AQ79" s="21">
        <f t="shared" si="25"/>
        <v>508818</v>
      </c>
      <c r="AR79" s="48">
        <v>923278</v>
      </c>
      <c r="AS79" s="48">
        <f t="shared" si="29"/>
        <v>508818</v>
      </c>
      <c r="AT79" s="72">
        <v>736256</v>
      </c>
      <c r="AU79" s="21">
        <f t="shared" si="30"/>
        <v>227438</v>
      </c>
      <c r="AV79" s="52" t="str">
        <f t="shared" si="32"/>
        <v>No</v>
      </c>
      <c r="AW79" s="48">
        <f t="shared" si="26"/>
        <v>0</v>
      </c>
      <c r="AX79" s="53">
        <f t="shared" si="27"/>
        <v>736256</v>
      </c>
      <c r="AY79" s="54">
        <f t="shared" si="31"/>
        <v>736256</v>
      </c>
      <c r="AZ79" s="76"/>
      <c r="BA79" s="21"/>
      <c r="BD79" s="55"/>
      <c r="BE79" s="55"/>
      <c r="BF79" s="55"/>
      <c r="BG79" s="55"/>
      <c r="BH79" s="55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5"/>
      <c r="K80" s="71">
        <v>5673</v>
      </c>
      <c r="L80" s="73"/>
      <c r="M80" s="72">
        <v>852</v>
      </c>
      <c r="N80" s="46">
        <f t="shared" si="13"/>
        <v>255.6</v>
      </c>
      <c r="O80" s="46">
        <f t="shared" si="14"/>
        <v>3403.8</v>
      </c>
      <c r="P80" s="46">
        <f t="shared" si="15"/>
        <v>0</v>
      </c>
      <c r="Q80" s="46">
        <f t="shared" si="16"/>
        <v>0</v>
      </c>
      <c r="R80" s="47">
        <f t="shared" si="17"/>
        <v>0.15</v>
      </c>
      <c r="S80" s="47">
        <f t="shared" si="5"/>
        <v>0</v>
      </c>
      <c r="T80" s="46">
        <f t="shared" si="6"/>
        <v>0</v>
      </c>
      <c r="U80" s="46">
        <f t="shared" si="18"/>
        <v>0</v>
      </c>
      <c r="V80" s="72">
        <v>213</v>
      </c>
      <c r="W80" s="46">
        <f t="shared" si="19"/>
        <v>53.25</v>
      </c>
      <c r="X80" s="22">
        <f t="shared" si="20"/>
        <v>255.6</v>
      </c>
      <c r="Y80" s="10">
        <f t="shared" si="21"/>
        <v>5981.85</v>
      </c>
      <c r="Z80" s="71">
        <v>7598288553</v>
      </c>
      <c r="AA80" s="72">
        <v>35199</v>
      </c>
      <c r="AB80" s="22">
        <f t="shared" si="7"/>
        <v>215866.6</v>
      </c>
      <c r="AC80" s="9">
        <f t="shared" si="8"/>
        <v>0.84154499999999999</v>
      </c>
      <c r="AD80" s="72">
        <v>144134</v>
      </c>
      <c r="AE80" s="9">
        <f t="shared" si="9"/>
        <v>1.044942</v>
      </c>
      <c r="AF80" s="9">
        <f t="shared" si="28"/>
        <v>9.7435999999999995E-2</v>
      </c>
      <c r="AG80" s="49">
        <f t="shared" si="10"/>
        <v>9.7435999999999995E-2</v>
      </c>
      <c r="AH80" s="50">
        <f t="shared" si="11"/>
        <v>0</v>
      </c>
      <c r="AI80" s="51">
        <f t="shared" si="22"/>
        <v>9.7435999999999995E-2</v>
      </c>
      <c r="AJ80" s="72">
        <v>0</v>
      </c>
      <c r="AK80">
        <v>0</v>
      </c>
      <c r="AL80" s="21">
        <f t="shared" si="23"/>
        <v>0</v>
      </c>
      <c r="AM80" s="72">
        <v>0</v>
      </c>
      <c r="AN80">
        <v>0</v>
      </c>
      <c r="AO80" s="21">
        <f t="shared" si="24"/>
        <v>0</v>
      </c>
      <c r="AP80" s="21">
        <f t="shared" si="12"/>
        <v>6717318</v>
      </c>
      <c r="AQ80" s="21">
        <f t="shared" si="25"/>
        <v>6717318</v>
      </c>
      <c r="AR80" s="48">
        <v>6654380</v>
      </c>
      <c r="AS80" s="48">
        <f t="shared" si="29"/>
        <v>6717318</v>
      </c>
      <c r="AT80" s="72">
        <v>5655724</v>
      </c>
      <c r="AU80" s="21">
        <f t="shared" si="30"/>
        <v>1061594</v>
      </c>
      <c r="AV80" s="52" t="str">
        <f t="shared" si="32"/>
        <v>Yes</v>
      </c>
      <c r="AW80" s="48">
        <f t="shared" si="26"/>
        <v>1061594</v>
      </c>
      <c r="AX80" s="53">
        <f t="shared" si="27"/>
        <v>6717318</v>
      </c>
      <c r="AY80" s="54">
        <f t="shared" si="31"/>
        <v>6717318</v>
      </c>
      <c r="AZ80" s="76"/>
      <c r="BA80" s="21"/>
      <c r="BD80" s="55"/>
      <c r="BE80" s="55"/>
      <c r="BF80" s="55"/>
      <c r="BG80" s="55"/>
      <c r="BH80" s="55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5"/>
      <c r="K81" s="71">
        <v>282.54000000000002</v>
      </c>
      <c r="L81" s="73"/>
      <c r="M81" s="72">
        <v>69</v>
      </c>
      <c r="N81" s="46">
        <f t="shared" si="13"/>
        <v>20.7</v>
      </c>
      <c r="O81" s="46">
        <f t="shared" si="14"/>
        <v>169.52</v>
      </c>
      <c r="P81" s="46">
        <f t="shared" si="15"/>
        <v>0</v>
      </c>
      <c r="Q81" s="46">
        <f t="shared" si="16"/>
        <v>0</v>
      </c>
      <c r="R81" s="47">
        <f t="shared" si="17"/>
        <v>0.24</v>
      </c>
      <c r="S81" s="47">
        <f t="shared" si="5"/>
        <v>0</v>
      </c>
      <c r="T81" s="46">
        <f t="shared" si="6"/>
        <v>0</v>
      </c>
      <c r="U81" s="46">
        <f t="shared" si="18"/>
        <v>0</v>
      </c>
      <c r="V81" s="72">
        <v>3</v>
      </c>
      <c r="W81" s="46">
        <f t="shared" si="19"/>
        <v>0.75</v>
      </c>
      <c r="X81" s="22">
        <f t="shared" si="20"/>
        <v>20.7</v>
      </c>
      <c r="Y81" s="10">
        <f t="shared" si="21"/>
        <v>303.99</v>
      </c>
      <c r="Z81" s="71">
        <v>1048969129</v>
      </c>
      <c r="AA81" s="72">
        <v>3203</v>
      </c>
      <c r="AB81" s="22">
        <f t="shared" si="7"/>
        <v>327495.83</v>
      </c>
      <c r="AC81" s="9">
        <f t="shared" si="8"/>
        <v>1.276726</v>
      </c>
      <c r="AD81" s="72">
        <v>138299</v>
      </c>
      <c r="AE81" s="9">
        <f t="shared" si="9"/>
        <v>1.00264</v>
      </c>
      <c r="AF81" s="9">
        <f t="shared" si="28"/>
        <v>-0.19450000000000001</v>
      </c>
      <c r="AG81" s="49">
        <f t="shared" si="10"/>
        <v>0.01</v>
      </c>
      <c r="AH81" s="50">
        <f t="shared" si="11"/>
        <v>0</v>
      </c>
      <c r="AI81" s="51">
        <f t="shared" si="22"/>
        <v>0.01</v>
      </c>
      <c r="AJ81" s="72">
        <v>281</v>
      </c>
      <c r="AK81">
        <v>13</v>
      </c>
      <c r="AL81" s="21">
        <f t="shared" si="23"/>
        <v>365300</v>
      </c>
      <c r="AM81" s="72">
        <v>0</v>
      </c>
      <c r="AN81">
        <v>0</v>
      </c>
      <c r="AO81" s="21">
        <f t="shared" si="24"/>
        <v>0</v>
      </c>
      <c r="AP81" s="21">
        <f t="shared" si="12"/>
        <v>35035</v>
      </c>
      <c r="AQ81" s="21">
        <f t="shared" si="25"/>
        <v>400335</v>
      </c>
      <c r="AR81" s="48">
        <v>82025</v>
      </c>
      <c r="AS81" s="48">
        <f t="shared" si="29"/>
        <v>400335</v>
      </c>
      <c r="AT81" s="72">
        <v>337582</v>
      </c>
      <c r="AU81" s="21">
        <f t="shared" si="30"/>
        <v>62753</v>
      </c>
      <c r="AV81" s="52" t="str">
        <f t="shared" si="32"/>
        <v>Yes</v>
      </c>
      <c r="AW81" s="48">
        <f t="shared" si="26"/>
        <v>62753</v>
      </c>
      <c r="AX81" s="53">
        <f t="shared" si="27"/>
        <v>400335</v>
      </c>
      <c r="AY81" s="54">
        <f t="shared" si="31"/>
        <v>400335</v>
      </c>
      <c r="AZ81" s="76"/>
      <c r="BA81" s="21"/>
      <c r="BD81" s="55"/>
      <c r="BE81" s="55"/>
      <c r="BF81" s="55"/>
      <c r="BG81" s="55"/>
      <c r="BH81" s="55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5"/>
      <c r="K82" s="71">
        <v>1652.18</v>
      </c>
      <c r="L82" s="73"/>
      <c r="M82" s="72">
        <v>218</v>
      </c>
      <c r="N82" s="46">
        <f t="shared" si="13"/>
        <v>65.400000000000006</v>
      </c>
      <c r="O82" s="46">
        <f t="shared" si="14"/>
        <v>991.31</v>
      </c>
      <c r="P82" s="46">
        <f t="shared" si="15"/>
        <v>0</v>
      </c>
      <c r="Q82" s="46">
        <f t="shared" si="16"/>
        <v>0</v>
      </c>
      <c r="R82" s="47">
        <f t="shared" si="17"/>
        <v>0.13</v>
      </c>
      <c r="S82" s="47">
        <f t="shared" si="5"/>
        <v>0</v>
      </c>
      <c r="T82" s="46">
        <f t="shared" si="6"/>
        <v>0</v>
      </c>
      <c r="U82" s="46">
        <f t="shared" si="18"/>
        <v>0</v>
      </c>
      <c r="V82" s="72">
        <v>9</v>
      </c>
      <c r="W82" s="46">
        <f t="shared" si="19"/>
        <v>2.25</v>
      </c>
      <c r="X82" s="22">
        <f t="shared" si="20"/>
        <v>65.400000000000006</v>
      </c>
      <c r="Y82" s="10">
        <f t="shared" si="21"/>
        <v>1719.8300000000002</v>
      </c>
      <c r="Z82" s="71">
        <v>1913061582</v>
      </c>
      <c r="AA82" s="72">
        <v>11041</v>
      </c>
      <c r="AB82" s="22">
        <f t="shared" si="7"/>
        <v>173268.87</v>
      </c>
      <c r="AC82" s="9">
        <f t="shared" si="8"/>
        <v>0.67547999999999997</v>
      </c>
      <c r="AD82" s="72">
        <v>116023</v>
      </c>
      <c r="AE82" s="9">
        <f t="shared" si="9"/>
        <v>0.84114299999999997</v>
      </c>
      <c r="AF82" s="9">
        <f t="shared" si="28"/>
        <v>0.27482099999999998</v>
      </c>
      <c r="AG82" s="49">
        <f t="shared" si="10"/>
        <v>0.27482099999999998</v>
      </c>
      <c r="AH82" s="50">
        <f t="shared" si="11"/>
        <v>0</v>
      </c>
      <c r="AI82" s="51">
        <f t="shared" si="22"/>
        <v>0.27482099999999998</v>
      </c>
      <c r="AJ82" s="72">
        <v>0</v>
      </c>
      <c r="AK82">
        <v>0</v>
      </c>
      <c r="AL82" s="21">
        <f t="shared" si="23"/>
        <v>0</v>
      </c>
      <c r="AM82" s="72">
        <v>0</v>
      </c>
      <c r="AN82">
        <v>0</v>
      </c>
      <c r="AO82" s="21">
        <f t="shared" si="24"/>
        <v>0</v>
      </c>
      <c r="AP82" s="21">
        <f t="shared" si="12"/>
        <v>5447238</v>
      </c>
      <c r="AQ82" s="21">
        <f t="shared" si="25"/>
        <v>5447238</v>
      </c>
      <c r="AR82" s="48">
        <v>5510220</v>
      </c>
      <c r="AS82" s="48">
        <f t="shared" si="29"/>
        <v>5447238</v>
      </c>
      <c r="AT82" s="72">
        <v>5278314</v>
      </c>
      <c r="AU82" s="21">
        <f t="shared" si="30"/>
        <v>168924</v>
      </c>
      <c r="AV82" s="52" t="str">
        <f t="shared" si="32"/>
        <v>Yes</v>
      </c>
      <c r="AW82" s="48">
        <f t="shared" si="26"/>
        <v>168924</v>
      </c>
      <c r="AX82" s="53">
        <f t="shared" si="27"/>
        <v>5447238</v>
      </c>
      <c r="AY82" s="54">
        <f t="shared" si="31"/>
        <v>5447238</v>
      </c>
      <c r="AZ82" s="76"/>
      <c r="BA82" s="21"/>
      <c r="BD82" s="55"/>
      <c r="BE82" s="55"/>
      <c r="BF82" s="55"/>
      <c r="BG82" s="55"/>
      <c r="BH82" s="55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5"/>
      <c r="K83" s="71">
        <v>8227.02</v>
      </c>
      <c r="L83" s="73"/>
      <c r="M83" s="72">
        <v>1672</v>
      </c>
      <c r="N83" s="46">
        <f t="shared" si="13"/>
        <v>501.6</v>
      </c>
      <c r="O83" s="46">
        <f t="shared" si="14"/>
        <v>4936.21</v>
      </c>
      <c r="P83" s="46">
        <f t="shared" si="15"/>
        <v>0</v>
      </c>
      <c r="Q83" s="46">
        <f t="shared" si="16"/>
        <v>0</v>
      </c>
      <c r="R83" s="47">
        <f t="shared" si="17"/>
        <v>0.2</v>
      </c>
      <c r="S83" s="47">
        <f t="shared" si="5"/>
        <v>0</v>
      </c>
      <c r="T83" s="46">
        <f t="shared" si="6"/>
        <v>0</v>
      </c>
      <c r="U83" s="46">
        <f t="shared" si="18"/>
        <v>0</v>
      </c>
      <c r="V83" s="72">
        <v>460</v>
      </c>
      <c r="W83" s="46">
        <f t="shared" si="19"/>
        <v>115</v>
      </c>
      <c r="X83" s="22">
        <f t="shared" si="20"/>
        <v>501.6</v>
      </c>
      <c r="Y83" s="10">
        <f t="shared" si="21"/>
        <v>8843.6200000000008</v>
      </c>
      <c r="Z83" s="71">
        <v>55719115818.330002</v>
      </c>
      <c r="AA83" s="72">
        <v>63638</v>
      </c>
      <c r="AB83" s="22">
        <f t="shared" si="7"/>
        <v>875563.59</v>
      </c>
      <c r="AC83" s="9">
        <f t="shared" si="8"/>
        <v>3.413341</v>
      </c>
      <c r="AD83" s="72">
        <v>185850</v>
      </c>
      <c r="AE83" s="9">
        <f t="shared" si="9"/>
        <v>1.347375</v>
      </c>
      <c r="AF83" s="9">
        <f t="shared" si="28"/>
        <v>-1.7935509999999999</v>
      </c>
      <c r="AG83" s="49">
        <f t="shared" si="10"/>
        <v>0.01</v>
      </c>
      <c r="AH83" s="50">
        <f t="shared" si="11"/>
        <v>0</v>
      </c>
      <c r="AI83" s="51">
        <f t="shared" si="22"/>
        <v>0.01</v>
      </c>
      <c r="AJ83" s="72">
        <v>0</v>
      </c>
      <c r="AK83">
        <v>0</v>
      </c>
      <c r="AL83" s="21">
        <f t="shared" si="23"/>
        <v>0</v>
      </c>
      <c r="AM83" s="72">
        <v>0</v>
      </c>
      <c r="AN83">
        <v>0</v>
      </c>
      <c r="AO83" s="21">
        <f t="shared" si="24"/>
        <v>0</v>
      </c>
      <c r="AP83" s="21">
        <f t="shared" si="12"/>
        <v>1019227</v>
      </c>
      <c r="AQ83" s="21">
        <f t="shared" si="25"/>
        <v>1019227</v>
      </c>
      <c r="AR83" s="48">
        <v>136859</v>
      </c>
      <c r="AS83" s="48">
        <f t="shared" si="29"/>
        <v>1019227</v>
      </c>
      <c r="AT83" s="72">
        <v>869861</v>
      </c>
      <c r="AU83" s="21">
        <f t="shared" si="30"/>
        <v>149366</v>
      </c>
      <c r="AV83" s="52" t="str">
        <f t="shared" si="32"/>
        <v>Yes</v>
      </c>
      <c r="AW83" s="48">
        <f t="shared" si="26"/>
        <v>149366</v>
      </c>
      <c r="AX83" s="53">
        <f t="shared" si="27"/>
        <v>1019227</v>
      </c>
      <c r="AY83" s="54">
        <f t="shared" si="31"/>
        <v>1019227</v>
      </c>
      <c r="AZ83" s="76"/>
      <c r="BA83" s="21"/>
      <c r="BD83" s="55"/>
      <c r="BE83" s="55"/>
      <c r="BF83" s="55"/>
      <c r="BG83" s="55"/>
      <c r="BH83" s="55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34</v>
      </c>
      <c r="H84" s="5">
        <v>58</v>
      </c>
      <c r="I84" s="2" t="s">
        <v>137</v>
      </c>
      <c r="J84" s="45"/>
      <c r="K84" s="71">
        <v>1603.2</v>
      </c>
      <c r="L84" s="74"/>
      <c r="M84" s="72">
        <v>851</v>
      </c>
      <c r="N84" s="46">
        <f t="shared" si="13"/>
        <v>255.3</v>
      </c>
      <c r="O84" s="46">
        <f t="shared" si="14"/>
        <v>961.92</v>
      </c>
      <c r="P84" s="46">
        <f t="shared" si="15"/>
        <v>0</v>
      </c>
      <c r="Q84" s="46">
        <f t="shared" si="16"/>
        <v>0</v>
      </c>
      <c r="R84" s="47">
        <f t="shared" si="17"/>
        <v>0.53</v>
      </c>
      <c r="S84" s="47">
        <f t="shared" si="5"/>
        <v>0</v>
      </c>
      <c r="T84" s="46">
        <f t="shared" si="6"/>
        <v>0</v>
      </c>
      <c r="U84" s="46">
        <f t="shared" si="18"/>
        <v>0</v>
      </c>
      <c r="V84" s="72">
        <v>25</v>
      </c>
      <c r="W84" s="46">
        <f t="shared" si="19"/>
        <v>6.25</v>
      </c>
      <c r="X84" s="22">
        <f t="shared" si="20"/>
        <v>255.3</v>
      </c>
      <c r="Y84" s="10">
        <f t="shared" si="21"/>
        <v>1864.75</v>
      </c>
      <c r="Z84" s="71">
        <v>1459205560</v>
      </c>
      <c r="AA84" s="72">
        <v>11509</v>
      </c>
      <c r="AB84" s="22">
        <f t="shared" si="7"/>
        <v>126788.21</v>
      </c>
      <c r="AC84" s="9">
        <f t="shared" si="8"/>
        <v>0.494278</v>
      </c>
      <c r="AD84" s="72">
        <v>74207</v>
      </c>
      <c r="AE84" s="9">
        <f t="shared" si="9"/>
        <v>0.53798599999999996</v>
      </c>
      <c r="AF84" s="9">
        <f t="shared" si="28"/>
        <v>0.49260999999999999</v>
      </c>
      <c r="AG84" s="49">
        <f t="shared" si="10"/>
        <v>0.49260999999999999</v>
      </c>
      <c r="AH84" s="50">
        <f t="shared" si="11"/>
        <v>0</v>
      </c>
      <c r="AI84" s="51">
        <f t="shared" si="22"/>
        <v>0.49260999999999999</v>
      </c>
      <c r="AJ84" s="72">
        <v>0</v>
      </c>
      <c r="AK84">
        <v>0</v>
      </c>
      <c r="AL84" s="21">
        <f t="shared" si="23"/>
        <v>0</v>
      </c>
      <c r="AM84" s="72">
        <v>0</v>
      </c>
      <c r="AN84">
        <v>0</v>
      </c>
      <c r="AO84" s="21">
        <f t="shared" si="24"/>
        <v>0</v>
      </c>
      <c r="AP84" s="21">
        <f t="shared" si="12"/>
        <v>10586802</v>
      </c>
      <c r="AQ84" s="21">
        <f t="shared" si="25"/>
        <v>10586802</v>
      </c>
      <c r="AR84" s="48">
        <v>10775767</v>
      </c>
      <c r="AS84" s="48">
        <f t="shared" si="29"/>
        <v>10586802</v>
      </c>
      <c r="AT84" s="72">
        <v>10925151</v>
      </c>
      <c r="AU84" s="21">
        <f t="shared" si="30"/>
        <v>338349</v>
      </c>
      <c r="AV84" s="52" t="str">
        <f t="shared" si="32"/>
        <v>No</v>
      </c>
      <c r="AW84" s="48">
        <f t="shared" si="26"/>
        <v>0</v>
      </c>
      <c r="AX84" s="53">
        <f t="shared" si="27"/>
        <v>10925151</v>
      </c>
      <c r="AY84" s="54">
        <f t="shared" si="31"/>
        <v>10925151</v>
      </c>
      <c r="AZ84" s="76"/>
      <c r="BA84" s="21"/>
      <c r="BD84" s="55"/>
      <c r="BE84" s="55"/>
      <c r="BF84" s="55"/>
      <c r="BG84" s="55"/>
      <c r="BH84" s="55"/>
    </row>
    <row r="85" spans="1:60" x14ac:dyDescent="0.5">
      <c r="A85" s="5" t="s">
        <v>86</v>
      </c>
      <c r="B85" s="5"/>
      <c r="C85" s="57">
        <v>1</v>
      </c>
      <c r="D85" s="57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5"/>
      <c r="K85" s="71">
        <v>4316.03</v>
      </c>
      <c r="L85" s="73"/>
      <c r="M85" s="72">
        <v>2888</v>
      </c>
      <c r="N85" s="46">
        <f t="shared" si="13"/>
        <v>866.4</v>
      </c>
      <c r="O85" s="46">
        <f t="shared" si="14"/>
        <v>2589.62</v>
      </c>
      <c r="P85" s="46">
        <f t="shared" si="15"/>
        <v>298.38000000000011</v>
      </c>
      <c r="Q85" s="46">
        <f t="shared" si="16"/>
        <v>44.76</v>
      </c>
      <c r="R85" s="47">
        <f t="shared" si="17"/>
        <v>0.67</v>
      </c>
      <c r="S85" s="47">
        <f t="shared" si="5"/>
        <v>7.0000000000000062E-2</v>
      </c>
      <c r="T85" s="46">
        <f t="shared" si="6"/>
        <v>302.12</v>
      </c>
      <c r="U85" s="46">
        <f t="shared" si="18"/>
        <v>45.32</v>
      </c>
      <c r="V85" s="72">
        <v>200</v>
      </c>
      <c r="W85" s="46">
        <f t="shared" si="19"/>
        <v>50</v>
      </c>
      <c r="X85" s="22">
        <f t="shared" si="20"/>
        <v>866.4</v>
      </c>
      <c r="Y85" s="10">
        <f t="shared" si="21"/>
        <v>5277.19</v>
      </c>
      <c r="Z85" s="71">
        <v>7301602161.6700001</v>
      </c>
      <c r="AA85" s="72">
        <v>37743</v>
      </c>
      <c r="AB85" s="22">
        <f t="shared" si="7"/>
        <v>193455.8</v>
      </c>
      <c r="AC85" s="9">
        <f t="shared" si="8"/>
        <v>0.75417800000000002</v>
      </c>
      <c r="AD85" s="72">
        <v>82149</v>
      </c>
      <c r="AE85" s="9">
        <f t="shared" si="9"/>
        <v>0.59556399999999998</v>
      </c>
      <c r="AF85" s="9">
        <f t="shared" si="28"/>
        <v>0.293406</v>
      </c>
      <c r="AG85" s="49">
        <f t="shared" si="10"/>
        <v>0.293406</v>
      </c>
      <c r="AH85" s="50">
        <f t="shared" si="11"/>
        <v>0</v>
      </c>
      <c r="AI85" s="51">
        <f t="shared" si="22"/>
        <v>0.293406</v>
      </c>
      <c r="AJ85" s="72">
        <v>0</v>
      </c>
      <c r="AK85">
        <v>0</v>
      </c>
      <c r="AL85" s="21">
        <f t="shared" si="23"/>
        <v>0</v>
      </c>
      <c r="AM85" s="72">
        <v>0</v>
      </c>
      <c r="AN85">
        <v>0</v>
      </c>
      <c r="AO85" s="21">
        <f t="shared" si="24"/>
        <v>0</v>
      </c>
      <c r="AP85" s="21">
        <f t="shared" si="12"/>
        <v>17844840</v>
      </c>
      <c r="AQ85" s="21">
        <f t="shared" si="25"/>
        <v>17844840</v>
      </c>
      <c r="AR85" s="48">
        <v>25040045</v>
      </c>
      <c r="AS85" s="48">
        <f t="shared" si="29"/>
        <v>25040045</v>
      </c>
      <c r="AT85" s="72">
        <v>25040045</v>
      </c>
      <c r="AU85" s="21">
        <f t="shared" si="30"/>
        <v>7195205</v>
      </c>
      <c r="AV85" s="52" t="str">
        <f t="shared" si="32"/>
        <v>No</v>
      </c>
      <c r="AW85" s="48">
        <f t="shared" si="26"/>
        <v>0</v>
      </c>
      <c r="AX85" s="53">
        <f t="shared" si="27"/>
        <v>25040045</v>
      </c>
      <c r="AY85" s="54">
        <f t="shared" si="31"/>
        <v>25040045</v>
      </c>
      <c r="AZ85" s="76"/>
      <c r="BA85" s="21"/>
      <c r="BD85" s="55"/>
      <c r="BE85" s="55"/>
      <c r="BF85" s="55"/>
      <c r="BG85" s="55"/>
      <c r="BH85" s="55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5"/>
      <c r="K86" s="71">
        <v>3063.46</v>
      </c>
      <c r="L86" s="73"/>
      <c r="M86" s="72">
        <v>447</v>
      </c>
      <c r="N86" s="46">
        <f t="shared" si="13"/>
        <v>134.1</v>
      </c>
      <c r="O86" s="46">
        <f t="shared" si="14"/>
        <v>1838.08</v>
      </c>
      <c r="P86" s="46">
        <f t="shared" si="15"/>
        <v>0</v>
      </c>
      <c r="Q86" s="46">
        <f t="shared" si="16"/>
        <v>0</v>
      </c>
      <c r="R86" s="47">
        <f t="shared" si="17"/>
        <v>0.15</v>
      </c>
      <c r="S86" s="47">
        <f t="shared" si="5"/>
        <v>0</v>
      </c>
      <c r="T86" s="46">
        <f t="shared" si="6"/>
        <v>0</v>
      </c>
      <c r="U86" s="46">
        <f t="shared" si="18"/>
        <v>0</v>
      </c>
      <c r="V86" s="72">
        <v>55</v>
      </c>
      <c r="W86" s="46">
        <f t="shared" si="19"/>
        <v>13.75</v>
      </c>
      <c r="X86" s="22">
        <f t="shared" si="20"/>
        <v>134.1</v>
      </c>
      <c r="Y86" s="10">
        <f t="shared" si="21"/>
        <v>3211.31</v>
      </c>
      <c r="Z86" s="71">
        <v>5861856908</v>
      </c>
      <c r="AA86" s="72">
        <v>22019</v>
      </c>
      <c r="AB86" s="22">
        <f t="shared" si="7"/>
        <v>266218.13</v>
      </c>
      <c r="AC86" s="9">
        <f t="shared" si="8"/>
        <v>1.037838</v>
      </c>
      <c r="AD86" s="72">
        <v>124793</v>
      </c>
      <c r="AE86" s="9">
        <f t="shared" si="9"/>
        <v>0.90472399999999997</v>
      </c>
      <c r="AF86" s="9">
        <f t="shared" si="28"/>
        <v>2.0960000000000002E-3</v>
      </c>
      <c r="AG86" s="49">
        <f t="shared" si="10"/>
        <v>0.01</v>
      </c>
      <c r="AH86" s="50">
        <f t="shared" si="11"/>
        <v>0</v>
      </c>
      <c r="AI86" s="51">
        <f t="shared" si="22"/>
        <v>0.01</v>
      </c>
      <c r="AJ86" s="72">
        <v>0</v>
      </c>
      <c r="AK86">
        <v>0</v>
      </c>
      <c r="AL86" s="21">
        <f t="shared" si="23"/>
        <v>0</v>
      </c>
      <c r="AM86" s="72">
        <v>0</v>
      </c>
      <c r="AN86">
        <v>0</v>
      </c>
      <c r="AO86" s="21">
        <f t="shared" si="24"/>
        <v>0</v>
      </c>
      <c r="AP86" s="21">
        <f t="shared" si="12"/>
        <v>370103</v>
      </c>
      <c r="AQ86" s="21">
        <f t="shared" si="25"/>
        <v>370103</v>
      </c>
      <c r="AR86" s="48">
        <v>2740394</v>
      </c>
      <c r="AS86" s="48">
        <f t="shared" si="29"/>
        <v>370103</v>
      </c>
      <c r="AT86" s="72">
        <v>1766084</v>
      </c>
      <c r="AU86" s="21">
        <f t="shared" si="30"/>
        <v>1395981</v>
      </c>
      <c r="AV86" s="52" t="str">
        <f t="shared" si="32"/>
        <v>No</v>
      </c>
      <c r="AW86" s="48">
        <f t="shared" si="26"/>
        <v>0</v>
      </c>
      <c r="AX86" s="53">
        <f t="shared" si="27"/>
        <v>1766084</v>
      </c>
      <c r="AY86" s="54">
        <f t="shared" si="31"/>
        <v>1766084</v>
      </c>
      <c r="AZ86" s="76"/>
      <c r="BA86" s="21"/>
      <c r="BD86" s="55"/>
      <c r="BE86" s="55"/>
      <c r="BF86" s="55"/>
      <c r="BG86" s="55"/>
      <c r="BH86" s="55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5"/>
      <c r="K87" s="71">
        <v>1015.11</v>
      </c>
      <c r="L87" s="73"/>
      <c r="M87" s="72">
        <v>181</v>
      </c>
      <c r="N87" s="46">
        <f t="shared" si="13"/>
        <v>54.3</v>
      </c>
      <c r="O87" s="46">
        <f t="shared" si="14"/>
        <v>609.07000000000005</v>
      </c>
      <c r="P87" s="46">
        <f t="shared" si="15"/>
        <v>0</v>
      </c>
      <c r="Q87" s="46">
        <f t="shared" si="16"/>
        <v>0</v>
      </c>
      <c r="R87" s="47">
        <f t="shared" si="17"/>
        <v>0.18</v>
      </c>
      <c r="S87" s="47">
        <f t="shared" si="5"/>
        <v>0</v>
      </c>
      <c r="T87" s="46">
        <f t="shared" si="6"/>
        <v>0</v>
      </c>
      <c r="U87" s="46">
        <f t="shared" si="18"/>
        <v>0</v>
      </c>
      <c r="V87" s="72">
        <v>5</v>
      </c>
      <c r="W87" s="46">
        <f t="shared" si="19"/>
        <v>1.25</v>
      </c>
      <c r="X87" s="22">
        <f t="shared" si="20"/>
        <v>54.3</v>
      </c>
      <c r="Y87" s="10">
        <f t="shared" si="21"/>
        <v>1070.6600000000001</v>
      </c>
      <c r="Z87" s="71">
        <v>1678817697.3299999</v>
      </c>
      <c r="AA87" s="72">
        <v>8670</v>
      </c>
      <c r="AB87" s="22">
        <f t="shared" si="7"/>
        <v>193635.26</v>
      </c>
      <c r="AC87" s="9">
        <f t="shared" si="8"/>
        <v>0.75487800000000005</v>
      </c>
      <c r="AD87" s="72">
        <v>119252</v>
      </c>
      <c r="AE87" s="9">
        <f t="shared" si="9"/>
        <v>0.86455300000000002</v>
      </c>
      <c r="AF87" s="9">
        <f t="shared" si="28"/>
        <v>0.21221999999999999</v>
      </c>
      <c r="AG87" s="49">
        <f t="shared" si="10"/>
        <v>0.21221999999999999</v>
      </c>
      <c r="AH87" s="50">
        <f t="shared" si="11"/>
        <v>0</v>
      </c>
      <c r="AI87" s="51">
        <f t="shared" si="22"/>
        <v>0.21221999999999999</v>
      </c>
      <c r="AJ87" s="72">
        <v>1018</v>
      </c>
      <c r="AK87">
        <v>13</v>
      </c>
      <c r="AL87" s="21">
        <f t="shared" si="23"/>
        <v>1323400</v>
      </c>
      <c r="AM87" s="72">
        <v>0</v>
      </c>
      <c r="AN87">
        <v>0</v>
      </c>
      <c r="AO87" s="21">
        <f t="shared" si="24"/>
        <v>0</v>
      </c>
      <c r="AP87" s="21">
        <f t="shared" si="12"/>
        <v>2618658</v>
      </c>
      <c r="AQ87" s="21">
        <f t="shared" si="25"/>
        <v>3942058</v>
      </c>
      <c r="AR87" s="48">
        <v>1971482</v>
      </c>
      <c r="AS87" s="48">
        <f t="shared" si="29"/>
        <v>3942058</v>
      </c>
      <c r="AT87" s="72">
        <v>3336551</v>
      </c>
      <c r="AU87" s="21">
        <f t="shared" si="30"/>
        <v>605507</v>
      </c>
      <c r="AV87" s="52" t="str">
        <f t="shared" si="32"/>
        <v>Yes</v>
      </c>
      <c r="AW87" s="48">
        <f t="shared" si="26"/>
        <v>605507</v>
      </c>
      <c r="AX87" s="53">
        <f t="shared" si="27"/>
        <v>3942058</v>
      </c>
      <c r="AY87" s="54">
        <f t="shared" si="31"/>
        <v>3942058</v>
      </c>
      <c r="AZ87" s="76"/>
      <c r="BA87" s="21"/>
      <c r="BD87" s="55"/>
      <c r="BE87" s="55"/>
      <c r="BF87" s="55"/>
      <c r="BG87" s="55"/>
      <c r="BH87" s="55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13</v>
      </c>
      <c r="H88" s="5">
        <v>62</v>
      </c>
      <c r="I88" s="2" t="s">
        <v>141</v>
      </c>
      <c r="J88" s="45"/>
      <c r="K88" s="71">
        <v>6318.09</v>
      </c>
      <c r="L88" s="74"/>
      <c r="M88" s="72">
        <v>2928</v>
      </c>
      <c r="N88" s="46">
        <f t="shared" si="13"/>
        <v>878.4</v>
      </c>
      <c r="O88" s="46">
        <f t="shared" si="14"/>
        <v>3790.85</v>
      </c>
      <c r="P88" s="46">
        <f t="shared" si="15"/>
        <v>0</v>
      </c>
      <c r="Q88" s="46">
        <f t="shared" si="16"/>
        <v>0</v>
      </c>
      <c r="R88" s="47">
        <f t="shared" si="17"/>
        <v>0.46</v>
      </c>
      <c r="S88" s="47">
        <f t="shared" si="5"/>
        <v>0</v>
      </c>
      <c r="T88" s="46">
        <f t="shared" si="6"/>
        <v>0</v>
      </c>
      <c r="U88" s="46">
        <f t="shared" si="18"/>
        <v>0</v>
      </c>
      <c r="V88" s="72">
        <v>537</v>
      </c>
      <c r="W88" s="46">
        <f t="shared" si="19"/>
        <v>134.25</v>
      </c>
      <c r="X88" s="22">
        <f t="shared" si="20"/>
        <v>878.4</v>
      </c>
      <c r="Y88" s="10">
        <f t="shared" si="21"/>
        <v>7330.74</v>
      </c>
      <c r="Z88" s="71">
        <v>7521143568</v>
      </c>
      <c r="AA88" s="72">
        <v>60809</v>
      </c>
      <c r="AB88" s="22">
        <f t="shared" si="7"/>
        <v>123684.71</v>
      </c>
      <c r="AC88" s="9">
        <f t="shared" si="8"/>
        <v>0.48217900000000002</v>
      </c>
      <c r="AD88" s="72">
        <v>90484</v>
      </c>
      <c r="AE88" s="9">
        <f t="shared" si="9"/>
        <v>0.65599099999999999</v>
      </c>
      <c r="AF88" s="9">
        <f t="shared" si="28"/>
        <v>0.46567700000000001</v>
      </c>
      <c r="AG88" s="49">
        <f t="shared" si="10"/>
        <v>0.46567700000000001</v>
      </c>
      <c r="AH88" s="50">
        <f t="shared" si="11"/>
        <v>0.04</v>
      </c>
      <c r="AI88" s="51">
        <f t="shared" si="22"/>
        <v>0.50567700000000004</v>
      </c>
      <c r="AJ88" s="72">
        <v>0</v>
      </c>
      <c r="AK88">
        <v>0</v>
      </c>
      <c r="AL88" s="21">
        <f t="shared" si="23"/>
        <v>0</v>
      </c>
      <c r="AM88" s="72">
        <v>0</v>
      </c>
      <c r="AN88">
        <v>0</v>
      </c>
      <c r="AO88" s="21">
        <f t="shared" si="24"/>
        <v>0</v>
      </c>
      <c r="AP88" s="21">
        <f t="shared" si="12"/>
        <v>42723021</v>
      </c>
      <c r="AQ88" s="21">
        <f t="shared" si="25"/>
        <v>42723021</v>
      </c>
      <c r="AR88" s="48">
        <v>26945481</v>
      </c>
      <c r="AS88" s="48">
        <f t="shared" si="29"/>
        <v>42723021</v>
      </c>
      <c r="AT88" s="72">
        <v>39522754</v>
      </c>
      <c r="AU88" s="21">
        <f t="shared" si="30"/>
        <v>3200267</v>
      </c>
      <c r="AV88" s="52" t="str">
        <f t="shared" si="32"/>
        <v>Yes</v>
      </c>
      <c r="AW88" s="48">
        <f t="shared" si="26"/>
        <v>3200267</v>
      </c>
      <c r="AX88" s="53">
        <f t="shared" si="27"/>
        <v>42723021</v>
      </c>
      <c r="AY88" s="54">
        <f t="shared" si="31"/>
        <v>42723021</v>
      </c>
      <c r="AZ88" s="76"/>
      <c r="BA88" s="21"/>
      <c r="BD88" s="55"/>
      <c r="BE88" s="55"/>
      <c r="BF88" s="55"/>
      <c r="BG88" s="55"/>
      <c r="BH88" s="55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5"/>
      <c r="K89" s="71">
        <v>123.96</v>
      </c>
      <c r="L89" s="73"/>
      <c r="M89" s="72">
        <v>53</v>
      </c>
      <c r="N89" s="46">
        <f t="shared" si="13"/>
        <v>15.9</v>
      </c>
      <c r="O89" s="46">
        <f t="shared" si="14"/>
        <v>74.38</v>
      </c>
      <c r="P89" s="46">
        <f t="shared" si="15"/>
        <v>0</v>
      </c>
      <c r="Q89" s="46">
        <f t="shared" si="16"/>
        <v>0</v>
      </c>
      <c r="R89" s="47">
        <f t="shared" si="17"/>
        <v>0.43</v>
      </c>
      <c r="S89" s="47">
        <f t="shared" si="5"/>
        <v>0</v>
      </c>
      <c r="T89" s="46">
        <f t="shared" si="6"/>
        <v>0</v>
      </c>
      <c r="U89" s="46">
        <f t="shared" si="18"/>
        <v>0</v>
      </c>
      <c r="V89" s="72">
        <v>0</v>
      </c>
      <c r="W89" s="46">
        <f t="shared" si="19"/>
        <v>0</v>
      </c>
      <c r="X89" s="22">
        <f t="shared" si="20"/>
        <v>15.9</v>
      </c>
      <c r="Y89" s="10">
        <f t="shared" si="21"/>
        <v>139.85999999999999</v>
      </c>
      <c r="Z89" s="71">
        <v>311116219.32999998</v>
      </c>
      <c r="AA89" s="72">
        <v>1738</v>
      </c>
      <c r="AB89" s="22">
        <f t="shared" si="7"/>
        <v>179008.18</v>
      </c>
      <c r="AC89" s="9">
        <f t="shared" si="8"/>
        <v>0.697855</v>
      </c>
      <c r="AD89" s="72">
        <v>107109</v>
      </c>
      <c r="AE89" s="9">
        <f t="shared" si="9"/>
        <v>0.77651800000000004</v>
      </c>
      <c r="AF89" s="9">
        <f t="shared" si="28"/>
        <v>0.27854600000000002</v>
      </c>
      <c r="AG89" s="49">
        <f t="shared" si="10"/>
        <v>0.27854600000000002</v>
      </c>
      <c r="AH89" s="50">
        <f t="shared" si="11"/>
        <v>0</v>
      </c>
      <c r="AI89" s="51">
        <f t="shared" si="22"/>
        <v>0.27854600000000002</v>
      </c>
      <c r="AJ89" s="72">
        <v>50</v>
      </c>
      <c r="AK89">
        <v>6</v>
      </c>
      <c r="AL89" s="21">
        <f t="shared" si="23"/>
        <v>30000</v>
      </c>
      <c r="AM89" s="72">
        <v>0</v>
      </c>
      <c r="AN89">
        <v>0</v>
      </c>
      <c r="AO89" s="21">
        <f t="shared" si="24"/>
        <v>0</v>
      </c>
      <c r="AP89" s="21">
        <f t="shared" si="12"/>
        <v>448985</v>
      </c>
      <c r="AQ89" s="21">
        <f t="shared" si="25"/>
        <v>478985</v>
      </c>
      <c r="AR89" s="48">
        <v>1312383</v>
      </c>
      <c r="AS89" s="48">
        <f t="shared" si="29"/>
        <v>478985</v>
      </c>
      <c r="AT89" s="72">
        <v>1058408</v>
      </c>
      <c r="AU89" s="21">
        <f t="shared" si="30"/>
        <v>579423</v>
      </c>
      <c r="AV89" s="52" t="str">
        <f t="shared" si="32"/>
        <v>No</v>
      </c>
      <c r="AW89" s="48">
        <f t="shared" si="26"/>
        <v>0</v>
      </c>
      <c r="AX89" s="53">
        <f t="shared" si="27"/>
        <v>1058408</v>
      </c>
      <c r="AY89" s="54">
        <f t="shared" si="31"/>
        <v>1058408</v>
      </c>
      <c r="AZ89" s="76"/>
      <c r="BA89" s="21"/>
      <c r="BD89" s="55"/>
      <c r="BE89" s="55"/>
      <c r="BF89" s="55"/>
      <c r="BG89" s="55"/>
      <c r="BH89" s="55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5"/>
      <c r="K90" s="71">
        <v>18417.88</v>
      </c>
      <c r="L90" s="74"/>
      <c r="M90" s="72">
        <v>15868</v>
      </c>
      <c r="N90" s="46">
        <f t="shared" si="13"/>
        <v>4760.3999999999996</v>
      </c>
      <c r="O90" s="46">
        <f t="shared" si="14"/>
        <v>11050.73</v>
      </c>
      <c r="P90" s="46">
        <f t="shared" si="15"/>
        <v>4817.2700000000004</v>
      </c>
      <c r="Q90" s="46">
        <f t="shared" si="16"/>
        <v>722.59</v>
      </c>
      <c r="R90" s="47">
        <f t="shared" si="17"/>
        <v>0.86</v>
      </c>
      <c r="S90" s="47">
        <f t="shared" si="5"/>
        <v>0.26</v>
      </c>
      <c r="T90" s="46">
        <f t="shared" si="6"/>
        <v>4788.6499999999996</v>
      </c>
      <c r="U90" s="46">
        <f t="shared" si="18"/>
        <v>718.3</v>
      </c>
      <c r="V90" s="72">
        <v>5032</v>
      </c>
      <c r="W90" s="46">
        <f t="shared" si="19"/>
        <v>1258</v>
      </c>
      <c r="X90" s="22">
        <f t="shared" si="20"/>
        <v>4760.3999999999996</v>
      </c>
      <c r="Y90" s="10">
        <f t="shared" si="21"/>
        <v>25158.87</v>
      </c>
      <c r="Z90" s="71">
        <v>8280860632.3299999</v>
      </c>
      <c r="AA90" s="72">
        <v>120686</v>
      </c>
      <c r="AB90" s="22">
        <f t="shared" si="7"/>
        <v>68614.92</v>
      </c>
      <c r="AC90" s="9">
        <f t="shared" si="8"/>
        <v>0.26749200000000001</v>
      </c>
      <c r="AD90" s="72">
        <v>41841</v>
      </c>
      <c r="AE90" s="9">
        <f t="shared" si="9"/>
        <v>0.30333900000000003</v>
      </c>
      <c r="AF90" s="9">
        <f t="shared" si="28"/>
        <v>0.72175400000000001</v>
      </c>
      <c r="AG90" s="49">
        <f t="shared" si="10"/>
        <v>0.72175400000000001</v>
      </c>
      <c r="AH90" s="50">
        <f t="shared" si="11"/>
        <v>0.06</v>
      </c>
      <c r="AI90" s="51">
        <f t="shared" si="22"/>
        <v>0.78175400000000006</v>
      </c>
      <c r="AJ90" s="72">
        <v>0</v>
      </c>
      <c r="AK90">
        <v>0</v>
      </c>
      <c r="AL90" s="21">
        <f t="shared" si="23"/>
        <v>0</v>
      </c>
      <c r="AM90" s="72">
        <v>0</v>
      </c>
      <c r="AN90">
        <v>0</v>
      </c>
      <c r="AO90" s="21">
        <f t="shared" si="24"/>
        <v>0</v>
      </c>
      <c r="AP90" s="21">
        <f t="shared" si="12"/>
        <v>226674245</v>
      </c>
      <c r="AQ90" s="21">
        <f t="shared" si="25"/>
        <v>226674245</v>
      </c>
      <c r="AR90" s="48">
        <v>200518244</v>
      </c>
      <c r="AS90" s="48">
        <f t="shared" si="29"/>
        <v>226674245</v>
      </c>
      <c r="AT90" s="72">
        <v>224114724</v>
      </c>
      <c r="AU90" s="21">
        <f t="shared" si="30"/>
        <v>2559521</v>
      </c>
      <c r="AV90" s="52" t="str">
        <f t="shared" si="32"/>
        <v>Yes</v>
      </c>
      <c r="AW90" s="48">
        <f t="shared" si="26"/>
        <v>2559521</v>
      </c>
      <c r="AX90" s="53">
        <f t="shared" si="27"/>
        <v>226674245</v>
      </c>
      <c r="AY90" s="54">
        <f t="shared" si="31"/>
        <v>226674245</v>
      </c>
      <c r="AZ90" s="76"/>
      <c r="BA90" s="21"/>
      <c r="BD90" s="55"/>
      <c r="BE90" s="55"/>
      <c r="BF90" s="55"/>
      <c r="BG90" s="55"/>
      <c r="BH90" s="55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5"/>
      <c r="K91" s="71">
        <v>183.63</v>
      </c>
      <c r="L91" s="73"/>
      <c r="M91" s="72">
        <v>31</v>
      </c>
      <c r="N91" s="46">
        <f t="shared" si="13"/>
        <v>9.3000000000000007</v>
      </c>
      <c r="O91" s="46">
        <f t="shared" si="14"/>
        <v>110.18</v>
      </c>
      <c r="P91" s="46">
        <f t="shared" si="15"/>
        <v>0</v>
      </c>
      <c r="Q91" s="46">
        <f t="shared" si="16"/>
        <v>0</v>
      </c>
      <c r="R91" s="47">
        <f t="shared" si="17"/>
        <v>0.17</v>
      </c>
      <c r="S91" s="47">
        <f t="shared" ref="S91:S154" si="33">IF(R91&gt;0.6,+R91-0.6,0)</f>
        <v>0</v>
      </c>
      <c r="T91" s="46">
        <f t="shared" ref="T91:T154" si="34">ROUND(S91*K91,2)</f>
        <v>0</v>
      </c>
      <c r="U91" s="46">
        <f t="shared" si="18"/>
        <v>0</v>
      </c>
      <c r="V91" s="72">
        <v>0</v>
      </c>
      <c r="W91" s="46">
        <f t="shared" si="19"/>
        <v>0</v>
      </c>
      <c r="X91" s="22">
        <f t="shared" si="20"/>
        <v>9.3000000000000007</v>
      </c>
      <c r="Y91" s="10">
        <f t="shared" si="21"/>
        <v>192.93</v>
      </c>
      <c r="Z91" s="71">
        <v>378575291.32999998</v>
      </c>
      <c r="AA91" s="72">
        <v>1908</v>
      </c>
      <c r="AB91" s="22">
        <f t="shared" ref="AB91:AB154" si="35">ROUND(Z91/AA91,2)</f>
        <v>198414.72</v>
      </c>
      <c r="AC91" s="9">
        <f t="shared" ref="AC91:AC154" si="36">(ROUND(AB91/$AC$21,6))</f>
        <v>0.77351000000000003</v>
      </c>
      <c r="AD91" s="72">
        <v>111429</v>
      </c>
      <c r="AE91" s="9">
        <f t="shared" ref="AE91:AE154" si="37">(ROUND(AD91/$AE$21,6))</f>
        <v>0.80783799999999995</v>
      </c>
      <c r="AF91" s="9">
        <f t="shared" si="28"/>
        <v>0.216192</v>
      </c>
      <c r="AG91" s="49">
        <f t="shared" ref="AG91:AG154" si="38">IF(OR(B91=1,C91=1),MAX($L$7,AF91),MAX($L$6,AF91))</f>
        <v>0.216192</v>
      </c>
      <c r="AH91" s="50">
        <f t="shared" ref="AH91:AH154" si="39">IF(G91&gt;=1,IF(G91&lt;=5,0.06,IF(G91&lt;=10,0.05,IF(G91&lt;=15,0.04,IF(G91&lt;=19,0.03,0)))),0)</f>
        <v>0</v>
      </c>
      <c r="AI91" s="51">
        <f t="shared" si="22"/>
        <v>0.216192</v>
      </c>
      <c r="AJ91" s="72">
        <v>0</v>
      </c>
      <c r="AK91">
        <v>0</v>
      </c>
      <c r="AL91" s="21">
        <f t="shared" si="23"/>
        <v>0</v>
      </c>
      <c r="AM91" s="72">
        <v>1</v>
      </c>
      <c r="AN91">
        <v>6</v>
      </c>
      <c r="AO91" s="21">
        <f t="shared" si="24"/>
        <v>600</v>
      </c>
      <c r="AP91" s="21">
        <f t="shared" ref="AP91:AP154" si="40">ROUND(Y91*AI91*$AP$21,0)</f>
        <v>480707</v>
      </c>
      <c r="AQ91" s="21">
        <f t="shared" si="25"/>
        <v>481307</v>
      </c>
      <c r="AR91" s="48">
        <v>1327652</v>
      </c>
      <c r="AS91" s="48">
        <f t="shared" si="29"/>
        <v>481307</v>
      </c>
      <c r="AT91" s="72">
        <v>1071722</v>
      </c>
      <c r="AU91" s="21">
        <f t="shared" si="30"/>
        <v>590415</v>
      </c>
      <c r="AV91" s="52" t="str">
        <f t="shared" si="32"/>
        <v>No</v>
      </c>
      <c r="AW91" s="48">
        <f t="shared" si="26"/>
        <v>0</v>
      </c>
      <c r="AX91" s="53">
        <f t="shared" si="27"/>
        <v>1071722</v>
      </c>
      <c r="AY91" s="54">
        <f t="shared" si="31"/>
        <v>1071722</v>
      </c>
      <c r="AZ91" s="76"/>
      <c r="BA91" s="21"/>
      <c r="BD91" s="55"/>
      <c r="BE91" s="55"/>
      <c r="BF91" s="55"/>
      <c r="BG91" s="55"/>
      <c r="BH91" s="55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5"/>
      <c r="K92" s="71">
        <v>701.64</v>
      </c>
      <c r="L92" s="73"/>
      <c r="M92" s="72">
        <v>160</v>
      </c>
      <c r="N92" s="46">
        <f t="shared" ref="N92:N155" si="41">ROUND(M92*0.3,2)</f>
        <v>48</v>
      </c>
      <c r="O92" s="46">
        <f t="shared" ref="O92:O155" si="42">ROUND(K92*0.6,2)</f>
        <v>420.98</v>
      </c>
      <c r="P92" s="46">
        <f t="shared" ref="P92:P155" si="43">MAX(M92-O92,0)</f>
        <v>0</v>
      </c>
      <c r="Q92" s="46">
        <f t="shared" ref="Q92:Q155" si="44">ROUND(P92*0.15,2)</f>
        <v>0</v>
      </c>
      <c r="R92" s="47">
        <f t="shared" ref="R92:R155" si="45">ROUND(M92/K92,2)</f>
        <v>0.23</v>
      </c>
      <c r="S92" s="47">
        <f t="shared" si="33"/>
        <v>0</v>
      </c>
      <c r="T92" s="46">
        <f t="shared" si="34"/>
        <v>0</v>
      </c>
      <c r="U92" s="46">
        <f t="shared" ref="U92:U155" si="46">ROUND(T92*0.15,2)</f>
        <v>0</v>
      </c>
      <c r="V92" s="72">
        <v>6</v>
      </c>
      <c r="W92" s="46">
        <f t="shared" ref="W92:W155" si="47">ROUND(V92*0.25,2)</f>
        <v>1.5</v>
      </c>
      <c r="X92" s="22">
        <f t="shared" ref="X92:X155" si="48">ROUND(M92*$X$2,2)</f>
        <v>48</v>
      </c>
      <c r="Y92" s="10">
        <f t="shared" ref="Y92:Y155" si="49">+K92+N92+Q92+W92</f>
        <v>751.14</v>
      </c>
      <c r="Z92" s="71">
        <v>1120132814.3299999</v>
      </c>
      <c r="AA92" s="72">
        <v>5562</v>
      </c>
      <c r="AB92" s="22">
        <f t="shared" si="35"/>
        <v>201390.29</v>
      </c>
      <c r="AC92" s="9">
        <f t="shared" si="36"/>
        <v>0.78510999999999997</v>
      </c>
      <c r="AD92" s="72">
        <v>102078</v>
      </c>
      <c r="AE92" s="9">
        <f t="shared" si="37"/>
        <v>0.74004499999999995</v>
      </c>
      <c r="AF92" s="9">
        <f t="shared" si="28"/>
        <v>0.22841</v>
      </c>
      <c r="AG92" s="49">
        <f t="shared" si="38"/>
        <v>0.22841</v>
      </c>
      <c r="AH92" s="50">
        <f t="shared" si="39"/>
        <v>0</v>
      </c>
      <c r="AI92" s="51">
        <f t="shared" ref="AI92:AI155" si="50">+AH92+AG92</f>
        <v>0.22841</v>
      </c>
      <c r="AJ92" s="72">
        <v>702</v>
      </c>
      <c r="AK92">
        <v>13</v>
      </c>
      <c r="AL92" s="21">
        <f t="shared" ref="AL92:AL155" si="51">ROUND(AJ92*AK92*100,0)</f>
        <v>912600</v>
      </c>
      <c r="AM92" s="72">
        <v>0</v>
      </c>
      <c r="AN92">
        <v>0</v>
      </c>
      <c r="AO92" s="21">
        <f t="shared" ref="AO92:AO155" si="52">ROUND(AM92*AN92*100,0)</f>
        <v>0</v>
      </c>
      <c r="AP92" s="21">
        <f t="shared" si="40"/>
        <v>1977320</v>
      </c>
      <c r="AQ92" s="21">
        <f t="shared" ref="AQ92:AQ155" si="53">SUM(AL92+AO92+AP92)</f>
        <v>2889920</v>
      </c>
      <c r="AR92" s="48">
        <v>2708774</v>
      </c>
      <c r="AS92" s="48">
        <f t="shared" si="29"/>
        <v>2889920</v>
      </c>
      <c r="AT92" s="72">
        <v>2506509</v>
      </c>
      <c r="AU92" s="21">
        <f t="shared" si="30"/>
        <v>383411</v>
      </c>
      <c r="AV92" s="52" t="str">
        <f t="shared" si="32"/>
        <v>Yes</v>
      </c>
      <c r="AW92" s="48">
        <f t="shared" ref="AW92:AW155" si="54">IF(AV92="Yes",+AU92*$L$9,+AU92*$L$10)</f>
        <v>383411</v>
      </c>
      <c r="AX92" s="53">
        <f t="shared" ref="AX92:AX155" si="55">IF(AV92="Yes",AT92+AW92,AT92- AW92)</f>
        <v>2889920</v>
      </c>
      <c r="AY92" s="54">
        <f t="shared" si="31"/>
        <v>2889920</v>
      </c>
      <c r="AZ92" s="76"/>
      <c r="BA92" s="21"/>
      <c r="BD92" s="55"/>
      <c r="BE92" s="55"/>
      <c r="BF92" s="55"/>
      <c r="BG92" s="55"/>
      <c r="BH92" s="55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5"/>
      <c r="K93" s="71">
        <v>1209.29</v>
      </c>
      <c r="L93" s="73"/>
      <c r="M93" s="72">
        <v>222</v>
      </c>
      <c r="N93" s="46">
        <f t="shared" si="41"/>
        <v>66.599999999999994</v>
      </c>
      <c r="O93" s="46">
        <f t="shared" si="42"/>
        <v>725.57</v>
      </c>
      <c r="P93" s="46">
        <f t="shared" si="43"/>
        <v>0</v>
      </c>
      <c r="Q93" s="46">
        <f t="shared" si="44"/>
        <v>0</v>
      </c>
      <c r="R93" s="47">
        <f t="shared" si="45"/>
        <v>0.18</v>
      </c>
      <c r="S93" s="47">
        <f t="shared" si="33"/>
        <v>0</v>
      </c>
      <c r="T93" s="46">
        <f t="shared" si="34"/>
        <v>0</v>
      </c>
      <c r="U93" s="46">
        <f t="shared" si="46"/>
        <v>0</v>
      </c>
      <c r="V93" s="72">
        <v>2</v>
      </c>
      <c r="W93" s="46">
        <f t="shared" si="47"/>
        <v>0.5</v>
      </c>
      <c r="X93" s="22">
        <f t="shared" si="48"/>
        <v>66.599999999999994</v>
      </c>
      <c r="Y93" s="10">
        <f t="shared" si="49"/>
        <v>1276.3899999999999</v>
      </c>
      <c r="Z93" s="71">
        <v>1480350372.6700001</v>
      </c>
      <c r="AA93" s="72">
        <v>9121</v>
      </c>
      <c r="AB93" s="22">
        <f t="shared" si="35"/>
        <v>162301.32</v>
      </c>
      <c r="AC93" s="9">
        <f t="shared" si="36"/>
        <v>0.63272399999999995</v>
      </c>
      <c r="AD93" s="72">
        <v>136397</v>
      </c>
      <c r="AE93" s="9">
        <f t="shared" si="37"/>
        <v>0.98885100000000004</v>
      </c>
      <c r="AF93" s="9">
        <f t="shared" ref="AF93:AF156" si="56">ROUND(1-((AC93*$L$4)+(AE93*$L$5)),6)</f>
        <v>0.260438</v>
      </c>
      <c r="AG93" s="49">
        <f t="shared" si="38"/>
        <v>0.260438</v>
      </c>
      <c r="AH93" s="50">
        <f t="shared" si="39"/>
        <v>0</v>
      </c>
      <c r="AI93" s="51">
        <f t="shared" si="50"/>
        <v>0.260438</v>
      </c>
      <c r="AJ93" s="72">
        <v>583</v>
      </c>
      <c r="AK93">
        <v>6</v>
      </c>
      <c r="AL93" s="21">
        <f t="shared" si="51"/>
        <v>349800</v>
      </c>
      <c r="AM93" s="72">
        <v>0</v>
      </c>
      <c r="AN93">
        <v>0</v>
      </c>
      <c r="AO93" s="21">
        <f t="shared" si="52"/>
        <v>0</v>
      </c>
      <c r="AP93" s="21">
        <f t="shared" si="40"/>
        <v>3831146</v>
      </c>
      <c r="AQ93" s="21">
        <f t="shared" si="53"/>
        <v>4180946</v>
      </c>
      <c r="AR93" s="48">
        <v>6875123</v>
      </c>
      <c r="AS93" s="48">
        <f t="shared" ref="AS93:AS156" si="57">IF(C93=1, MAX(AR93, AQ93, AT93), AQ93)</f>
        <v>4180946</v>
      </c>
      <c r="AT93" s="72">
        <v>5997693</v>
      </c>
      <c r="AU93" s="21">
        <f t="shared" ref="AU93:AU156" si="58">ABS(AQ93-AT93)</f>
        <v>1816747</v>
      </c>
      <c r="AV93" s="52" t="str">
        <f t="shared" si="32"/>
        <v>No</v>
      </c>
      <c r="AW93" s="48">
        <f t="shared" si="54"/>
        <v>0</v>
      </c>
      <c r="AX93" s="53">
        <f t="shared" si="55"/>
        <v>5997693</v>
      </c>
      <c r="AY93" s="54">
        <f t="shared" ref="AY93:AY156" si="59">IF(C93=1,MAX(AX93,AR93,AT93),AX93)</f>
        <v>5997693</v>
      </c>
      <c r="AZ93" s="76"/>
      <c r="BA93" s="21"/>
      <c r="BD93" s="55"/>
      <c r="BE93" s="55"/>
      <c r="BF93" s="55"/>
      <c r="BG93" s="55"/>
      <c r="BH93" s="55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5"/>
      <c r="K94" s="71">
        <v>191.95</v>
      </c>
      <c r="L94" s="73"/>
      <c r="M94" s="72">
        <v>57</v>
      </c>
      <c r="N94" s="46">
        <f t="shared" si="41"/>
        <v>17.100000000000001</v>
      </c>
      <c r="O94" s="46">
        <f t="shared" si="42"/>
        <v>115.17</v>
      </c>
      <c r="P94" s="46">
        <f t="shared" si="43"/>
        <v>0</v>
      </c>
      <c r="Q94" s="46">
        <f t="shared" si="44"/>
        <v>0</v>
      </c>
      <c r="R94" s="47">
        <f t="shared" si="45"/>
        <v>0.3</v>
      </c>
      <c r="S94" s="47">
        <f t="shared" si="33"/>
        <v>0</v>
      </c>
      <c r="T94" s="46">
        <f t="shared" si="34"/>
        <v>0</v>
      </c>
      <c r="U94" s="46">
        <f t="shared" si="46"/>
        <v>0</v>
      </c>
      <c r="V94" s="72">
        <v>2</v>
      </c>
      <c r="W94" s="46">
        <f t="shared" si="47"/>
        <v>0.5</v>
      </c>
      <c r="X94" s="22">
        <f t="shared" si="48"/>
        <v>17.100000000000001</v>
      </c>
      <c r="Y94" s="10">
        <f t="shared" si="49"/>
        <v>209.54999999999998</v>
      </c>
      <c r="Z94" s="71">
        <v>1160248949.3299999</v>
      </c>
      <c r="AA94" s="72">
        <v>3051</v>
      </c>
      <c r="AB94" s="22">
        <f t="shared" si="35"/>
        <v>380284.81</v>
      </c>
      <c r="AC94" s="9">
        <f t="shared" si="36"/>
        <v>1.4825219999999999</v>
      </c>
      <c r="AD94" s="72">
        <v>93281</v>
      </c>
      <c r="AE94" s="9">
        <f t="shared" si="37"/>
        <v>0.67626799999999998</v>
      </c>
      <c r="AF94" s="9">
        <f t="shared" si="56"/>
        <v>-0.240646</v>
      </c>
      <c r="AG94" s="49">
        <f t="shared" si="38"/>
        <v>0.01</v>
      </c>
      <c r="AH94" s="50">
        <f t="shared" si="39"/>
        <v>0</v>
      </c>
      <c r="AI94" s="51">
        <f t="shared" si="50"/>
        <v>0.01</v>
      </c>
      <c r="AJ94" s="72">
        <v>44</v>
      </c>
      <c r="AK94">
        <v>4</v>
      </c>
      <c r="AL94" s="21">
        <f t="shared" si="51"/>
        <v>17600</v>
      </c>
      <c r="AM94" s="72">
        <v>0</v>
      </c>
      <c r="AN94">
        <v>0</v>
      </c>
      <c r="AO94" s="21">
        <f t="shared" si="52"/>
        <v>0</v>
      </c>
      <c r="AP94" s="21">
        <f t="shared" si="40"/>
        <v>24151</v>
      </c>
      <c r="AQ94" s="21">
        <f t="shared" si="53"/>
        <v>41751</v>
      </c>
      <c r="AR94" s="48">
        <v>25634</v>
      </c>
      <c r="AS94" s="48">
        <f t="shared" si="57"/>
        <v>41751</v>
      </c>
      <c r="AT94" s="72">
        <v>38093</v>
      </c>
      <c r="AU94" s="21">
        <f t="shared" si="58"/>
        <v>3658</v>
      </c>
      <c r="AV94" s="52" t="str">
        <f t="shared" ref="AV94:AV157" si="60">IF(AQ94&gt;AT94,"Yes","No")</f>
        <v>Yes</v>
      </c>
      <c r="AW94" s="48">
        <f t="shared" si="54"/>
        <v>3658</v>
      </c>
      <c r="AX94" s="53">
        <f t="shared" si="55"/>
        <v>41751</v>
      </c>
      <c r="AY94" s="54">
        <f t="shared" si="59"/>
        <v>41751</v>
      </c>
      <c r="AZ94" s="76"/>
      <c r="BA94" s="21"/>
      <c r="BD94" s="55"/>
      <c r="BE94" s="55"/>
      <c r="BF94" s="55"/>
      <c r="BG94" s="55"/>
      <c r="BH94" s="55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31</v>
      </c>
      <c r="H95" s="5">
        <v>69</v>
      </c>
      <c r="I95" s="2" t="s">
        <v>148</v>
      </c>
      <c r="J95" s="45"/>
      <c r="K95" s="71">
        <v>2025.11</v>
      </c>
      <c r="L95" s="74"/>
      <c r="M95" s="72">
        <v>1064</v>
      </c>
      <c r="N95" s="46">
        <f t="shared" si="41"/>
        <v>319.2</v>
      </c>
      <c r="O95" s="46">
        <f t="shared" si="42"/>
        <v>1215.07</v>
      </c>
      <c r="P95" s="46">
        <f t="shared" si="43"/>
        <v>0</v>
      </c>
      <c r="Q95" s="46">
        <f t="shared" si="44"/>
        <v>0</v>
      </c>
      <c r="R95" s="47">
        <f t="shared" si="45"/>
        <v>0.53</v>
      </c>
      <c r="S95" s="47">
        <f t="shared" si="33"/>
        <v>0</v>
      </c>
      <c r="T95" s="46">
        <f t="shared" si="34"/>
        <v>0</v>
      </c>
      <c r="U95" s="46">
        <f t="shared" si="46"/>
        <v>0</v>
      </c>
      <c r="V95" s="72">
        <v>57</v>
      </c>
      <c r="W95" s="46">
        <f t="shared" si="47"/>
        <v>14.25</v>
      </c>
      <c r="X95" s="22">
        <f t="shared" si="48"/>
        <v>319.2</v>
      </c>
      <c r="Y95" s="10">
        <f t="shared" si="49"/>
        <v>2358.56</v>
      </c>
      <c r="Z95" s="71">
        <v>3050590128</v>
      </c>
      <c r="AA95" s="72">
        <v>17837</v>
      </c>
      <c r="AB95" s="22">
        <f t="shared" si="35"/>
        <v>171025.96</v>
      </c>
      <c r="AC95" s="9">
        <f t="shared" si="36"/>
        <v>0.666736</v>
      </c>
      <c r="AD95" s="72">
        <v>76552</v>
      </c>
      <c r="AE95" s="9">
        <f t="shared" si="37"/>
        <v>0.55498599999999998</v>
      </c>
      <c r="AF95" s="9">
        <f t="shared" si="56"/>
        <v>0.36678899999999998</v>
      </c>
      <c r="AG95" s="49">
        <f t="shared" si="38"/>
        <v>0.36678899999999998</v>
      </c>
      <c r="AH95" s="50">
        <f t="shared" si="39"/>
        <v>0</v>
      </c>
      <c r="AI95" s="51">
        <f t="shared" si="50"/>
        <v>0.36678899999999998</v>
      </c>
      <c r="AJ95" s="72">
        <v>0</v>
      </c>
      <c r="AK95">
        <v>0</v>
      </c>
      <c r="AL95" s="21">
        <f t="shared" si="51"/>
        <v>0</v>
      </c>
      <c r="AM95" s="72">
        <v>0</v>
      </c>
      <c r="AN95">
        <v>0</v>
      </c>
      <c r="AO95" s="21">
        <f t="shared" si="52"/>
        <v>0</v>
      </c>
      <c r="AP95" s="21">
        <f t="shared" si="40"/>
        <v>9970207</v>
      </c>
      <c r="AQ95" s="21">
        <f t="shared" si="53"/>
        <v>9970207</v>
      </c>
      <c r="AR95" s="48">
        <v>15574402</v>
      </c>
      <c r="AS95" s="48">
        <f t="shared" si="57"/>
        <v>15574402</v>
      </c>
      <c r="AT95" s="72">
        <v>15574402</v>
      </c>
      <c r="AU95" s="21">
        <f t="shared" si="58"/>
        <v>5604195</v>
      </c>
      <c r="AV95" s="52" t="str">
        <f t="shared" si="60"/>
        <v>No</v>
      </c>
      <c r="AW95" s="48">
        <f t="shared" si="54"/>
        <v>0</v>
      </c>
      <c r="AX95" s="53">
        <f t="shared" si="55"/>
        <v>15574402</v>
      </c>
      <c r="AY95" s="54">
        <f t="shared" si="59"/>
        <v>15574402</v>
      </c>
      <c r="AZ95" s="76"/>
      <c r="BA95" s="21"/>
      <c r="BD95" s="55"/>
      <c r="BE95" s="55"/>
      <c r="BF95" s="55"/>
      <c r="BG95" s="55"/>
      <c r="BH95" s="55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5"/>
      <c r="K96" s="71">
        <v>705.74</v>
      </c>
      <c r="L96" s="73"/>
      <c r="M96" s="72">
        <v>98</v>
      </c>
      <c r="N96" s="46">
        <f t="shared" si="41"/>
        <v>29.4</v>
      </c>
      <c r="O96" s="46">
        <f t="shared" si="42"/>
        <v>423.44</v>
      </c>
      <c r="P96" s="46">
        <f t="shared" si="43"/>
        <v>0</v>
      </c>
      <c r="Q96" s="46">
        <f t="shared" si="44"/>
        <v>0</v>
      </c>
      <c r="R96" s="47">
        <f t="shared" si="45"/>
        <v>0.14000000000000001</v>
      </c>
      <c r="S96" s="47">
        <f t="shared" si="33"/>
        <v>0</v>
      </c>
      <c r="T96" s="46">
        <f t="shared" si="34"/>
        <v>0</v>
      </c>
      <c r="U96" s="46">
        <f t="shared" si="46"/>
        <v>0</v>
      </c>
      <c r="V96" s="72">
        <v>6</v>
      </c>
      <c r="W96" s="46">
        <f t="shared" si="47"/>
        <v>1.5</v>
      </c>
      <c r="X96" s="22">
        <f t="shared" si="48"/>
        <v>29.4</v>
      </c>
      <c r="Y96" s="10">
        <f t="shared" si="49"/>
        <v>736.64</v>
      </c>
      <c r="Z96" s="71">
        <v>1321450801</v>
      </c>
      <c r="AA96" s="72">
        <v>6239</v>
      </c>
      <c r="AB96" s="22">
        <f t="shared" si="35"/>
        <v>211804.9</v>
      </c>
      <c r="AC96" s="9">
        <f t="shared" si="36"/>
        <v>0.82571099999999997</v>
      </c>
      <c r="AD96" s="72">
        <v>124620</v>
      </c>
      <c r="AE96" s="9">
        <f t="shared" si="37"/>
        <v>0.90347</v>
      </c>
      <c r="AF96" s="9">
        <f t="shared" si="56"/>
        <v>0.15096100000000001</v>
      </c>
      <c r="AG96" s="49">
        <f t="shared" si="38"/>
        <v>0.15096100000000001</v>
      </c>
      <c r="AH96" s="50">
        <f t="shared" si="39"/>
        <v>0</v>
      </c>
      <c r="AI96" s="51">
        <f t="shared" si="50"/>
        <v>0.15096100000000001</v>
      </c>
      <c r="AJ96" s="72">
        <v>712</v>
      </c>
      <c r="AK96">
        <v>13</v>
      </c>
      <c r="AL96" s="21">
        <f t="shared" si="51"/>
        <v>925600</v>
      </c>
      <c r="AM96" s="72">
        <v>0</v>
      </c>
      <c r="AN96">
        <v>0</v>
      </c>
      <c r="AO96" s="21">
        <f t="shared" si="52"/>
        <v>0</v>
      </c>
      <c r="AP96" s="21">
        <f t="shared" si="40"/>
        <v>1281625</v>
      </c>
      <c r="AQ96" s="21">
        <f t="shared" si="53"/>
        <v>2207225</v>
      </c>
      <c r="AR96" s="48">
        <v>2173420</v>
      </c>
      <c r="AS96" s="48">
        <f t="shared" si="57"/>
        <v>2207225</v>
      </c>
      <c r="AT96" s="72">
        <v>2040165</v>
      </c>
      <c r="AU96" s="21">
        <f t="shared" si="58"/>
        <v>167060</v>
      </c>
      <c r="AV96" s="52" t="str">
        <f t="shared" si="60"/>
        <v>Yes</v>
      </c>
      <c r="AW96" s="48">
        <f t="shared" si="54"/>
        <v>167060</v>
      </c>
      <c r="AX96" s="53">
        <f t="shared" si="55"/>
        <v>2207225</v>
      </c>
      <c r="AY96" s="54">
        <f t="shared" si="59"/>
        <v>2207225</v>
      </c>
      <c r="AZ96" s="76"/>
      <c r="BA96" s="21"/>
      <c r="BD96" s="55"/>
      <c r="BE96" s="55"/>
      <c r="BF96" s="55"/>
      <c r="BG96" s="55"/>
      <c r="BH96" s="55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5"/>
      <c r="K97" s="71">
        <v>840</v>
      </c>
      <c r="L97" s="73"/>
      <c r="M97" s="72">
        <v>237</v>
      </c>
      <c r="N97" s="46">
        <f t="shared" si="41"/>
        <v>71.099999999999994</v>
      </c>
      <c r="O97" s="46">
        <f t="shared" si="42"/>
        <v>504</v>
      </c>
      <c r="P97" s="46">
        <f t="shared" si="43"/>
        <v>0</v>
      </c>
      <c r="Q97" s="46">
        <f t="shared" si="44"/>
        <v>0</v>
      </c>
      <c r="R97" s="47">
        <f t="shared" si="45"/>
        <v>0.28000000000000003</v>
      </c>
      <c r="S97" s="47">
        <f t="shared" si="33"/>
        <v>0</v>
      </c>
      <c r="T97" s="46">
        <f t="shared" si="34"/>
        <v>0</v>
      </c>
      <c r="U97" s="46">
        <f t="shared" si="46"/>
        <v>0</v>
      </c>
      <c r="V97" s="72">
        <v>6</v>
      </c>
      <c r="W97" s="46">
        <f t="shared" si="47"/>
        <v>1.5</v>
      </c>
      <c r="X97" s="22">
        <f t="shared" si="48"/>
        <v>71.099999999999994</v>
      </c>
      <c r="Y97" s="10">
        <f t="shared" si="49"/>
        <v>912.6</v>
      </c>
      <c r="Z97" s="71">
        <v>1358019780.6700001</v>
      </c>
      <c r="AA97" s="72">
        <v>7132</v>
      </c>
      <c r="AB97" s="22">
        <f t="shared" si="35"/>
        <v>190412.2</v>
      </c>
      <c r="AC97" s="9">
        <f t="shared" si="36"/>
        <v>0.742313</v>
      </c>
      <c r="AD97" s="72">
        <v>107050</v>
      </c>
      <c r="AE97" s="9">
        <f t="shared" si="37"/>
        <v>0.77609099999999998</v>
      </c>
      <c r="AF97" s="9">
        <f t="shared" si="56"/>
        <v>0.247554</v>
      </c>
      <c r="AG97" s="49">
        <f t="shared" si="38"/>
        <v>0.247554</v>
      </c>
      <c r="AH97" s="50">
        <f t="shared" si="39"/>
        <v>0</v>
      </c>
      <c r="AI97" s="51">
        <f t="shared" si="50"/>
        <v>0.247554</v>
      </c>
      <c r="AJ97" s="72">
        <v>0</v>
      </c>
      <c r="AK97">
        <v>0</v>
      </c>
      <c r="AL97" s="21">
        <f t="shared" si="51"/>
        <v>0</v>
      </c>
      <c r="AM97" s="72">
        <v>0</v>
      </c>
      <c r="AN97">
        <v>0</v>
      </c>
      <c r="AO97" s="21">
        <f t="shared" si="52"/>
        <v>0</v>
      </c>
      <c r="AP97" s="21">
        <f t="shared" si="40"/>
        <v>2603702</v>
      </c>
      <c r="AQ97" s="21">
        <f t="shared" si="53"/>
        <v>2603702</v>
      </c>
      <c r="AR97" s="48">
        <v>5410404</v>
      </c>
      <c r="AS97" s="48">
        <f t="shared" si="57"/>
        <v>2603702</v>
      </c>
      <c r="AT97" s="72">
        <v>4578589</v>
      </c>
      <c r="AU97" s="21">
        <f t="shared" si="58"/>
        <v>1974887</v>
      </c>
      <c r="AV97" s="52" t="str">
        <f t="shared" si="60"/>
        <v>No</v>
      </c>
      <c r="AW97" s="48">
        <f t="shared" si="54"/>
        <v>0</v>
      </c>
      <c r="AX97" s="53">
        <f t="shared" si="55"/>
        <v>4578589</v>
      </c>
      <c r="AY97" s="54">
        <f t="shared" si="59"/>
        <v>4578589</v>
      </c>
      <c r="AZ97" s="76"/>
      <c r="BA97" s="21"/>
      <c r="BD97" s="55"/>
      <c r="BE97" s="55"/>
      <c r="BF97" s="55"/>
      <c r="BG97" s="55"/>
      <c r="BH97" s="55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42</v>
      </c>
      <c r="H98" s="5">
        <v>72</v>
      </c>
      <c r="I98" s="2" t="s">
        <v>151</v>
      </c>
      <c r="J98" s="45"/>
      <c r="K98" s="71">
        <v>2296.38</v>
      </c>
      <c r="L98" s="73"/>
      <c r="M98" s="72">
        <v>656</v>
      </c>
      <c r="N98" s="46">
        <f t="shared" si="41"/>
        <v>196.8</v>
      </c>
      <c r="O98" s="46">
        <f t="shared" si="42"/>
        <v>1377.83</v>
      </c>
      <c r="P98" s="46">
        <f t="shared" si="43"/>
        <v>0</v>
      </c>
      <c r="Q98" s="46">
        <f t="shared" si="44"/>
        <v>0</v>
      </c>
      <c r="R98" s="47">
        <f t="shared" si="45"/>
        <v>0.28999999999999998</v>
      </c>
      <c r="S98" s="47">
        <f t="shared" si="33"/>
        <v>0</v>
      </c>
      <c r="T98" s="46">
        <f t="shared" si="34"/>
        <v>0</v>
      </c>
      <c r="U98" s="46">
        <f t="shared" si="46"/>
        <v>0</v>
      </c>
      <c r="V98" s="72">
        <v>43</v>
      </c>
      <c r="W98" s="46">
        <f t="shared" si="47"/>
        <v>10.75</v>
      </c>
      <c r="X98" s="22">
        <f t="shared" si="48"/>
        <v>196.8</v>
      </c>
      <c r="Y98" s="10">
        <f t="shared" si="49"/>
        <v>2503.9300000000003</v>
      </c>
      <c r="Z98" s="71">
        <v>2160446574.3299999</v>
      </c>
      <c r="AA98" s="72">
        <v>15456</v>
      </c>
      <c r="AB98" s="22">
        <f t="shared" si="35"/>
        <v>139780.45000000001</v>
      </c>
      <c r="AC98" s="9">
        <f t="shared" si="36"/>
        <v>0.54492700000000005</v>
      </c>
      <c r="AD98" s="72">
        <v>94509</v>
      </c>
      <c r="AE98" s="9">
        <f t="shared" si="37"/>
        <v>0.68517099999999997</v>
      </c>
      <c r="AF98" s="9">
        <f t="shared" si="56"/>
        <v>0.41299999999999998</v>
      </c>
      <c r="AG98" s="49">
        <f t="shared" si="38"/>
        <v>0.41299999999999998</v>
      </c>
      <c r="AH98" s="50">
        <f t="shared" si="39"/>
        <v>0</v>
      </c>
      <c r="AI98" s="51">
        <f t="shared" si="50"/>
        <v>0.41299999999999998</v>
      </c>
      <c r="AJ98" s="72">
        <v>0</v>
      </c>
      <c r="AK98">
        <v>0</v>
      </c>
      <c r="AL98" s="21">
        <f t="shared" si="51"/>
        <v>0</v>
      </c>
      <c r="AM98" s="72">
        <v>0</v>
      </c>
      <c r="AN98">
        <v>0</v>
      </c>
      <c r="AO98" s="21">
        <f t="shared" si="52"/>
        <v>0</v>
      </c>
      <c r="AP98" s="21">
        <f t="shared" si="40"/>
        <v>11918269</v>
      </c>
      <c r="AQ98" s="21">
        <f t="shared" si="53"/>
        <v>11918269</v>
      </c>
      <c r="AR98" s="48">
        <v>11977384</v>
      </c>
      <c r="AS98" s="48">
        <f t="shared" si="57"/>
        <v>11918269</v>
      </c>
      <c r="AT98" s="72">
        <v>12032619</v>
      </c>
      <c r="AU98" s="21">
        <f t="shared" si="58"/>
        <v>114350</v>
      </c>
      <c r="AV98" s="52" t="str">
        <f t="shared" si="60"/>
        <v>No</v>
      </c>
      <c r="AW98" s="48">
        <f t="shared" si="54"/>
        <v>0</v>
      </c>
      <c r="AX98" s="53">
        <f t="shared" si="55"/>
        <v>12032619</v>
      </c>
      <c r="AY98" s="54">
        <f t="shared" si="59"/>
        <v>12032619</v>
      </c>
      <c r="AZ98" s="76"/>
      <c r="BA98" s="21"/>
      <c r="BD98" s="55"/>
      <c r="BE98" s="55"/>
      <c r="BF98" s="55"/>
      <c r="BG98" s="55"/>
      <c r="BH98" s="55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0</v>
      </c>
      <c r="H99" s="5">
        <v>73</v>
      </c>
      <c r="I99" s="2" t="s">
        <v>152</v>
      </c>
      <c r="J99" s="45"/>
      <c r="K99" s="71">
        <v>549.16</v>
      </c>
      <c r="L99" s="73"/>
      <c r="M99" s="72">
        <v>198</v>
      </c>
      <c r="N99" s="46">
        <f t="shared" si="41"/>
        <v>59.4</v>
      </c>
      <c r="O99" s="46">
        <f t="shared" si="42"/>
        <v>329.5</v>
      </c>
      <c r="P99" s="46">
        <f t="shared" si="43"/>
        <v>0</v>
      </c>
      <c r="Q99" s="46">
        <f t="shared" si="44"/>
        <v>0</v>
      </c>
      <c r="R99" s="47">
        <f t="shared" si="45"/>
        <v>0.36</v>
      </c>
      <c r="S99" s="47">
        <f t="shared" si="33"/>
        <v>0</v>
      </c>
      <c r="T99" s="46">
        <f t="shared" si="34"/>
        <v>0</v>
      </c>
      <c r="U99" s="46">
        <f t="shared" si="46"/>
        <v>0</v>
      </c>
      <c r="V99" s="72">
        <v>12</v>
      </c>
      <c r="W99" s="46">
        <f t="shared" si="47"/>
        <v>3</v>
      </c>
      <c r="X99" s="22">
        <f t="shared" si="48"/>
        <v>59.4</v>
      </c>
      <c r="Y99" s="10">
        <f t="shared" si="49"/>
        <v>611.55999999999995</v>
      </c>
      <c r="Z99" s="71">
        <v>752696831.66999996</v>
      </c>
      <c r="AA99" s="72">
        <v>4242</v>
      </c>
      <c r="AB99" s="22">
        <f t="shared" si="35"/>
        <v>177439.14</v>
      </c>
      <c r="AC99" s="9">
        <f t="shared" si="36"/>
        <v>0.69173799999999996</v>
      </c>
      <c r="AD99" s="72">
        <v>86932</v>
      </c>
      <c r="AE99" s="9">
        <f t="shared" si="37"/>
        <v>0.63023899999999999</v>
      </c>
      <c r="AF99" s="9">
        <f t="shared" si="56"/>
        <v>0.326712</v>
      </c>
      <c r="AG99" s="49">
        <f t="shared" si="38"/>
        <v>0.326712</v>
      </c>
      <c r="AH99" s="50">
        <f t="shared" si="39"/>
        <v>0</v>
      </c>
      <c r="AI99" s="51">
        <f t="shared" si="50"/>
        <v>0.326712</v>
      </c>
      <c r="AJ99" s="72">
        <v>0</v>
      </c>
      <c r="AK99">
        <v>0</v>
      </c>
      <c r="AL99" s="21">
        <f t="shared" si="51"/>
        <v>0</v>
      </c>
      <c r="AM99" s="72">
        <v>104</v>
      </c>
      <c r="AN99">
        <v>4</v>
      </c>
      <c r="AO99" s="21">
        <f t="shared" si="52"/>
        <v>41600</v>
      </c>
      <c r="AP99" s="21">
        <f t="shared" si="40"/>
        <v>2302741</v>
      </c>
      <c r="AQ99" s="21">
        <f t="shared" si="53"/>
        <v>2344341</v>
      </c>
      <c r="AR99" s="48">
        <v>3518715</v>
      </c>
      <c r="AS99" s="48">
        <f t="shared" si="57"/>
        <v>2344341</v>
      </c>
      <c r="AT99" s="72">
        <v>2899516</v>
      </c>
      <c r="AU99" s="21">
        <f t="shared" si="58"/>
        <v>555175</v>
      </c>
      <c r="AV99" s="52" t="str">
        <f t="shared" si="60"/>
        <v>No</v>
      </c>
      <c r="AW99" s="48">
        <f t="shared" si="54"/>
        <v>0</v>
      </c>
      <c r="AX99" s="53">
        <f t="shared" si="55"/>
        <v>2899516</v>
      </c>
      <c r="AY99" s="54">
        <f t="shared" si="59"/>
        <v>2899516</v>
      </c>
      <c r="AZ99" s="76"/>
      <c r="BA99" s="21"/>
      <c r="BD99" s="55"/>
      <c r="BE99" s="55"/>
      <c r="BF99" s="55"/>
      <c r="BG99" s="55"/>
      <c r="BH99" s="55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5"/>
      <c r="K100" s="71">
        <v>776.22</v>
      </c>
      <c r="L100" s="73"/>
      <c r="M100" s="72">
        <v>201</v>
      </c>
      <c r="N100" s="46">
        <f t="shared" si="41"/>
        <v>60.3</v>
      </c>
      <c r="O100" s="46">
        <f t="shared" si="42"/>
        <v>465.73</v>
      </c>
      <c r="P100" s="46">
        <f t="shared" si="43"/>
        <v>0</v>
      </c>
      <c r="Q100" s="46">
        <f t="shared" si="44"/>
        <v>0</v>
      </c>
      <c r="R100" s="47">
        <f t="shared" si="45"/>
        <v>0.26</v>
      </c>
      <c r="S100" s="47">
        <f t="shared" si="33"/>
        <v>0</v>
      </c>
      <c r="T100" s="46">
        <f t="shared" si="34"/>
        <v>0</v>
      </c>
      <c r="U100" s="46">
        <f t="shared" si="46"/>
        <v>0</v>
      </c>
      <c r="V100" s="72">
        <v>7</v>
      </c>
      <c r="W100" s="46">
        <f t="shared" si="47"/>
        <v>1.75</v>
      </c>
      <c r="X100" s="22">
        <f t="shared" si="48"/>
        <v>60.3</v>
      </c>
      <c r="Y100" s="10">
        <f t="shared" si="49"/>
        <v>838.27</v>
      </c>
      <c r="Z100" s="71">
        <v>2114937074</v>
      </c>
      <c r="AA100" s="72">
        <v>8279</v>
      </c>
      <c r="AB100" s="22">
        <f t="shared" si="35"/>
        <v>255458.04</v>
      </c>
      <c r="AC100" s="9">
        <f t="shared" si="36"/>
        <v>0.99589099999999997</v>
      </c>
      <c r="AD100" s="72">
        <v>112910</v>
      </c>
      <c r="AE100" s="9">
        <f t="shared" si="37"/>
        <v>0.81857500000000005</v>
      </c>
      <c r="AF100" s="9">
        <f t="shared" si="56"/>
        <v>5.7304000000000001E-2</v>
      </c>
      <c r="AG100" s="49">
        <f t="shared" si="38"/>
        <v>5.7304000000000001E-2</v>
      </c>
      <c r="AH100" s="50">
        <f t="shared" si="39"/>
        <v>0</v>
      </c>
      <c r="AI100" s="51">
        <f t="shared" si="50"/>
        <v>5.7304000000000001E-2</v>
      </c>
      <c r="AJ100" s="72">
        <v>772</v>
      </c>
      <c r="AK100">
        <v>13</v>
      </c>
      <c r="AL100" s="21">
        <f t="shared" si="51"/>
        <v>1003600</v>
      </c>
      <c r="AM100" s="72">
        <v>0</v>
      </c>
      <c r="AN100">
        <v>0</v>
      </c>
      <c r="AO100" s="21">
        <f t="shared" si="52"/>
        <v>0</v>
      </c>
      <c r="AP100" s="21">
        <f t="shared" si="40"/>
        <v>553617</v>
      </c>
      <c r="AQ100" s="21">
        <f t="shared" si="53"/>
        <v>1557217</v>
      </c>
      <c r="AR100" s="48">
        <v>1446598</v>
      </c>
      <c r="AS100" s="48">
        <f t="shared" si="57"/>
        <v>1557217</v>
      </c>
      <c r="AT100" s="72">
        <v>1309880</v>
      </c>
      <c r="AU100" s="21">
        <f t="shared" si="58"/>
        <v>247337</v>
      </c>
      <c r="AV100" s="52" t="str">
        <f t="shared" si="60"/>
        <v>Yes</v>
      </c>
      <c r="AW100" s="48">
        <f t="shared" si="54"/>
        <v>247337</v>
      </c>
      <c r="AX100" s="53">
        <f t="shared" si="55"/>
        <v>1557217</v>
      </c>
      <c r="AY100" s="54">
        <f t="shared" si="59"/>
        <v>1557217</v>
      </c>
      <c r="AZ100" s="76"/>
      <c r="BA100" s="21"/>
      <c r="BD100" s="55"/>
      <c r="BE100" s="55"/>
      <c r="BF100" s="55"/>
      <c r="BG100" s="55"/>
      <c r="BH100" s="55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5"/>
      <c r="K101" s="71">
        <v>228.45</v>
      </c>
      <c r="L101" s="73"/>
      <c r="M101" s="72">
        <v>34</v>
      </c>
      <c r="N101" s="46">
        <f t="shared" si="41"/>
        <v>10.199999999999999</v>
      </c>
      <c r="O101" s="46">
        <f t="shared" si="42"/>
        <v>137.07</v>
      </c>
      <c r="P101" s="46">
        <f t="shared" si="43"/>
        <v>0</v>
      </c>
      <c r="Q101" s="46">
        <f t="shared" si="44"/>
        <v>0</v>
      </c>
      <c r="R101" s="47">
        <f t="shared" si="45"/>
        <v>0.15</v>
      </c>
      <c r="S101" s="47">
        <f t="shared" si="33"/>
        <v>0</v>
      </c>
      <c r="T101" s="46">
        <f t="shared" si="34"/>
        <v>0</v>
      </c>
      <c r="U101" s="46">
        <f t="shared" si="46"/>
        <v>0</v>
      </c>
      <c r="V101" s="72">
        <v>3</v>
      </c>
      <c r="W101" s="46">
        <f t="shared" si="47"/>
        <v>0.75</v>
      </c>
      <c r="X101" s="22">
        <f t="shared" si="48"/>
        <v>10.199999999999999</v>
      </c>
      <c r="Y101" s="10">
        <f t="shared" si="49"/>
        <v>239.39999999999998</v>
      </c>
      <c r="Z101" s="71">
        <v>1037594229</v>
      </c>
      <c r="AA101" s="72">
        <v>2401</v>
      </c>
      <c r="AB101" s="22">
        <f t="shared" si="35"/>
        <v>432150.87</v>
      </c>
      <c r="AC101" s="9">
        <f t="shared" si="36"/>
        <v>1.6847190000000001</v>
      </c>
      <c r="AD101" s="72">
        <v>119352</v>
      </c>
      <c r="AE101" s="9">
        <f t="shared" si="37"/>
        <v>0.86527799999999999</v>
      </c>
      <c r="AF101" s="9">
        <f t="shared" si="56"/>
        <v>-0.43888700000000003</v>
      </c>
      <c r="AG101" s="49">
        <f t="shared" si="38"/>
        <v>0.01</v>
      </c>
      <c r="AH101" s="50">
        <f t="shared" si="39"/>
        <v>0</v>
      </c>
      <c r="AI101" s="51">
        <f t="shared" si="50"/>
        <v>0.01</v>
      </c>
      <c r="AJ101" s="72">
        <v>226</v>
      </c>
      <c r="AK101">
        <v>13</v>
      </c>
      <c r="AL101" s="21">
        <f t="shared" si="51"/>
        <v>293800</v>
      </c>
      <c r="AM101" s="72">
        <v>0</v>
      </c>
      <c r="AN101">
        <v>0</v>
      </c>
      <c r="AO101" s="21">
        <f t="shared" si="52"/>
        <v>0</v>
      </c>
      <c r="AP101" s="21">
        <f t="shared" si="40"/>
        <v>27591</v>
      </c>
      <c r="AQ101" s="21">
        <f t="shared" si="53"/>
        <v>321391</v>
      </c>
      <c r="AR101" s="48">
        <v>63069</v>
      </c>
      <c r="AS101" s="48">
        <f t="shared" si="57"/>
        <v>321391</v>
      </c>
      <c r="AT101" s="72">
        <v>254340</v>
      </c>
      <c r="AU101" s="21">
        <f t="shared" si="58"/>
        <v>67051</v>
      </c>
      <c r="AV101" s="52" t="str">
        <f t="shared" si="60"/>
        <v>Yes</v>
      </c>
      <c r="AW101" s="48">
        <f t="shared" si="54"/>
        <v>67051</v>
      </c>
      <c r="AX101" s="53">
        <f t="shared" si="55"/>
        <v>321391</v>
      </c>
      <c r="AY101" s="54">
        <f t="shared" si="59"/>
        <v>321391</v>
      </c>
      <c r="AZ101" s="76"/>
      <c r="BA101" s="21"/>
      <c r="BD101" s="55"/>
      <c r="BE101" s="55"/>
      <c r="BF101" s="55"/>
      <c r="BG101" s="55"/>
      <c r="BH101" s="55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5"/>
      <c r="K102" s="71">
        <v>2464.3000000000002</v>
      </c>
      <c r="L102" s="73"/>
      <c r="M102" s="72">
        <v>118</v>
      </c>
      <c r="N102" s="46">
        <f t="shared" si="41"/>
        <v>35.4</v>
      </c>
      <c r="O102" s="46">
        <f t="shared" si="42"/>
        <v>1478.58</v>
      </c>
      <c r="P102" s="46">
        <f t="shared" si="43"/>
        <v>0</v>
      </c>
      <c r="Q102" s="46">
        <f t="shared" si="44"/>
        <v>0</v>
      </c>
      <c r="R102" s="47">
        <f t="shared" si="45"/>
        <v>0.05</v>
      </c>
      <c r="S102" s="47">
        <f t="shared" si="33"/>
        <v>0</v>
      </c>
      <c r="T102" s="46">
        <f t="shared" si="34"/>
        <v>0</v>
      </c>
      <c r="U102" s="46">
        <f t="shared" si="46"/>
        <v>0</v>
      </c>
      <c r="V102" s="72">
        <v>29</v>
      </c>
      <c r="W102" s="46">
        <f t="shared" si="47"/>
        <v>7.25</v>
      </c>
      <c r="X102" s="22">
        <f t="shared" si="48"/>
        <v>35.4</v>
      </c>
      <c r="Y102" s="10">
        <f t="shared" si="49"/>
        <v>2506.9500000000003</v>
      </c>
      <c r="Z102" s="71">
        <v>5777539267.3299999</v>
      </c>
      <c r="AA102" s="72">
        <v>17565</v>
      </c>
      <c r="AB102" s="22">
        <f t="shared" si="35"/>
        <v>328923.39</v>
      </c>
      <c r="AC102" s="9">
        <f t="shared" si="36"/>
        <v>1.282292</v>
      </c>
      <c r="AD102" s="72">
        <v>156171</v>
      </c>
      <c r="AE102" s="9">
        <f t="shared" si="37"/>
        <v>1.1322080000000001</v>
      </c>
      <c r="AF102" s="9">
        <f t="shared" si="56"/>
        <v>-0.23726700000000001</v>
      </c>
      <c r="AG102" s="49">
        <f t="shared" si="38"/>
        <v>0.01</v>
      </c>
      <c r="AH102" s="50">
        <f t="shared" si="39"/>
        <v>0</v>
      </c>
      <c r="AI102" s="51">
        <f t="shared" si="50"/>
        <v>0.01</v>
      </c>
      <c r="AJ102" s="72">
        <v>0</v>
      </c>
      <c r="AK102">
        <v>0</v>
      </c>
      <c r="AL102" s="21">
        <f t="shared" si="51"/>
        <v>0</v>
      </c>
      <c r="AM102" s="72">
        <v>0</v>
      </c>
      <c r="AN102">
        <v>0</v>
      </c>
      <c r="AO102" s="21">
        <f t="shared" si="52"/>
        <v>0</v>
      </c>
      <c r="AP102" s="21">
        <f t="shared" si="40"/>
        <v>288926</v>
      </c>
      <c r="AQ102" s="21">
        <f t="shared" si="53"/>
        <v>288926</v>
      </c>
      <c r="AR102" s="48">
        <v>446496</v>
      </c>
      <c r="AS102" s="48">
        <f t="shared" si="57"/>
        <v>288926</v>
      </c>
      <c r="AT102" s="72">
        <v>395466</v>
      </c>
      <c r="AU102" s="21">
        <f t="shared" si="58"/>
        <v>106540</v>
      </c>
      <c r="AV102" s="52" t="str">
        <f t="shared" si="60"/>
        <v>No</v>
      </c>
      <c r="AW102" s="48">
        <f t="shared" si="54"/>
        <v>0</v>
      </c>
      <c r="AX102" s="53">
        <f t="shared" si="55"/>
        <v>395466</v>
      </c>
      <c r="AY102" s="54">
        <f t="shared" si="59"/>
        <v>395466</v>
      </c>
      <c r="AZ102" s="76"/>
      <c r="BA102" s="21"/>
      <c r="BD102" s="55"/>
      <c r="BE102" s="55"/>
      <c r="BF102" s="55"/>
      <c r="BG102" s="55"/>
      <c r="BH102" s="55"/>
    </row>
    <row r="103" spans="1:60" x14ac:dyDescent="0.5">
      <c r="A103" s="5" t="s">
        <v>86</v>
      </c>
      <c r="B103" s="58">
        <v>1</v>
      </c>
      <c r="C103" s="33">
        <v>1</v>
      </c>
      <c r="D103" s="33">
        <v>0</v>
      </c>
      <c r="E103" s="33">
        <v>1</v>
      </c>
      <c r="F103" s="2">
        <v>9</v>
      </c>
      <c r="G103">
        <v>19</v>
      </c>
      <c r="H103" s="5">
        <v>77</v>
      </c>
      <c r="I103" s="2" t="s">
        <v>156</v>
      </c>
      <c r="J103" s="45"/>
      <c r="K103" s="71">
        <v>7451.34</v>
      </c>
      <c r="L103" s="74"/>
      <c r="M103" s="72">
        <v>4498</v>
      </c>
      <c r="N103" s="46">
        <f t="shared" si="41"/>
        <v>1349.4</v>
      </c>
      <c r="O103" s="46">
        <f t="shared" si="42"/>
        <v>4470.8</v>
      </c>
      <c r="P103" s="46">
        <f t="shared" si="43"/>
        <v>27.199999999999818</v>
      </c>
      <c r="Q103" s="46">
        <f t="shared" si="44"/>
        <v>4.08</v>
      </c>
      <c r="R103" s="47">
        <f t="shared" si="45"/>
        <v>0.6</v>
      </c>
      <c r="S103" s="47">
        <f t="shared" si="33"/>
        <v>0</v>
      </c>
      <c r="T103" s="46">
        <f t="shared" si="34"/>
        <v>0</v>
      </c>
      <c r="U103" s="46">
        <f t="shared" si="46"/>
        <v>0</v>
      </c>
      <c r="V103" s="72">
        <v>665</v>
      </c>
      <c r="W103" s="46">
        <f t="shared" si="47"/>
        <v>166.25</v>
      </c>
      <c r="X103" s="22">
        <f t="shared" si="48"/>
        <v>1349.4</v>
      </c>
      <c r="Y103" s="10">
        <f t="shared" si="49"/>
        <v>8971.07</v>
      </c>
      <c r="Z103" s="71">
        <v>7516649506.3299999</v>
      </c>
      <c r="AA103" s="72">
        <v>59461</v>
      </c>
      <c r="AB103" s="22">
        <f t="shared" si="35"/>
        <v>126413.1</v>
      </c>
      <c r="AC103" s="9">
        <f t="shared" si="36"/>
        <v>0.492815</v>
      </c>
      <c r="AD103" s="72">
        <v>85048</v>
      </c>
      <c r="AE103" s="9">
        <f t="shared" si="37"/>
        <v>0.61658100000000005</v>
      </c>
      <c r="AF103" s="9">
        <f t="shared" si="56"/>
        <v>0.470055</v>
      </c>
      <c r="AG103" s="49">
        <f t="shared" si="38"/>
        <v>0.470055</v>
      </c>
      <c r="AH103" s="50">
        <f t="shared" si="39"/>
        <v>0.03</v>
      </c>
      <c r="AI103" s="51">
        <f t="shared" si="50"/>
        <v>0.50005500000000003</v>
      </c>
      <c r="AJ103" s="72">
        <v>0</v>
      </c>
      <c r="AK103">
        <v>0</v>
      </c>
      <c r="AL103" s="21">
        <f t="shared" si="51"/>
        <v>0</v>
      </c>
      <c r="AM103" s="72">
        <v>0</v>
      </c>
      <c r="AN103">
        <v>0</v>
      </c>
      <c r="AO103" s="21">
        <f t="shared" si="52"/>
        <v>0</v>
      </c>
      <c r="AP103" s="21">
        <f t="shared" si="40"/>
        <v>51701477</v>
      </c>
      <c r="AQ103" s="21">
        <f t="shared" si="53"/>
        <v>51701477</v>
      </c>
      <c r="AR103" s="48">
        <v>34440424</v>
      </c>
      <c r="AS103" s="48">
        <f t="shared" si="57"/>
        <v>51701477</v>
      </c>
      <c r="AT103" s="72">
        <v>46222158</v>
      </c>
      <c r="AU103" s="21">
        <f t="shared" si="58"/>
        <v>5479319</v>
      </c>
      <c r="AV103" s="52" t="str">
        <f t="shared" si="60"/>
        <v>Yes</v>
      </c>
      <c r="AW103" s="48">
        <f t="shared" si="54"/>
        <v>5479319</v>
      </c>
      <c r="AX103" s="53">
        <f t="shared" si="55"/>
        <v>51701477</v>
      </c>
      <c r="AY103" s="54">
        <f t="shared" si="59"/>
        <v>51701477</v>
      </c>
      <c r="AZ103" s="76"/>
      <c r="BA103" s="21"/>
      <c r="BD103" s="55"/>
      <c r="BE103" s="55"/>
      <c r="BF103" s="55"/>
      <c r="BG103" s="55"/>
      <c r="BH103" s="55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28</v>
      </c>
      <c r="H104" s="5">
        <v>78</v>
      </c>
      <c r="I104" s="2" t="s">
        <v>157</v>
      </c>
      <c r="J104" s="45"/>
      <c r="K104" s="71">
        <v>1505.93</v>
      </c>
      <c r="L104" s="75"/>
      <c r="M104" s="72">
        <v>464</v>
      </c>
      <c r="N104" s="46">
        <f t="shared" si="41"/>
        <v>139.19999999999999</v>
      </c>
      <c r="O104" s="46">
        <f t="shared" si="42"/>
        <v>903.56</v>
      </c>
      <c r="P104" s="46">
        <f t="shared" si="43"/>
        <v>0</v>
      </c>
      <c r="Q104" s="46">
        <f t="shared" si="44"/>
        <v>0</v>
      </c>
      <c r="R104" s="47">
        <f t="shared" si="45"/>
        <v>0.31</v>
      </c>
      <c r="S104" s="47">
        <f t="shared" si="33"/>
        <v>0</v>
      </c>
      <c r="T104" s="46">
        <f t="shared" si="34"/>
        <v>0</v>
      </c>
      <c r="U104" s="46">
        <f t="shared" si="46"/>
        <v>0</v>
      </c>
      <c r="V104" s="72">
        <v>91</v>
      </c>
      <c r="W104" s="46">
        <f t="shared" si="47"/>
        <v>22.75</v>
      </c>
      <c r="X104" s="22">
        <f t="shared" si="48"/>
        <v>139.19999999999999</v>
      </c>
      <c r="Y104" s="10">
        <f t="shared" si="49"/>
        <v>1667.88</v>
      </c>
      <c r="Z104" s="71">
        <v>2211107623</v>
      </c>
      <c r="AA104" s="77">
        <v>31949</v>
      </c>
      <c r="AB104" s="22">
        <f t="shared" si="35"/>
        <v>69207.41</v>
      </c>
      <c r="AC104" s="9">
        <f t="shared" si="36"/>
        <v>0.26980199999999999</v>
      </c>
      <c r="AD104" s="72">
        <v>64194</v>
      </c>
      <c r="AE104" s="9">
        <f t="shared" si="37"/>
        <v>0.465393</v>
      </c>
      <c r="AF104" s="9">
        <f t="shared" si="56"/>
        <v>0.67152100000000003</v>
      </c>
      <c r="AG104" s="49">
        <f t="shared" si="38"/>
        <v>0.67152100000000003</v>
      </c>
      <c r="AH104" s="50">
        <f t="shared" si="39"/>
        <v>0</v>
      </c>
      <c r="AI104" s="51">
        <f t="shared" si="50"/>
        <v>0.67152100000000003</v>
      </c>
      <c r="AJ104" s="72">
        <v>510</v>
      </c>
      <c r="AK104">
        <v>4</v>
      </c>
      <c r="AL104" s="21">
        <f t="shared" si="51"/>
        <v>204000</v>
      </c>
      <c r="AM104" s="72">
        <v>0</v>
      </c>
      <c r="AN104">
        <v>0</v>
      </c>
      <c r="AO104" s="21">
        <f t="shared" si="52"/>
        <v>0</v>
      </c>
      <c r="AP104" s="21">
        <f t="shared" si="40"/>
        <v>12908190</v>
      </c>
      <c r="AQ104" s="21">
        <f t="shared" si="53"/>
        <v>13112190</v>
      </c>
      <c r="AR104" s="48">
        <v>9947410</v>
      </c>
      <c r="AS104" s="48">
        <f t="shared" si="57"/>
        <v>13112190</v>
      </c>
      <c r="AT104" s="72">
        <v>11860593</v>
      </c>
      <c r="AU104" s="21">
        <f t="shared" si="58"/>
        <v>1251597</v>
      </c>
      <c r="AV104" s="52" t="str">
        <f t="shared" si="60"/>
        <v>Yes</v>
      </c>
      <c r="AW104" s="48">
        <f t="shared" si="54"/>
        <v>1251597</v>
      </c>
      <c r="AX104" s="53">
        <f t="shared" si="55"/>
        <v>13112190</v>
      </c>
      <c r="AY104" s="54">
        <f t="shared" si="59"/>
        <v>13112190</v>
      </c>
      <c r="AZ104" s="76"/>
      <c r="BA104" s="21"/>
      <c r="BD104" s="55"/>
      <c r="BE104" s="55"/>
      <c r="BF104" s="55"/>
      <c r="BG104" s="55"/>
      <c r="BH104" s="55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5"/>
      <c r="K105" s="71">
        <v>849.66</v>
      </c>
      <c r="L105" s="73"/>
      <c r="M105" s="72">
        <v>152</v>
      </c>
      <c r="N105" s="46">
        <f t="shared" si="41"/>
        <v>45.6</v>
      </c>
      <c r="O105" s="46">
        <f t="shared" si="42"/>
        <v>509.8</v>
      </c>
      <c r="P105" s="46">
        <f t="shared" si="43"/>
        <v>0</v>
      </c>
      <c r="Q105" s="46">
        <f t="shared" si="44"/>
        <v>0</v>
      </c>
      <c r="R105" s="47">
        <f t="shared" si="45"/>
        <v>0.18</v>
      </c>
      <c r="S105" s="47">
        <f t="shared" si="33"/>
        <v>0</v>
      </c>
      <c r="T105" s="46">
        <f t="shared" si="34"/>
        <v>0</v>
      </c>
      <c r="U105" s="46">
        <f t="shared" si="46"/>
        <v>0</v>
      </c>
      <c r="V105" s="72">
        <v>8</v>
      </c>
      <c r="W105" s="46">
        <f t="shared" si="47"/>
        <v>2</v>
      </c>
      <c r="X105" s="22">
        <f t="shared" si="48"/>
        <v>45.6</v>
      </c>
      <c r="Y105" s="10">
        <f t="shared" si="49"/>
        <v>897.26</v>
      </c>
      <c r="Z105" s="71">
        <v>1063478548</v>
      </c>
      <c r="AA105" s="72">
        <v>6109</v>
      </c>
      <c r="AB105" s="22">
        <f t="shared" si="35"/>
        <v>174083.9</v>
      </c>
      <c r="AC105" s="9">
        <f t="shared" si="36"/>
        <v>0.67865699999999995</v>
      </c>
      <c r="AD105" s="72">
        <v>134643</v>
      </c>
      <c r="AE105" s="9">
        <f t="shared" si="37"/>
        <v>0.97613399999999995</v>
      </c>
      <c r="AF105" s="9">
        <f t="shared" si="56"/>
        <v>0.2321</v>
      </c>
      <c r="AG105" s="49">
        <f t="shared" si="38"/>
        <v>0.2321</v>
      </c>
      <c r="AH105" s="50">
        <f t="shared" si="39"/>
        <v>0</v>
      </c>
      <c r="AI105" s="51">
        <f t="shared" si="50"/>
        <v>0.2321</v>
      </c>
      <c r="AJ105" s="72">
        <v>388</v>
      </c>
      <c r="AK105">
        <v>6</v>
      </c>
      <c r="AL105" s="21">
        <f t="shared" si="51"/>
        <v>232800</v>
      </c>
      <c r="AM105" s="72">
        <v>0</v>
      </c>
      <c r="AN105">
        <v>0</v>
      </c>
      <c r="AO105" s="21">
        <f t="shared" si="52"/>
        <v>0</v>
      </c>
      <c r="AP105" s="21">
        <f t="shared" si="40"/>
        <v>2400128</v>
      </c>
      <c r="AQ105" s="21">
        <f t="shared" si="53"/>
        <v>2632928</v>
      </c>
      <c r="AR105" s="48">
        <v>3154015</v>
      </c>
      <c r="AS105" s="48">
        <f t="shared" si="57"/>
        <v>2632928</v>
      </c>
      <c r="AT105" s="72">
        <v>2952086</v>
      </c>
      <c r="AU105" s="21">
        <f t="shared" si="58"/>
        <v>319158</v>
      </c>
      <c r="AV105" s="52" t="str">
        <f t="shared" si="60"/>
        <v>No</v>
      </c>
      <c r="AW105" s="48">
        <f t="shared" si="54"/>
        <v>0</v>
      </c>
      <c r="AX105" s="53">
        <f t="shared" si="55"/>
        <v>2952086</v>
      </c>
      <c r="AY105" s="54">
        <f t="shared" si="59"/>
        <v>2952086</v>
      </c>
      <c r="AZ105" s="76"/>
      <c r="BA105" s="21"/>
      <c r="BD105" s="55"/>
      <c r="BE105" s="55"/>
      <c r="BF105" s="55"/>
      <c r="BG105" s="55"/>
      <c r="BH105" s="55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11</v>
      </c>
      <c r="H106" s="5">
        <v>80</v>
      </c>
      <c r="I106" s="2" t="s">
        <v>159</v>
      </c>
      <c r="J106" s="45"/>
      <c r="K106" s="71">
        <v>8923.98</v>
      </c>
      <c r="L106" s="74"/>
      <c r="M106" s="72">
        <v>6905</v>
      </c>
      <c r="N106" s="46">
        <f t="shared" si="41"/>
        <v>2071.5</v>
      </c>
      <c r="O106" s="46">
        <f t="shared" si="42"/>
        <v>5354.39</v>
      </c>
      <c r="P106" s="46">
        <f t="shared" si="43"/>
        <v>1550.6099999999997</v>
      </c>
      <c r="Q106" s="46">
        <f t="shared" si="44"/>
        <v>232.59</v>
      </c>
      <c r="R106" s="47">
        <f t="shared" si="45"/>
        <v>0.77</v>
      </c>
      <c r="S106" s="47">
        <f t="shared" si="33"/>
        <v>0.17000000000000004</v>
      </c>
      <c r="T106" s="46">
        <f t="shared" si="34"/>
        <v>1517.08</v>
      </c>
      <c r="U106" s="46">
        <f t="shared" si="46"/>
        <v>227.56</v>
      </c>
      <c r="V106" s="72">
        <v>1760</v>
      </c>
      <c r="W106" s="46">
        <f t="shared" si="47"/>
        <v>440</v>
      </c>
      <c r="X106" s="22">
        <f t="shared" si="48"/>
        <v>2071.5</v>
      </c>
      <c r="Y106" s="10">
        <f t="shared" si="49"/>
        <v>11668.07</v>
      </c>
      <c r="Z106" s="71">
        <v>6160086857.3299999</v>
      </c>
      <c r="AA106" s="72">
        <v>60242</v>
      </c>
      <c r="AB106" s="22">
        <f t="shared" si="35"/>
        <v>102255.67999999999</v>
      </c>
      <c r="AC106" s="9">
        <f t="shared" si="36"/>
        <v>0.39863900000000002</v>
      </c>
      <c r="AD106" s="72">
        <v>63671</v>
      </c>
      <c r="AE106" s="9">
        <f t="shared" si="37"/>
        <v>0.46160200000000001</v>
      </c>
      <c r="AF106" s="9">
        <f t="shared" si="56"/>
        <v>0.58247199999999999</v>
      </c>
      <c r="AG106" s="49">
        <f t="shared" si="38"/>
        <v>0.58247199999999999</v>
      </c>
      <c r="AH106" s="50">
        <f t="shared" si="39"/>
        <v>0.04</v>
      </c>
      <c r="AI106" s="51">
        <f t="shared" si="50"/>
        <v>0.62247200000000003</v>
      </c>
      <c r="AJ106" s="72">
        <v>0</v>
      </c>
      <c r="AK106">
        <v>0</v>
      </c>
      <c r="AL106" s="21">
        <f t="shared" si="51"/>
        <v>0</v>
      </c>
      <c r="AM106" s="72">
        <v>0</v>
      </c>
      <c r="AN106">
        <v>0</v>
      </c>
      <c r="AO106" s="21">
        <f t="shared" si="52"/>
        <v>0</v>
      </c>
      <c r="AP106" s="21">
        <f t="shared" si="40"/>
        <v>83706615</v>
      </c>
      <c r="AQ106" s="21">
        <f t="shared" si="53"/>
        <v>83706615</v>
      </c>
      <c r="AR106" s="48">
        <v>60258395</v>
      </c>
      <c r="AS106" s="48">
        <f t="shared" si="57"/>
        <v>83706615</v>
      </c>
      <c r="AT106" s="72">
        <v>79454514</v>
      </c>
      <c r="AU106" s="21">
        <f t="shared" si="58"/>
        <v>4252101</v>
      </c>
      <c r="AV106" s="52" t="str">
        <f t="shared" si="60"/>
        <v>Yes</v>
      </c>
      <c r="AW106" s="48">
        <f t="shared" si="54"/>
        <v>4252101</v>
      </c>
      <c r="AX106" s="53">
        <f t="shared" si="55"/>
        <v>83706615</v>
      </c>
      <c r="AY106" s="54">
        <f t="shared" si="59"/>
        <v>83706615</v>
      </c>
      <c r="AZ106" s="76"/>
      <c r="BA106" s="21"/>
      <c r="BD106" s="55"/>
      <c r="BE106" s="55"/>
      <c r="BF106" s="55"/>
      <c r="BG106" s="55"/>
      <c r="BH106" s="55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5"/>
      <c r="K107" s="71">
        <v>1182.45</v>
      </c>
      <c r="L107" s="73"/>
      <c r="M107" s="72">
        <v>194</v>
      </c>
      <c r="N107" s="46">
        <f t="shared" si="41"/>
        <v>58.2</v>
      </c>
      <c r="O107" s="46">
        <f t="shared" si="42"/>
        <v>709.47</v>
      </c>
      <c r="P107" s="46">
        <f t="shared" si="43"/>
        <v>0</v>
      </c>
      <c r="Q107" s="46">
        <f t="shared" si="44"/>
        <v>0</v>
      </c>
      <c r="R107" s="47">
        <f t="shared" si="45"/>
        <v>0.16</v>
      </c>
      <c r="S107" s="47">
        <f t="shared" si="33"/>
        <v>0</v>
      </c>
      <c r="T107" s="46">
        <f t="shared" si="34"/>
        <v>0</v>
      </c>
      <c r="U107" s="46">
        <f t="shared" si="46"/>
        <v>0</v>
      </c>
      <c r="V107" s="72">
        <v>30</v>
      </c>
      <c r="W107" s="46">
        <f t="shared" si="47"/>
        <v>7.5</v>
      </c>
      <c r="X107" s="22">
        <f t="shared" si="48"/>
        <v>58.2</v>
      </c>
      <c r="Y107" s="10">
        <f t="shared" si="49"/>
        <v>1248.1500000000001</v>
      </c>
      <c r="Z107" s="71">
        <v>1779825887.6700001</v>
      </c>
      <c r="AA107" s="72">
        <v>7807</v>
      </c>
      <c r="AB107" s="22">
        <f t="shared" si="35"/>
        <v>227978.21</v>
      </c>
      <c r="AC107" s="9">
        <f t="shared" si="36"/>
        <v>0.88876200000000005</v>
      </c>
      <c r="AD107" s="72">
        <v>135114</v>
      </c>
      <c r="AE107" s="9">
        <f t="shared" si="37"/>
        <v>0.979549</v>
      </c>
      <c r="AF107" s="9">
        <f t="shared" si="56"/>
        <v>8.4001999999999993E-2</v>
      </c>
      <c r="AG107" s="49">
        <f t="shared" si="38"/>
        <v>8.4001999999999993E-2</v>
      </c>
      <c r="AH107" s="50">
        <f t="shared" si="39"/>
        <v>0</v>
      </c>
      <c r="AI107" s="51">
        <f t="shared" si="50"/>
        <v>8.4001999999999993E-2</v>
      </c>
      <c r="AJ107" s="72">
        <v>1182</v>
      </c>
      <c r="AK107">
        <v>13</v>
      </c>
      <c r="AL107" s="21">
        <f t="shared" si="51"/>
        <v>1536600</v>
      </c>
      <c r="AM107" s="72">
        <v>0</v>
      </c>
      <c r="AN107">
        <v>0</v>
      </c>
      <c r="AO107" s="21">
        <f t="shared" si="52"/>
        <v>0</v>
      </c>
      <c r="AP107" s="21">
        <f t="shared" si="40"/>
        <v>1208363</v>
      </c>
      <c r="AQ107" s="21">
        <f t="shared" si="53"/>
        <v>2744963</v>
      </c>
      <c r="AR107" s="48">
        <v>855086</v>
      </c>
      <c r="AS107" s="48">
        <f t="shared" si="57"/>
        <v>2744963</v>
      </c>
      <c r="AT107" s="72">
        <v>2182673</v>
      </c>
      <c r="AU107" s="21">
        <f t="shared" si="58"/>
        <v>562290</v>
      </c>
      <c r="AV107" s="52" t="str">
        <f t="shared" si="60"/>
        <v>Yes</v>
      </c>
      <c r="AW107" s="48">
        <f t="shared" si="54"/>
        <v>562290</v>
      </c>
      <c r="AX107" s="53">
        <f t="shared" si="55"/>
        <v>2744963</v>
      </c>
      <c r="AY107" s="54">
        <f t="shared" si="59"/>
        <v>2744963</v>
      </c>
      <c r="AZ107" s="76"/>
      <c r="BA107" s="21"/>
      <c r="BD107" s="55"/>
      <c r="BE107" s="55"/>
      <c r="BF107" s="55"/>
      <c r="BG107" s="55"/>
      <c r="BH107" s="55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5"/>
      <c r="K108" s="71">
        <v>461.06</v>
      </c>
      <c r="L108" s="73"/>
      <c r="M108" s="72">
        <v>92</v>
      </c>
      <c r="N108" s="46">
        <f t="shared" si="41"/>
        <v>27.6</v>
      </c>
      <c r="O108" s="46">
        <f t="shared" si="42"/>
        <v>276.64</v>
      </c>
      <c r="P108" s="46">
        <f t="shared" si="43"/>
        <v>0</v>
      </c>
      <c r="Q108" s="46">
        <f t="shared" si="44"/>
        <v>0</v>
      </c>
      <c r="R108" s="47">
        <f t="shared" si="45"/>
        <v>0.2</v>
      </c>
      <c r="S108" s="47">
        <f t="shared" si="33"/>
        <v>0</v>
      </c>
      <c r="T108" s="46">
        <f t="shared" si="34"/>
        <v>0</v>
      </c>
      <c r="U108" s="46">
        <f t="shared" si="46"/>
        <v>0</v>
      </c>
      <c r="V108" s="72">
        <v>6</v>
      </c>
      <c r="W108" s="46">
        <f t="shared" si="47"/>
        <v>1.5</v>
      </c>
      <c r="X108" s="22">
        <f t="shared" si="48"/>
        <v>27.6</v>
      </c>
      <c r="Y108" s="10">
        <f t="shared" si="49"/>
        <v>490.16</v>
      </c>
      <c r="Z108" s="71">
        <v>808479812.33000004</v>
      </c>
      <c r="AA108" s="72">
        <v>4248</v>
      </c>
      <c r="AB108" s="22">
        <f t="shared" si="35"/>
        <v>190320.11</v>
      </c>
      <c r="AC108" s="9">
        <f t="shared" si="36"/>
        <v>0.741954</v>
      </c>
      <c r="AD108" s="72">
        <v>102083</v>
      </c>
      <c r="AE108" s="9">
        <f t="shared" si="37"/>
        <v>0.74008099999999999</v>
      </c>
      <c r="AF108" s="9">
        <f t="shared" si="56"/>
        <v>0.258608</v>
      </c>
      <c r="AG108" s="49">
        <f t="shared" si="38"/>
        <v>0.258608</v>
      </c>
      <c r="AH108" s="50">
        <f t="shared" si="39"/>
        <v>0</v>
      </c>
      <c r="AI108" s="51">
        <f t="shared" si="50"/>
        <v>0.258608</v>
      </c>
      <c r="AJ108" s="72">
        <v>461</v>
      </c>
      <c r="AK108">
        <v>13</v>
      </c>
      <c r="AL108" s="21">
        <f t="shared" si="51"/>
        <v>599300</v>
      </c>
      <c r="AM108" s="72">
        <v>0</v>
      </c>
      <c r="AN108">
        <v>0</v>
      </c>
      <c r="AO108" s="21">
        <f t="shared" si="52"/>
        <v>0</v>
      </c>
      <c r="AP108" s="21">
        <f t="shared" si="40"/>
        <v>1460901</v>
      </c>
      <c r="AQ108" s="21">
        <f t="shared" si="53"/>
        <v>2060201</v>
      </c>
      <c r="AR108" s="48">
        <v>2099315</v>
      </c>
      <c r="AS108" s="48">
        <f t="shared" si="57"/>
        <v>2060201</v>
      </c>
      <c r="AT108" s="72">
        <v>2100359</v>
      </c>
      <c r="AU108" s="21">
        <f t="shared" si="58"/>
        <v>40158</v>
      </c>
      <c r="AV108" s="52" t="str">
        <f t="shared" si="60"/>
        <v>No</v>
      </c>
      <c r="AW108" s="48">
        <f t="shared" si="54"/>
        <v>0</v>
      </c>
      <c r="AX108" s="53">
        <f t="shared" si="55"/>
        <v>2100359</v>
      </c>
      <c r="AY108" s="54">
        <f t="shared" si="59"/>
        <v>2100359</v>
      </c>
      <c r="AZ108" s="76"/>
      <c r="BA108" s="21"/>
      <c r="BD108" s="55"/>
      <c r="BE108" s="55"/>
      <c r="BF108" s="55"/>
      <c r="BG108" s="55"/>
      <c r="BH108" s="55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21</v>
      </c>
      <c r="H109" s="5">
        <v>83</v>
      </c>
      <c r="I109" s="2" t="s">
        <v>162</v>
      </c>
      <c r="J109" s="45"/>
      <c r="K109" s="71">
        <v>4506.93</v>
      </c>
      <c r="L109" s="74"/>
      <c r="M109" s="72">
        <v>2322</v>
      </c>
      <c r="N109" s="46">
        <f t="shared" si="41"/>
        <v>696.6</v>
      </c>
      <c r="O109" s="46">
        <f t="shared" si="42"/>
        <v>2704.16</v>
      </c>
      <c r="P109" s="46">
        <f t="shared" si="43"/>
        <v>0</v>
      </c>
      <c r="Q109" s="46">
        <f t="shared" si="44"/>
        <v>0</v>
      </c>
      <c r="R109" s="47">
        <f t="shared" si="45"/>
        <v>0.52</v>
      </c>
      <c r="S109" s="47">
        <f t="shared" si="33"/>
        <v>0</v>
      </c>
      <c r="T109" s="46">
        <f t="shared" si="34"/>
        <v>0</v>
      </c>
      <c r="U109" s="46">
        <f t="shared" si="46"/>
        <v>0</v>
      </c>
      <c r="V109" s="72">
        <v>299</v>
      </c>
      <c r="W109" s="46">
        <f t="shared" si="47"/>
        <v>74.75</v>
      </c>
      <c r="X109" s="22">
        <f t="shared" si="48"/>
        <v>696.6</v>
      </c>
      <c r="Y109" s="10">
        <f t="shared" si="49"/>
        <v>5278.2800000000007</v>
      </c>
      <c r="Z109" s="71">
        <v>6665957132.3299999</v>
      </c>
      <c r="AA109" s="72">
        <v>48729</v>
      </c>
      <c r="AB109" s="22">
        <f t="shared" si="35"/>
        <v>136796.51</v>
      </c>
      <c r="AC109" s="9">
        <f t="shared" si="36"/>
        <v>0.53329400000000005</v>
      </c>
      <c r="AD109" s="72">
        <v>75120</v>
      </c>
      <c r="AE109" s="9">
        <f t="shared" si="37"/>
        <v>0.54460500000000001</v>
      </c>
      <c r="AF109" s="9">
        <f t="shared" si="56"/>
        <v>0.46331299999999997</v>
      </c>
      <c r="AG109" s="49">
        <f t="shared" si="38"/>
        <v>0.46331299999999997</v>
      </c>
      <c r="AH109" s="50">
        <f t="shared" si="39"/>
        <v>0</v>
      </c>
      <c r="AI109" s="51">
        <f t="shared" si="50"/>
        <v>0.46331299999999997</v>
      </c>
      <c r="AJ109" s="72">
        <v>0</v>
      </c>
      <c r="AK109">
        <v>0</v>
      </c>
      <c r="AL109" s="21">
        <f t="shared" si="51"/>
        <v>0</v>
      </c>
      <c r="AM109" s="72">
        <v>0</v>
      </c>
      <c r="AN109">
        <v>0</v>
      </c>
      <c r="AO109" s="21">
        <f t="shared" si="52"/>
        <v>0</v>
      </c>
      <c r="AP109" s="21">
        <f t="shared" si="40"/>
        <v>28184338</v>
      </c>
      <c r="AQ109" s="21">
        <f t="shared" si="53"/>
        <v>28184338</v>
      </c>
      <c r="AR109" s="48">
        <v>19515825</v>
      </c>
      <c r="AS109" s="48">
        <f t="shared" si="57"/>
        <v>28184338</v>
      </c>
      <c r="AT109" s="72">
        <v>25404320</v>
      </c>
      <c r="AU109" s="21">
        <f t="shared" si="58"/>
        <v>2780018</v>
      </c>
      <c r="AV109" s="52" t="str">
        <f t="shared" si="60"/>
        <v>Yes</v>
      </c>
      <c r="AW109" s="48">
        <f t="shared" si="54"/>
        <v>2780018</v>
      </c>
      <c r="AX109" s="53">
        <f t="shared" si="55"/>
        <v>28184338</v>
      </c>
      <c r="AY109" s="54">
        <f t="shared" si="59"/>
        <v>28184338</v>
      </c>
      <c r="AZ109" s="76"/>
      <c r="BA109" s="21"/>
      <c r="BD109" s="55"/>
      <c r="BE109" s="55"/>
      <c r="BF109" s="55"/>
      <c r="BG109" s="55"/>
      <c r="BH109" s="55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5"/>
      <c r="K110" s="71">
        <v>5213.75</v>
      </c>
      <c r="L110" s="73"/>
      <c r="M110" s="72">
        <v>1589</v>
      </c>
      <c r="N110" s="46">
        <f t="shared" si="41"/>
        <v>476.7</v>
      </c>
      <c r="O110" s="46">
        <f t="shared" si="42"/>
        <v>3128.25</v>
      </c>
      <c r="P110" s="46">
        <f t="shared" si="43"/>
        <v>0</v>
      </c>
      <c r="Q110" s="46">
        <f t="shared" si="44"/>
        <v>0</v>
      </c>
      <c r="R110" s="47">
        <f t="shared" si="45"/>
        <v>0.3</v>
      </c>
      <c r="S110" s="47">
        <f t="shared" si="33"/>
        <v>0</v>
      </c>
      <c r="T110" s="46">
        <f t="shared" si="34"/>
        <v>0</v>
      </c>
      <c r="U110" s="46">
        <f t="shared" si="46"/>
        <v>0</v>
      </c>
      <c r="V110" s="72">
        <v>152</v>
      </c>
      <c r="W110" s="46">
        <f t="shared" si="47"/>
        <v>38</v>
      </c>
      <c r="X110" s="22">
        <f t="shared" si="48"/>
        <v>476.7</v>
      </c>
      <c r="Y110" s="10">
        <f t="shared" si="49"/>
        <v>5728.45</v>
      </c>
      <c r="Z110" s="71">
        <v>12295511927.33</v>
      </c>
      <c r="AA110" s="72">
        <v>52679</v>
      </c>
      <c r="AB110" s="22">
        <f t="shared" si="35"/>
        <v>233404.43</v>
      </c>
      <c r="AC110" s="9">
        <f t="shared" si="36"/>
        <v>0.90991599999999995</v>
      </c>
      <c r="AD110" s="72">
        <v>104441</v>
      </c>
      <c r="AE110" s="9">
        <f t="shared" si="37"/>
        <v>0.75717599999999996</v>
      </c>
      <c r="AF110" s="9">
        <f t="shared" si="56"/>
        <v>0.135906</v>
      </c>
      <c r="AG110" s="49">
        <f t="shared" si="38"/>
        <v>0.135906</v>
      </c>
      <c r="AH110" s="50">
        <f t="shared" si="39"/>
        <v>0</v>
      </c>
      <c r="AI110" s="51">
        <f t="shared" si="50"/>
        <v>0.135906</v>
      </c>
      <c r="AJ110" s="72">
        <v>0</v>
      </c>
      <c r="AK110">
        <v>0</v>
      </c>
      <c r="AL110" s="21">
        <f t="shared" si="51"/>
        <v>0</v>
      </c>
      <c r="AM110" s="72">
        <v>0</v>
      </c>
      <c r="AN110">
        <v>0</v>
      </c>
      <c r="AO110" s="21">
        <f t="shared" si="52"/>
        <v>0</v>
      </c>
      <c r="AP110" s="21">
        <f t="shared" si="40"/>
        <v>8972567</v>
      </c>
      <c r="AQ110" s="21">
        <f t="shared" si="53"/>
        <v>8972567</v>
      </c>
      <c r="AR110" s="48">
        <v>10849101</v>
      </c>
      <c r="AS110" s="48">
        <f t="shared" si="57"/>
        <v>8972567</v>
      </c>
      <c r="AT110" s="72">
        <v>9673235</v>
      </c>
      <c r="AU110" s="21">
        <f t="shared" si="58"/>
        <v>700668</v>
      </c>
      <c r="AV110" s="52" t="str">
        <f t="shared" si="60"/>
        <v>No</v>
      </c>
      <c r="AW110" s="48">
        <f t="shared" si="54"/>
        <v>0</v>
      </c>
      <c r="AX110" s="53">
        <f t="shared" si="55"/>
        <v>9673235</v>
      </c>
      <c r="AY110" s="54">
        <f t="shared" si="59"/>
        <v>9673235</v>
      </c>
      <c r="AZ110" s="76"/>
      <c r="BA110" s="21"/>
      <c r="BD110" s="55"/>
      <c r="BE110" s="55"/>
      <c r="BF110" s="55"/>
      <c r="BG110" s="55"/>
      <c r="BH110" s="55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5"/>
      <c r="K111" s="71">
        <v>3473.73</v>
      </c>
      <c r="L111" s="73"/>
      <c r="M111" s="72">
        <v>458</v>
      </c>
      <c r="N111" s="46">
        <f t="shared" si="41"/>
        <v>137.4</v>
      </c>
      <c r="O111" s="46">
        <f t="shared" si="42"/>
        <v>2084.2399999999998</v>
      </c>
      <c r="P111" s="46">
        <f t="shared" si="43"/>
        <v>0</v>
      </c>
      <c r="Q111" s="46">
        <f t="shared" si="44"/>
        <v>0</v>
      </c>
      <c r="R111" s="47">
        <f t="shared" si="45"/>
        <v>0.13</v>
      </c>
      <c r="S111" s="47">
        <f t="shared" si="33"/>
        <v>0</v>
      </c>
      <c r="T111" s="46">
        <f t="shared" si="34"/>
        <v>0</v>
      </c>
      <c r="U111" s="46">
        <f t="shared" si="46"/>
        <v>0</v>
      </c>
      <c r="V111" s="72">
        <v>80</v>
      </c>
      <c r="W111" s="46">
        <f t="shared" si="47"/>
        <v>20</v>
      </c>
      <c r="X111" s="22">
        <f t="shared" si="48"/>
        <v>137.4</v>
      </c>
      <c r="Y111" s="10">
        <f t="shared" si="49"/>
        <v>3631.13</v>
      </c>
      <c r="Z111" s="71">
        <v>4182740420</v>
      </c>
      <c r="AA111" s="72">
        <v>18796</v>
      </c>
      <c r="AB111" s="22">
        <f t="shared" si="35"/>
        <v>222533.54</v>
      </c>
      <c r="AC111" s="9">
        <f t="shared" si="36"/>
        <v>0.86753599999999997</v>
      </c>
      <c r="AD111" s="72">
        <v>145714</v>
      </c>
      <c r="AE111" s="9">
        <f t="shared" si="37"/>
        <v>1.056397</v>
      </c>
      <c r="AF111" s="9">
        <f t="shared" si="56"/>
        <v>7.5805999999999998E-2</v>
      </c>
      <c r="AG111" s="49">
        <f t="shared" si="38"/>
        <v>7.5805999999999998E-2</v>
      </c>
      <c r="AH111" s="50">
        <f t="shared" si="39"/>
        <v>0</v>
      </c>
      <c r="AI111" s="51">
        <f t="shared" si="50"/>
        <v>7.5805999999999998E-2</v>
      </c>
      <c r="AJ111" s="72">
        <v>0</v>
      </c>
      <c r="AK111">
        <v>0</v>
      </c>
      <c r="AL111" s="21">
        <f t="shared" si="51"/>
        <v>0</v>
      </c>
      <c r="AM111" s="72">
        <v>0</v>
      </c>
      <c r="AN111">
        <v>0</v>
      </c>
      <c r="AO111" s="21">
        <f t="shared" si="52"/>
        <v>0</v>
      </c>
      <c r="AP111" s="21">
        <f t="shared" si="40"/>
        <v>3172388</v>
      </c>
      <c r="AQ111" s="21">
        <f t="shared" si="53"/>
        <v>3172388</v>
      </c>
      <c r="AR111" s="48">
        <v>6394518</v>
      </c>
      <c r="AS111" s="48">
        <f t="shared" si="57"/>
        <v>3172388</v>
      </c>
      <c r="AT111" s="72">
        <v>5272935</v>
      </c>
      <c r="AU111" s="21">
        <f t="shared" si="58"/>
        <v>2100547</v>
      </c>
      <c r="AV111" s="52" t="str">
        <f t="shared" si="60"/>
        <v>No</v>
      </c>
      <c r="AW111" s="48">
        <f t="shared" si="54"/>
        <v>0</v>
      </c>
      <c r="AX111" s="53">
        <f t="shared" si="55"/>
        <v>5272935</v>
      </c>
      <c r="AY111" s="54">
        <f t="shared" si="59"/>
        <v>5272935</v>
      </c>
      <c r="AZ111" s="76"/>
      <c r="BA111" s="21"/>
      <c r="BD111" s="55"/>
      <c r="BE111" s="55"/>
      <c r="BF111" s="55"/>
      <c r="BG111" s="55"/>
      <c r="BH111" s="55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5"/>
      <c r="K112" s="71">
        <v>2173.06</v>
      </c>
      <c r="L112" s="74"/>
      <c r="M112" s="72">
        <v>972</v>
      </c>
      <c r="N112" s="46">
        <f t="shared" si="41"/>
        <v>291.60000000000002</v>
      </c>
      <c r="O112" s="46">
        <f t="shared" si="42"/>
        <v>1303.8399999999999</v>
      </c>
      <c r="P112" s="46">
        <f t="shared" si="43"/>
        <v>0</v>
      </c>
      <c r="Q112" s="46">
        <f t="shared" si="44"/>
        <v>0</v>
      </c>
      <c r="R112" s="47">
        <f t="shared" si="45"/>
        <v>0.45</v>
      </c>
      <c r="S112" s="47">
        <f t="shared" si="33"/>
        <v>0</v>
      </c>
      <c r="T112" s="46">
        <f t="shared" si="34"/>
        <v>0</v>
      </c>
      <c r="U112" s="46">
        <f t="shared" si="46"/>
        <v>0</v>
      </c>
      <c r="V112" s="72">
        <v>103</v>
      </c>
      <c r="W112" s="46">
        <f t="shared" si="47"/>
        <v>25.75</v>
      </c>
      <c r="X112" s="22">
        <f t="shared" si="48"/>
        <v>291.60000000000002</v>
      </c>
      <c r="Y112" s="10">
        <f t="shared" si="49"/>
        <v>2490.41</v>
      </c>
      <c r="Z112" s="71">
        <v>2492936848.6700001</v>
      </c>
      <c r="AA112" s="72">
        <v>17891</v>
      </c>
      <c r="AB112" s="22">
        <f t="shared" si="35"/>
        <v>139340.26999999999</v>
      </c>
      <c r="AC112" s="9">
        <f t="shared" si="36"/>
        <v>0.543211</v>
      </c>
      <c r="AD112" s="72">
        <v>84710</v>
      </c>
      <c r="AE112" s="9">
        <f t="shared" si="37"/>
        <v>0.61412999999999995</v>
      </c>
      <c r="AF112" s="9">
        <f t="shared" si="56"/>
        <v>0.43551299999999998</v>
      </c>
      <c r="AG112" s="49">
        <f t="shared" si="38"/>
        <v>0.43551299999999998</v>
      </c>
      <c r="AH112" s="50">
        <f t="shared" si="39"/>
        <v>0</v>
      </c>
      <c r="AI112" s="51">
        <f t="shared" si="50"/>
        <v>0.43551299999999998</v>
      </c>
      <c r="AJ112" s="72">
        <v>0</v>
      </c>
      <c r="AK112">
        <v>0</v>
      </c>
      <c r="AL112" s="21">
        <f t="shared" si="51"/>
        <v>0</v>
      </c>
      <c r="AM112" s="72">
        <v>0</v>
      </c>
      <c r="AN112">
        <v>0</v>
      </c>
      <c r="AO112" s="21">
        <f t="shared" si="52"/>
        <v>0</v>
      </c>
      <c r="AP112" s="21">
        <f t="shared" si="40"/>
        <v>12500083</v>
      </c>
      <c r="AQ112" s="21">
        <f t="shared" si="53"/>
        <v>12500083</v>
      </c>
      <c r="AR112" s="48">
        <v>12589621</v>
      </c>
      <c r="AS112" s="48">
        <f t="shared" si="57"/>
        <v>12500083</v>
      </c>
      <c r="AT112" s="72">
        <v>12802864</v>
      </c>
      <c r="AU112" s="21">
        <f t="shared" si="58"/>
        <v>302781</v>
      </c>
      <c r="AV112" s="52" t="str">
        <f t="shared" si="60"/>
        <v>No</v>
      </c>
      <c r="AW112" s="48">
        <f t="shared" si="54"/>
        <v>0</v>
      </c>
      <c r="AX112" s="53">
        <f t="shared" si="55"/>
        <v>12802864</v>
      </c>
      <c r="AY112" s="54">
        <f t="shared" si="59"/>
        <v>12802864</v>
      </c>
      <c r="AZ112" s="76"/>
      <c r="BA112" s="21"/>
      <c r="BD112" s="55"/>
      <c r="BE112" s="55"/>
      <c r="BF112" s="55"/>
      <c r="BG112" s="55"/>
      <c r="BH112" s="55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5"/>
      <c r="K113" s="71">
        <v>219.2</v>
      </c>
      <c r="L113" s="73"/>
      <c r="M113" s="72">
        <v>65</v>
      </c>
      <c r="N113" s="46">
        <f t="shared" si="41"/>
        <v>19.5</v>
      </c>
      <c r="O113" s="46">
        <f t="shared" si="42"/>
        <v>131.52000000000001</v>
      </c>
      <c r="P113" s="46">
        <f t="shared" si="43"/>
        <v>0</v>
      </c>
      <c r="Q113" s="46">
        <f t="shared" si="44"/>
        <v>0</v>
      </c>
      <c r="R113" s="47">
        <f t="shared" si="45"/>
        <v>0.3</v>
      </c>
      <c r="S113" s="47">
        <f t="shared" si="33"/>
        <v>0</v>
      </c>
      <c r="T113" s="46">
        <f t="shared" si="34"/>
        <v>0</v>
      </c>
      <c r="U113" s="46">
        <f t="shared" si="46"/>
        <v>0</v>
      </c>
      <c r="V113" s="72">
        <v>9</v>
      </c>
      <c r="W113" s="46">
        <f t="shared" si="47"/>
        <v>2.25</v>
      </c>
      <c r="X113" s="22">
        <f t="shared" si="48"/>
        <v>19.5</v>
      </c>
      <c r="Y113" s="10">
        <f t="shared" si="49"/>
        <v>240.95</v>
      </c>
      <c r="Z113" s="71">
        <v>677036558.66999996</v>
      </c>
      <c r="AA113" s="72">
        <v>2267</v>
      </c>
      <c r="AB113" s="22">
        <f t="shared" si="35"/>
        <v>298648.68</v>
      </c>
      <c r="AC113" s="9">
        <f t="shared" si="36"/>
        <v>1.1642669999999999</v>
      </c>
      <c r="AD113" s="72">
        <v>101638</v>
      </c>
      <c r="AE113" s="9">
        <f t="shared" si="37"/>
        <v>0.73685500000000004</v>
      </c>
      <c r="AF113" s="9">
        <f t="shared" si="56"/>
        <v>-3.6042999999999999E-2</v>
      </c>
      <c r="AG113" s="49">
        <f t="shared" si="38"/>
        <v>0.01</v>
      </c>
      <c r="AH113" s="50">
        <f t="shared" si="39"/>
        <v>0</v>
      </c>
      <c r="AI113" s="51">
        <f t="shared" si="50"/>
        <v>0.01</v>
      </c>
      <c r="AJ113" s="72">
        <v>218</v>
      </c>
      <c r="AK113">
        <v>13</v>
      </c>
      <c r="AL113" s="21">
        <f t="shared" si="51"/>
        <v>283400</v>
      </c>
      <c r="AM113" s="72">
        <v>0</v>
      </c>
      <c r="AN113">
        <v>0</v>
      </c>
      <c r="AO113" s="21">
        <f t="shared" si="52"/>
        <v>0</v>
      </c>
      <c r="AP113" s="21">
        <f t="shared" si="40"/>
        <v>27769</v>
      </c>
      <c r="AQ113" s="21">
        <f t="shared" si="53"/>
        <v>311169</v>
      </c>
      <c r="AR113" s="48">
        <v>102178</v>
      </c>
      <c r="AS113" s="48">
        <f t="shared" si="57"/>
        <v>311169</v>
      </c>
      <c r="AT113" s="72">
        <v>250614</v>
      </c>
      <c r="AU113" s="21">
        <f t="shared" si="58"/>
        <v>60555</v>
      </c>
      <c r="AV113" s="52" t="str">
        <f t="shared" si="60"/>
        <v>Yes</v>
      </c>
      <c r="AW113" s="48">
        <f t="shared" si="54"/>
        <v>60555</v>
      </c>
      <c r="AX113" s="53">
        <f t="shared" si="55"/>
        <v>311169</v>
      </c>
      <c r="AY113" s="54">
        <f t="shared" si="59"/>
        <v>311169</v>
      </c>
      <c r="AZ113" s="76"/>
      <c r="BA113" s="21"/>
      <c r="BD113" s="55"/>
      <c r="BE113" s="55"/>
      <c r="BF113" s="55"/>
      <c r="BG113" s="55"/>
      <c r="BH113" s="55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16</v>
      </c>
      <c r="H114" s="5">
        <v>88</v>
      </c>
      <c r="I114" s="2" t="s">
        <v>167</v>
      </c>
      <c r="J114" s="45"/>
      <c r="K114" s="71">
        <v>4521.99</v>
      </c>
      <c r="L114" s="74"/>
      <c r="M114" s="72">
        <v>2584</v>
      </c>
      <c r="N114" s="46">
        <f t="shared" si="41"/>
        <v>775.2</v>
      </c>
      <c r="O114" s="46">
        <f t="shared" si="42"/>
        <v>2713.19</v>
      </c>
      <c r="P114" s="46">
        <f t="shared" si="43"/>
        <v>0</v>
      </c>
      <c r="Q114" s="46">
        <f t="shared" si="44"/>
        <v>0</v>
      </c>
      <c r="R114" s="47">
        <f t="shared" si="45"/>
        <v>0.56999999999999995</v>
      </c>
      <c r="S114" s="47">
        <f t="shared" si="33"/>
        <v>0</v>
      </c>
      <c r="T114" s="46">
        <f t="shared" si="34"/>
        <v>0</v>
      </c>
      <c r="U114" s="46">
        <f t="shared" si="46"/>
        <v>0</v>
      </c>
      <c r="V114" s="72">
        <v>579</v>
      </c>
      <c r="W114" s="46">
        <f t="shared" si="47"/>
        <v>144.75</v>
      </c>
      <c r="X114" s="22">
        <f t="shared" si="48"/>
        <v>775.2</v>
      </c>
      <c r="Y114" s="10">
        <f t="shared" si="49"/>
        <v>5441.94</v>
      </c>
      <c r="Z114" s="71">
        <v>3392398724.6700001</v>
      </c>
      <c r="AA114" s="72">
        <v>31705</v>
      </c>
      <c r="AB114" s="22">
        <f t="shared" si="35"/>
        <v>106998.86</v>
      </c>
      <c r="AC114" s="9">
        <f t="shared" si="36"/>
        <v>0.41713</v>
      </c>
      <c r="AD114" s="72">
        <v>91145</v>
      </c>
      <c r="AE114" s="9">
        <f t="shared" si="37"/>
        <v>0.66078300000000001</v>
      </c>
      <c r="AF114" s="9">
        <f t="shared" si="56"/>
        <v>0.50977399999999995</v>
      </c>
      <c r="AG114" s="49">
        <f t="shared" si="38"/>
        <v>0.50977399999999995</v>
      </c>
      <c r="AH114" s="50">
        <f t="shared" si="39"/>
        <v>0.03</v>
      </c>
      <c r="AI114" s="51">
        <f t="shared" si="50"/>
        <v>0.53977399999999998</v>
      </c>
      <c r="AJ114" s="72">
        <v>0</v>
      </c>
      <c r="AK114">
        <v>0</v>
      </c>
      <c r="AL114" s="21">
        <f t="shared" si="51"/>
        <v>0</v>
      </c>
      <c r="AM114" s="72">
        <v>0</v>
      </c>
      <c r="AN114">
        <v>0</v>
      </c>
      <c r="AO114" s="21">
        <f t="shared" si="52"/>
        <v>0</v>
      </c>
      <c r="AP114" s="21">
        <f t="shared" si="40"/>
        <v>33853739</v>
      </c>
      <c r="AQ114" s="21">
        <f t="shared" si="53"/>
        <v>33853739</v>
      </c>
      <c r="AR114" s="48">
        <v>30280380</v>
      </c>
      <c r="AS114" s="48">
        <f t="shared" si="57"/>
        <v>34096586</v>
      </c>
      <c r="AT114" s="72">
        <v>34096586</v>
      </c>
      <c r="AU114" s="21">
        <f t="shared" si="58"/>
        <v>242847</v>
      </c>
      <c r="AV114" s="52" t="str">
        <f t="shared" si="60"/>
        <v>No</v>
      </c>
      <c r="AW114" s="48">
        <f t="shared" si="54"/>
        <v>0</v>
      </c>
      <c r="AX114" s="53">
        <f t="shared" si="55"/>
        <v>34096586</v>
      </c>
      <c r="AY114" s="54">
        <f t="shared" si="59"/>
        <v>34096586</v>
      </c>
      <c r="AZ114" s="76"/>
      <c r="BA114" s="21"/>
      <c r="BD114" s="55"/>
      <c r="BE114" s="55"/>
      <c r="BF114" s="55"/>
      <c r="BG114" s="55"/>
      <c r="BH114" s="55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5"/>
      <c r="K115" s="71">
        <v>11285.15</v>
      </c>
      <c r="L115" s="74"/>
      <c r="M115" s="72">
        <v>8436</v>
      </c>
      <c r="N115" s="46">
        <f t="shared" si="41"/>
        <v>2530.8000000000002</v>
      </c>
      <c r="O115" s="46">
        <f t="shared" si="42"/>
        <v>6771.09</v>
      </c>
      <c r="P115" s="46">
        <f t="shared" si="43"/>
        <v>1664.9099999999999</v>
      </c>
      <c r="Q115" s="46">
        <f t="shared" si="44"/>
        <v>249.74</v>
      </c>
      <c r="R115" s="47">
        <f t="shared" si="45"/>
        <v>0.75</v>
      </c>
      <c r="S115" s="47">
        <f t="shared" si="33"/>
        <v>0.15000000000000002</v>
      </c>
      <c r="T115" s="46">
        <f t="shared" si="34"/>
        <v>1692.77</v>
      </c>
      <c r="U115" s="46">
        <f t="shared" si="46"/>
        <v>253.92</v>
      </c>
      <c r="V115" s="72">
        <v>2183</v>
      </c>
      <c r="W115" s="46">
        <f t="shared" si="47"/>
        <v>545.75</v>
      </c>
      <c r="X115" s="22">
        <f t="shared" si="48"/>
        <v>2530.8000000000002</v>
      </c>
      <c r="Y115" s="10">
        <f t="shared" si="49"/>
        <v>14611.44</v>
      </c>
      <c r="Z115" s="71">
        <v>5555599808</v>
      </c>
      <c r="AA115" s="72">
        <v>74396</v>
      </c>
      <c r="AB115" s="22">
        <f t="shared" si="35"/>
        <v>74676.06</v>
      </c>
      <c r="AC115" s="9">
        <f t="shared" si="36"/>
        <v>0.29112100000000002</v>
      </c>
      <c r="AD115" s="72">
        <v>53766</v>
      </c>
      <c r="AE115" s="9">
        <f t="shared" si="37"/>
        <v>0.389793</v>
      </c>
      <c r="AF115" s="9">
        <f t="shared" si="56"/>
        <v>0.67927700000000002</v>
      </c>
      <c r="AG115" s="49">
        <f t="shared" si="38"/>
        <v>0.67927700000000002</v>
      </c>
      <c r="AH115" s="50">
        <f t="shared" si="39"/>
        <v>0.06</v>
      </c>
      <c r="AI115" s="51">
        <f t="shared" si="50"/>
        <v>0.73927699999999996</v>
      </c>
      <c r="AJ115" s="72">
        <v>0</v>
      </c>
      <c r="AK115">
        <v>0</v>
      </c>
      <c r="AL115" s="21">
        <f t="shared" si="51"/>
        <v>0</v>
      </c>
      <c r="AM115" s="72">
        <v>0</v>
      </c>
      <c r="AN115">
        <v>0</v>
      </c>
      <c r="AO115" s="21">
        <f t="shared" si="52"/>
        <v>0</v>
      </c>
      <c r="AP115" s="21">
        <f t="shared" si="40"/>
        <v>124491915</v>
      </c>
      <c r="AQ115" s="21">
        <f t="shared" si="53"/>
        <v>124491915</v>
      </c>
      <c r="AR115" s="48">
        <v>86195269</v>
      </c>
      <c r="AS115" s="48">
        <f t="shared" si="57"/>
        <v>124491915</v>
      </c>
      <c r="AT115" s="72">
        <v>115859537</v>
      </c>
      <c r="AU115" s="21">
        <f t="shared" si="58"/>
        <v>8632378</v>
      </c>
      <c r="AV115" s="52" t="str">
        <f t="shared" si="60"/>
        <v>Yes</v>
      </c>
      <c r="AW115" s="48">
        <f t="shared" si="54"/>
        <v>8632378</v>
      </c>
      <c r="AX115" s="53">
        <f t="shared" si="55"/>
        <v>124491915</v>
      </c>
      <c r="AY115" s="54">
        <f t="shared" si="59"/>
        <v>124491915</v>
      </c>
      <c r="AZ115" s="76"/>
      <c r="BA115" s="21"/>
      <c r="BD115" s="55"/>
      <c r="BE115" s="55"/>
      <c r="BF115" s="55"/>
      <c r="BG115" s="55"/>
      <c r="BH115" s="55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5"/>
      <c r="K116" s="71">
        <v>4100.7299999999996</v>
      </c>
      <c r="L116" s="73"/>
      <c r="M116" s="72">
        <v>7</v>
      </c>
      <c r="N116" s="46">
        <f t="shared" si="41"/>
        <v>2.1</v>
      </c>
      <c r="O116" s="46">
        <f t="shared" si="42"/>
        <v>2460.44</v>
      </c>
      <c r="P116" s="46">
        <f t="shared" si="43"/>
        <v>0</v>
      </c>
      <c r="Q116" s="46">
        <f t="shared" si="44"/>
        <v>0</v>
      </c>
      <c r="R116" s="47">
        <f t="shared" si="45"/>
        <v>0</v>
      </c>
      <c r="S116" s="47">
        <f t="shared" si="33"/>
        <v>0</v>
      </c>
      <c r="T116" s="46">
        <f t="shared" si="34"/>
        <v>0</v>
      </c>
      <c r="U116" s="46">
        <f t="shared" si="46"/>
        <v>0</v>
      </c>
      <c r="V116" s="72">
        <v>19</v>
      </c>
      <c r="W116" s="46">
        <f t="shared" si="47"/>
        <v>4.75</v>
      </c>
      <c r="X116" s="22">
        <f t="shared" si="48"/>
        <v>2.1</v>
      </c>
      <c r="Y116" s="10">
        <f t="shared" si="49"/>
        <v>4107.58</v>
      </c>
      <c r="Z116" s="71">
        <v>13738416545.67</v>
      </c>
      <c r="AA116" s="72">
        <v>20775</v>
      </c>
      <c r="AB116" s="22">
        <f t="shared" si="35"/>
        <v>661295.62</v>
      </c>
      <c r="AC116" s="9">
        <f t="shared" si="36"/>
        <v>2.5780280000000002</v>
      </c>
      <c r="AD116" s="72">
        <v>250000</v>
      </c>
      <c r="AE116" s="9">
        <f t="shared" si="37"/>
        <v>1.812449</v>
      </c>
      <c r="AF116" s="9">
        <f t="shared" si="56"/>
        <v>-1.3483540000000001</v>
      </c>
      <c r="AG116" s="49">
        <f t="shared" si="38"/>
        <v>0.01</v>
      </c>
      <c r="AH116" s="50">
        <f t="shared" si="39"/>
        <v>0</v>
      </c>
      <c r="AI116" s="51">
        <f t="shared" si="50"/>
        <v>0.01</v>
      </c>
      <c r="AJ116" s="72">
        <v>0</v>
      </c>
      <c r="AK116">
        <v>0</v>
      </c>
      <c r="AL116" s="21">
        <f t="shared" si="51"/>
        <v>0</v>
      </c>
      <c r="AM116" s="72">
        <v>0</v>
      </c>
      <c r="AN116">
        <v>0</v>
      </c>
      <c r="AO116" s="21">
        <f t="shared" si="52"/>
        <v>0</v>
      </c>
      <c r="AP116" s="21">
        <f t="shared" si="40"/>
        <v>473399</v>
      </c>
      <c r="AQ116" s="21">
        <f t="shared" si="53"/>
        <v>473399</v>
      </c>
      <c r="AR116" s="48">
        <v>339590</v>
      </c>
      <c r="AS116" s="48">
        <f t="shared" si="57"/>
        <v>473399</v>
      </c>
      <c r="AT116" s="72">
        <v>454820</v>
      </c>
      <c r="AU116" s="21">
        <f t="shared" si="58"/>
        <v>18579</v>
      </c>
      <c r="AV116" s="52" t="str">
        <f t="shared" si="60"/>
        <v>Yes</v>
      </c>
      <c r="AW116" s="48">
        <f t="shared" si="54"/>
        <v>18579</v>
      </c>
      <c r="AX116" s="53">
        <f t="shared" si="55"/>
        <v>473399</v>
      </c>
      <c r="AY116" s="54">
        <f t="shared" si="59"/>
        <v>473399</v>
      </c>
      <c r="AZ116" s="76"/>
      <c r="BA116" s="21"/>
      <c r="BD116" s="55"/>
      <c r="BE116" s="55"/>
      <c r="BF116" s="55"/>
      <c r="BG116" s="55"/>
      <c r="BH116" s="55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5"/>
      <c r="K117" s="71">
        <v>2069.44</v>
      </c>
      <c r="L117" s="73"/>
      <c r="M117" s="72">
        <v>400</v>
      </c>
      <c r="N117" s="46">
        <f t="shared" si="41"/>
        <v>120</v>
      </c>
      <c r="O117" s="46">
        <f t="shared" si="42"/>
        <v>1241.6600000000001</v>
      </c>
      <c r="P117" s="46">
        <f t="shared" si="43"/>
        <v>0</v>
      </c>
      <c r="Q117" s="46">
        <f t="shared" si="44"/>
        <v>0</v>
      </c>
      <c r="R117" s="47">
        <f t="shared" si="45"/>
        <v>0.19</v>
      </c>
      <c r="S117" s="47">
        <f t="shared" si="33"/>
        <v>0</v>
      </c>
      <c r="T117" s="46">
        <f t="shared" si="34"/>
        <v>0</v>
      </c>
      <c r="U117" s="46">
        <f t="shared" si="46"/>
        <v>0</v>
      </c>
      <c r="V117" s="72">
        <v>91</v>
      </c>
      <c r="W117" s="46">
        <f t="shared" si="47"/>
        <v>22.75</v>
      </c>
      <c r="X117" s="22">
        <f t="shared" si="48"/>
        <v>120</v>
      </c>
      <c r="Y117" s="10">
        <f t="shared" si="49"/>
        <v>2212.19</v>
      </c>
      <c r="Z117" s="71">
        <v>3410273579.6700001</v>
      </c>
      <c r="AA117" s="72">
        <v>13536</v>
      </c>
      <c r="AB117" s="22">
        <f t="shared" si="35"/>
        <v>251941.02</v>
      </c>
      <c r="AC117" s="9">
        <f t="shared" si="36"/>
        <v>0.98218000000000005</v>
      </c>
      <c r="AD117" s="72">
        <v>140844</v>
      </c>
      <c r="AE117" s="9">
        <f t="shared" si="37"/>
        <v>1.0210900000000001</v>
      </c>
      <c r="AF117" s="9">
        <f t="shared" si="56"/>
        <v>6.1469999999999997E-3</v>
      </c>
      <c r="AG117" s="49">
        <f t="shared" si="38"/>
        <v>0.01</v>
      </c>
      <c r="AH117" s="50">
        <f t="shared" si="39"/>
        <v>0</v>
      </c>
      <c r="AI117" s="51">
        <f t="shared" si="50"/>
        <v>0.01</v>
      </c>
      <c r="AJ117" s="72">
        <v>0</v>
      </c>
      <c r="AK117">
        <v>0</v>
      </c>
      <c r="AL117" s="21">
        <f t="shared" si="51"/>
        <v>0</v>
      </c>
      <c r="AM117" s="72">
        <v>0</v>
      </c>
      <c r="AN117">
        <v>0</v>
      </c>
      <c r="AO117" s="21">
        <f t="shared" si="52"/>
        <v>0</v>
      </c>
      <c r="AP117" s="21">
        <f t="shared" si="40"/>
        <v>254955</v>
      </c>
      <c r="AQ117" s="21">
        <f t="shared" si="53"/>
        <v>254955</v>
      </c>
      <c r="AR117" s="48">
        <v>4338569</v>
      </c>
      <c r="AS117" s="48">
        <f t="shared" si="57"/>
        <v>254955</v>
      </c>
      <c r="AT117" s="72">
        <v>3481120</v>
      </c>
      <c r="AU117" s="21">
        <f t="shared" si="58"/>
        <v>3226165</v>
      </c>
      <c r="AV117" s="52" t="str">
        <f t="shared" si="60"/>
        <v>No</v>
      </c>
      <c r="AW117" s="48">
        <f t="shared" si="54"/>
        <v>0</v>
      </c>
      <c r="AX117" s="53">
        <f t="shared" si="55"/>
        <v>3481120</v>
      </c>
      <c r="AY117" s="54">
        <f t="shared" si="59"/>
        <v>3481120</v>
      </c>
      <c r="AZ117" s="76"/>
      <c r="BA117" s="21"/>
      <c r="BD117" s="55"/>
      <c r="BE117" s="55"/>
      <c r="BF117" s="55"/>
      <c r="BG117" s="55"/>
      <c r="BH117" s="55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5"/>
      <c r="K118" s="71">
        <v>831.18</v>
      </c>
      <c r="L118" s="73"/>
      <c r="M118" s="72">
        <v>163</v>
      </c>
      <c r="N118" s="46">
        <f t="shared" si="41"/>
        <v>48.9</v>
      </c>
      <c r="O118" s="46">
        <f t="shared" si="42"/>
        <v>498.71</v>
      </c>
      <c r="P118" s="46">
        <f t="shared" si="43"/>
        <v>0</v>
      </c>
      <c r="Q118" s="46">
        <f t="shared" si="44"/>
        <v>0</v>
      </c>
      <c r="R118" s="47">
        <f t="shared" si="45"/>
        <v>0.2</v>
      </c>
      <c r="S118" s="47">
        <f t="shared" si="33"/>
        <v>0</v>
      </c>
      <c r="T118" s="46">
        <f t="shared" si="34"/>
        <v>0</v>
      </c>
      <c r="U118" s="46">
        <f t="shared" si="46"/>
        <v>0</v>
      </c>
      <c r="V118" s="72">
        <v>8</v>
      </c>
      <c r="W118" s="46">
        <f t="shared" si="47"/>
        <v>2</v>
      </c>
      <c r="X118" s="22">
        <f t="shared" si="48"/>
        <v>48.9</v>
      </c>
      <c r="Y118" s="10">
        <f t="shared" si="49"/>
        <v>882.07999999999993</v>
      </c>
      <c r="Z118" s="71">
        <v>1238829106.6700001</v>
      </c>
      <c r="AA118" s="72">
        <v>6698</v>
      </c>
      <c r="AB118" s="22">
        <f t="shared" si="35"/>
        <v>184955.08</v>
      </c>
      <c r="AC118" s="9">
        <f t="shared" si="36"/>
        <v>0.72103799999999996</v>
      </c>
      <c r="AD118" s="72">
        <v>102522</v>
      </c>
      <c r="AE118" s="9">
        <f t="shared" si="37"/>
        <v>0.74326400000000004</v>
      </c>
      <c r="AF118" s="9">
        <f t="shared" si="56"/>
        <v>0.27229399999999998</v>
      </c>
      <c r="AG118" s="49">
        <f t="shared" si="38"/>
        <v>0.27229399999999998</v>
      </c>
      <c r="AH118" s="50">
        <f t="shared" si="39"/>
        <v>0</v>
      </c>
      <c r="AI118" s="51">
        <f t="shared" si="50"/>
        <v>0.27229399999999998</v>
      </c>
      <c r="AJ118" s="72">
        <v>406</v>
      </c>
      <c r="AK118">
        <v>6</v>
      </c>
      <c r="AL118" s="21">
        <f t="shared" si="51"/>
        <v>243600</v>
      </c>
      <c r="AM118" s="72">
        <v>0</v>
      </c>
      <c r="AN118">
        <v>0</v>
      </c>
      <c r="AO118" s="21">
        <f t="shared" si="52"/>
        <v>0</v>
      </c>
      <c r="AP118" s="21">
        <f t="shared" si="40"/>
        <v>2768133</v>
      </c>
      <c r="AQ118" s="21">
        <f t="shared" si="53"/>
        <v>3011733</v>
      </c>
      <c r="AR118" s="48">
        <v>3113169</v>
      </c>
      <c r="AS118" s="48">
        <f t="shared" si="57"/>
        <v>3011733</v>
      </c>
      <c r="AT118" s="72">
        <v>2918203</v>
      </c>
      <c r="AU118" s="21">
        <f t="shared" si="58"/>
        <v>93530</v>
      </c>
      <c r="AV118" s="52" t="str">
        <f t="shared" si="60"/>
        <v>Yes</v>
      </c>
      <c r="AW118" s="48">
        <f t="shared" si="54"/>
        <v>93530</v>
      </c>
      <c r="AX118" s="53">
        <f t="shared" si="55"/>
        <v>3011733</v>
      </c>
      <c r="AY118" s="54">
        <f t="shared" si="59"/>
        <v>3011733</v>
      </c>
      <c r="AZ118" s="76"/>
      <c r="BA118" s="21"/>
      <c r="BD118" s="55"/>
      <c r="BE118" s="55"/>
      <c r="BF118" s="55"/>
      <c r="BG118" s="55"/>
      <c r="BH118" s="55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5</v>
      </c>
      <c r="H119" s="5">
        <v>93</v>
      </c>
      <c r="I119" s="2" t="s">
        <v>172</v>
      </c>
      <c r="J119" s="45"/>
      <c r="K119" s="71">
        <v>16938</v>
      </c>
      <c r="L119" s="74"/>
      <c r="M119" s="72">
        <v>13171</v>
      </c>
      <c r="N119" s="46">
        <f t="shared" si="41"/>
        <v>3951.3</v>
      </c>
      <c r="O119" s="46">
        <f t="shared" si="42"/>
        <v>10162.799999999999</v>
      </c>
      <c r="P119" s="46">
        <f t="shared" si="43"/>
        <v>3008.2000000000007</v>
      </c>
      <c r="Q119" s="46">
        <f t="shared" si="44"/>
        <v>451.23</v>
      </c>
      <c r="R119" s="47">
        <f t="shared" si="45"/>
        <v>0.78</v>
      </c>
      <c r="S119" s="47">
        <f t="shared" si="33"/>
        <v>0.18000000000000005</v>
      </c>
      <c r="T119" s="46">
        <f t="shared" si="34"/>
        <v>3048.84</v>
      </c>
      <c r="U119" s="46">
        <f t="shared" si="46"/>
        <v>457.33</v>
      </c>
      <c r="V119" s="72">
        <v>4376</v>
      </c>
      <c r="W119" s="46">
        <f t="shared" si="47"/>
        <v>1094</v>
      </c>
      <c r="X119" s="22">
        <f t="shared" si="48"/>
        <v>3951.3</v>
      </c>
      <c r="Y119" s="10">
        <f t="shared" si="49"/>
        <v>22434.53</v>
      </c>
      <c r="Z119" s="71">
        <v>14314904628.67</v>
      </c>
      <c r="AA119" s="72">
        <v>138915</v>
      </c>
      <c r="AB119" s="22">
        <f t="shared" si="35"/>
        <v>103047.94</v>
      </c>
      <c r="AC119" s="9">
        <f t="shared" si="36"/>
        <v>0.401727</v>
      </c>
      <c r="AD119" s="72">
        <v>54305</v>
      </c>
      <c r="AE119" s="9">
        <f t="shared" si="37"/>
        <v>0.39369999999999999</v>
      </c>
      <c r="AF119" s="9">
        <f t="shared" si="56"/>
        <v>0.60068100000000002</v>
      </c>
      <c r="AG119" s="49">
        <f t="shared" si="38"/>
        <v>0.60068100000000002</v>
      </c>
      <c r="AH119" s="50">
        <f t="shared" si="39"/>
        <v>0.06</v>
      </c>
      <c r="AI119" s="51">
        <f t="shared" si="50"/>
        <v>0.66068100000000007</v>
      </c>
      <c r="AJ119" s="72">
        <v>0</v>
      </c>
      <c r="AK119">
        <v>0</v>
      </c>
      <c r="AL119" s="21">
        <f t="shared" si="51"/>
        <v>0</v>
      </c>
      <c r="AM119" s="72">
        <v>0</v>
      </c>
      <c r="AN119">
        <v>0</v>
      </c>
      <c r="AO119" s="21">
        <f t="shared" si="52"/>
        <v>0</v>
      </c>
      <c r="AP119" s="21">
        <f t="shared" si="40"/>
        <v>170824330</v>
      </c>
      <c r="AQ119" s="21">
        <f t="shared" si="53"/>
        <v>170824330</v>
      </c>
      <c r="AR119" s="48">
        <v>154301977</v>
      </c>
      <c r="AS119" s="48">
        <f t="shared" si="57"/>
        <v>170824330</v>
      </c>
      <c r="AT119" s="72">
        <v>169238796</v>
      </c>
      <c r="AU119" s="21">
        <f t="shared" si="58"/>
        <v>1585534</v>
      </c>
      <c r="AV119" s="52" t="str">
        <f t="shared" si="60"/>
        <v>Yes</v>
      </c>
      <c r="AW119" s="48">
        <f t="shared" si="54"/>
        <v>1585534</v>
      </c>
      <c r="AX119" s="53">
        <f t="shared" si="55"/>
        <v>170824330</v>
      </c>
      <c r="AY119" s="54">
        <f t="shared" si="59"/>
        <v>170824330</v>
      </c>
      <c r="AZ119" s="76"/>
      <c r="BA119" s="21"/>
      <c r="BD119" s="55"/>
      <c r="BE119" s="55"/>
      <c r="BF119" s="55"/>
      <c r="BG119" s="55"/>
      <c r="BH119" s="55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36</v>
      </c>
      <c r="H120" s="5">
        <v>94</v>
      </c>
      <c r="I120" s="2" t="s">
        <v>173</v>
      </c>
      <c r="J120" s="45"/>
      <c r="K120" s="71">
        <v>3869</v>
      </c>
      <c r="L120" s="73"/>
      <c r="M120" s="72">
        <v>1372</v>
      </c>
      <c r="N120" s="46">
        <f t="shared" si="41"/>
        <v>411.6</v>
      </c>
      <c r="O120" s="46">
        <f t="shared" si="42"/>
        <v>2321.4</v>
      </c>
      <c r="P120" s="46">
        <f t="shared" si="43"/>
        <v>0</v>
      </c>
      <c r="Q120" s="46">
        <f t="shared" si="44"/>
        <v>0</v>
      </c>
      <c r="R120" s="47">
        <f t="shared" si="45"/>
        <v>0.35</v>
      </c>
      <c r="S120" s="47">
        <f t="shared" si="33"/>
        <v>0</v>
      </c>
      <c r="T120" s="46">
        <f t="shared" si="34"/>
        <v>0</v>
      </c>
      <c r="U120" s="46">
        <f t="shared" si="46"/>
        <v>0</v>
      </c>
      <c r="V120" s="72">
        <v>348</v>
      </c>
      <c r="W120" s="46">
        <f t="shared" si="47"/>
        <v>87</v>
      </c>
      <c r="X120" s="22">
        <f t="shared" si="48"/>
        <v>411.6</v>
      </c>
      <c r="Y120" s="10">
        <f t="shared" si="49"/>
        <v>4367.6000000000004</v>
      </c>
      <c r="Z120" s="71">
        <v>4966252557.6700001</v>
      </c>
      <c r="AA120" s="72">
        <v>30356</v>
      </c>
      <c r="AB120" s="22">
        <f t="shared" si="35"/>
        <v>163600.35999999999</v>
      </c>
      <c r="AC120" s="9">
        <f t="shared" si="36"/>
        <v>0.63778800000000002</v>
      </c>
      <c r="AD120" s="72">
        <v>100239</v>
      </c>
      <c r="AE120" s="9">
        <f t="shared" si="37"/>
        <v>0.72671200000000002</v>
      </c>
      <c r="AF120" s="9">
        <f t="shared" si="56"/>
        <v>0.33553500000000003</v>
      </c>
      <c r="AG120" s="49">
        <f t="shared" si="38"/>
        <v>0.33553500000000003</v>
      </c>
      <c r="AH120" s="50">
        <f t="shared" si="39"/>
        <v>0</v>
      </c>
      <c r="AI120" s="51">
        <f t="shared" si="50"/>
        <v>0.33553500000000003</v>
      </c>
      <c r="AJ120" s="72">
        <v>0</v>
      </c>
      <c r="AK120">
        <v>0</v>
      </c>
      <c r="AL120" s="21">
        <f t="shared" si="51"/>
        <v>0</v>
      </c>
      <c r="AM120" s="72">
        <v>0</v>
      </c>
      <c r="AN120">
        <v>0</v>
      </c>
      <c r="AO120" s="21">
        <f t="shared" si="52"/>
        <v>0</v>
      </c>
      <c r="AP120" s="21">
        <f t="shared" si="40"/>
        <v>16889688</v>
      </c>
      <c r="AQ120" s="21">
        <f t="shared" si="53"/>
        <v>16889688</v>
      </c>
      <c r="AR120" s="48">
        <v>12983806</v>
      </c>
      <c r="AS120" s="48">
        <f t="shared" si="57"/>
        <v>16889688</v>
      </c>
      <c r="AT120" s="72">
        <v>16720241</v>
      </c>
      <c r="AU120" s="21">
        <f t="shared" si="58"/>
        <v>169447</v>
      </c>
      <c r="AV120" s="52" t="str">
        <f t="shared" si="60"/>
        <v>Yes</v>
      </c>
      <c r="AW120" s="48">
        <f t="shared" si="54"/>
        <v>169447</v>
      </c>
      <c r="AX120" s="53">
        <f t="shared" si="55"/>
        <v>16889688</v>
      </c>
      <c r="AY120" s="54">
        <f t="shared" si="59"/>
        <v>16889688</v>
      </c>
      <c r="AZ120" s="76"/>
      <c r="BA120" s="21"/>
      <c r="BD120" s="55"/>
      <c r="BE120" s="55"/>
      <c r="BF120" s="55"/>
      <c r="BG120" s="55"/>
      <c r="BH120" s="55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12</v>
      </c>
      <c r="H121" s="5">
        <v>95</v>
      </c>
      <c r="I121" s="2" t="s">
        <v>174</v>
      </c>
      <c r="J121" s="45"/>
      <c r="K121" s="71">
        <v>3095.76</v>
      </c>
      <c r="L121" s="74"/>
      <c r="M121" s="72">
        <v>2657</v>
      </c>
      <c r="N121" s="46">
        <f t="shared" si="41"/>
        <v>797.1</v>
      </c>
      <c r="O121" s="46">
        <f t="shared" si="42"/>
        <v>1857.46</v>
      </c>
      <c r="P121" s="46">
        <f t="shared" si="43"/>
        <v>799.54</v>
      </c>
      <c r="Q121" s="46">
        <f t="shared" si="44"/>
        <v>119.93</v>
      </c>
      <c r="R121" s="47">
        <f t="shared" si="45"/>
        <v>0.86</v>
      </c>
      <c r="S121" s="47">
        <f t="shared" si="33"/>
        <v>0.26</v>
      </c>
      <c r="T121" s="46">
        <f t="shared" si="34"/>
        <v>804.9</v>
      </c>
      <c r="U121" s="46">
        <f t="shared" si="46"/>
        <v>120.74</v>
      </c>
      <c r="V121" s="72">
        <v>995</v>
      </c>
      <c r="W121" s="46">
        <f t="shared" si="47"/>
        <v>248.75</v>
      </c>
      <c r="X121" s="22">
        <f t="shared" si="48"/>
        <v>797.1</v>
      </c>
      <c r="Y121" s="10">
        <f t="shared" si="49"/>
        <v>4261.54</v>
      </c>
      <c r="Z121" s="71">
        <v>3174456633.3299999</v>
      </c>
      <c r="AA121" s="72">
        <v>27980</v>
      </c>
      <c r="AB121" s="22">
        <f t="shared" si="35"/>
        <v>113454.49</v>
      </c>
      <c r="AC121" s="9">
        <f t="shared" si="36"/>
        <v>0.442297</v>
      </c>
      <c r="AD121" s="72">
        <v>56237</v>
      </c>
      <c r="AE121" s="9">
        <f t="shared" si="37"/>
        <v>0.40770699999999999</v>
      </c>
      <c r="AF121" s="9">
        <f t="shared" si="56"/>
        <v>0.56808000000000003</v>
      </c>
      <c r="AG121" s="49">
        <f t="shared" si="38"/>
        <v>0.56808000000000003</v>
      </c>
      <c r="AH121" s="50">
        <f t="shared" si="39"/>
        <v>0.04</v>
      </c>
      <c r="AI121" s="51">
        <f t="shared" si="50"/>
        <v>0.60808000000000006</v>
      </c>
      <c r="AJ121" s="72">
        <v>0</v>
      </c>
      <c r="AK121">
        <v>0</v>
      </c>
      <c r="AL121" s="21">
        <f t="shared" si="51"/>
        <v>0</v>
      </c>
      <c r="AM121" s="72">
        <v>0</v>
      </c>
      <c r="AN121">
        <v>0</v>
      </c>
      <c r="AO121" s="21">
        <f t="shared" si="52"/>
        <v>0</v>
      </c>
      <c r="AP121" s="21">
        <f t="shared" si="40"/>
        <v>29865392</v>
      </c>
      <c r="AQ121" s="21">
        <f t="shared" si="53"/>
        <v>29865392</v>
      </c>
      <c r="AR121" s="48">
        <v>25806077</v>
      </c>
      <c r="AS121" s="48">
        <f t="shared" si="57"/>
        <v>31150657</v>
      </c>
      <c r="AT121" s="72">
        <v>31150657</v>
      </c>
      <c r="AU121" s="21">
        <f t="shared" si="58"/>
        <v>1285265</v>
      </c>
      <c r="AV121" s="52" t="str">
        <f t="shared" si="60"/>
        <v>No</v>
      </c>
      <c r="AW121" s="48">
        <f t="shared" si="54"/>
        <v>0</v>
      </c>
      <c r="AX121" s="53">
        <f t="shared" si="55"/>
        <v>31150657</v>
      </c>
      <c r="AY121" s="54">
        <f t="shared" si="59"/>
        <v>31150657</v>
      </c>
      <c r="AZ121" s="76"/>
      <c r="BA121" s="21"/>
      <c r="BD121" s="55"/>
      <c r="BE121" s="55"/>
      <c r="BF121" s="55"/>
      <c r="BG121" s="55"/>
      <c r="BH121" s="55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5"/>
      <c r="K122" s="71">
        <v>3526.99</v>
      </c>
      <c r="L122" s="73"/>
      <c r="M122" s="72">
        <v>1128</v>
      </c>
      <c r="N122" s="46">
        <f t="shared" si="41"/>
        <v>338.4</v>
      </c>
      <c r="O122" s="46">
        <f t="shared" si="42"/>
        <v>2116.19</v>
      </c>
      <c r="P122" s="46">
        <f t="shared" si="43"/>
        <v>0</v>
      </c>
      <c r="Q122" s="46">
        <f t="shared" si="44"/>
        <v>0</v>
      </c>
      <c r="R122" s="47">
        <f t="shared" si="45"/>
        <v>0.32</v>
      </c>
      <c r="S122" s="47">
        <f t="shared" si="33"/>
        <v>0</v>
      </c>
      <c r="T122" s="46">
        <f t="shared" si="34"/>
        <v>0</v>
      </c>
      <c r="U122" s="46">
        <f t="shared" si="46"/>
        <v>0</v>
      </c>
      <c r="V122" s="72">
        <v>325</v>
      </c>
      <c r="W122" s="46">
        <f t="shared" si="47"/>
        <v>81.25</v>
      </c>
      <c r="X122" s="22">
        <f t="shared" si="48"/>
        <v>338.4</v>
      </c>
      <c r="Y122" s="10">
        <f t="shared" si="49"/>
        <v>3946.64</v>
      </c>
      <c r="Z122" s="71">
        <v>5493022556.3299999</v>
      </c>
      <c r="AA122" s="72">
        <v>28275</v>
      </c>
      <c r="AB122" s="22">
        <f t="shared" si="35"/>
        <v>194271.35</v>
      </c>
      <c r="AC122" s="9">
        <f t="shared" si="36"/>
        <v>0.75735699999999995</v>
      </c>
      <c r="AD122" s="72">
        <v>98313</v>
      </c>
      <c r="AE122" s="9">
        <f t="shared" si="37"/>
        <v>0.71274899999999997</v>
      </c>
      <c r="AF122" s="9">
        <f t="shared" si="56"/>
        <v>0.256025</v>
      </c>
      <c r="AG122" s="49">
        <f t="shared" si="38"/>
        <v>0.256025</v>
      </c>
      <c r="AH122" s="50">
        <f t="shared" si="39"/>
        <v>0</v>
      </c>
      <c r="AI122" s="51">
        <f t="shared" si="50"/>
        <v>0.256025</v>
      </c>
      <c r="AJ122" s="72">
        <v>0</v>
      </c>
      <c r="AK122">
        <v>0</v>
      </c>
      <c r="AL122" s="21">
        <f t="shared" si="51"/>
        <v>0</v>
      </c>
      <c r="AM122" s="72">
        <v>0</v>
      </c>
      <c r="AN122">
        <v>0</v>
      </c>
      <c r="AO122" s="21">
        <f t="shared" si="52"/>
        <v>0</v>
      </c>
      <c r="AP122" s="21">
        <f t="shared" si="40"/>
        <v>11645304</v>
      </c>
      <c r="AQ122" s="21">
        <f t="shared" si="53"/>
        <v>11645304</v>
      </c>
      <c r="AR122" s="48">
        <v>11832806</v>
      </c>
      <c r="AS122" s="48">
        <f t="shared" si="57"/>
        <v>11645304</v>
      </c>
      <c r="AT122" s="72">
        <v>11554609</v>
      </c>
      <c r="AU122" s="21">
        <f t="shared" si="58"/>
        <v>90695</v>
      </c>
      <c r="AV122" s="52" t="str">
        <f t="shared" si="60"/>
        <v>Yes</v>
      </c>
      <c r="AW122" s="48">
        <f t="shared" si="54"/>
        <v>90695</v>
      </c>
      <c r="AX122" s="53">
        <f t="shared" si="55"/>
        <v>11645304</v>
      </c>
      <c r="AY122" s="54">
        <f t="shared" si="59"/>
        <v>11645304</v>
      </c>
      <c r="AZ122" s="76"/>
      <c r="BA122" s="21"/>
      <c r="BD122" s="55"/>
      <c r="BE122" s="55"/>
      <c r="BF122" s="55"/>
      <c r="BG122" s="55"/>
      <c r="BH122" s="55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5"/>
      <c r="K123" s="71">
        <v>3957.3</v>
      </c>
      <c r="L123" s="73"/>
      <c r="M123" s="72">
        <v>601</v>
      </c>
      <c r="N123" s="46">
        <f t="shared" si="41"/>
        <v>180.3</v>
      </c>
      <c r="O123" s="46">
        <f t="shared" si="42"/>
        <v>2374.38</v>
      </c>
      <c r="P123" s="46">
        <f t="shared" si="43"/>
        <v>0</v>
      </c>
      <c r="Q123" s="46">
        <f t="shared" si="44"/>
        <v>0</v>
      </c>
      <c r="R123" s="47">
        <f t="shared" si="45"/>
        <v>0.15</v>
      </c>
      <c r="S123" s="47">
        <f t="shared" si="33"/>
        <v>0</v>
      </c>
      <c r="T123" s="46">
        <f t="shared" si="34"/>
        <v>0</v>
      </c>
      <c r="U123" s="46">
        <f t="shared" si="46"/>
        <v>0</v>
      </c>
      <c r="V123" s="72">
        <v>71</v>
      </c>
      <c r="W123" s="46">
        <f t="shared" si="47"/>
        <v>17.75</v>
      </c>
      <c r="X123" s="22">
        <f t="shared" si="48"/>
        <v>180.3</v>
      </c>
      <c r="Y123" s="10">
        <f t="shared" si="49"/>
        <v>4155.3500000000004</v>
      </c>
      <c r="Z123" s="71">
        <v>6286773373.3299999</v>
      </c>
      <c r="AA123" s="72">
        <v>27577</v>
      </c>
      <c r="AB123" s="22">
        <f t="shared" si="35"/>
        <v>227971.62</v>
      </c>
      <c r="AC123" s="9">
        <f t="shared" si="36"/>
        <v>0.88873599999999997</v>
      </c>
      <c r="AD123" s="72">
        <v>142039</v>
      </c>
      <c r="AE123" s="9">
        <f t="shared" si="37"/>
        <v>1.0297540000000001</v>
      </c>
      <c r="AF123" s="9">
        <f t="shared" si="56"/>
        <v>6.8959000000000006E-2</v>
      </c>
      <c r="AG123" s="49">
        <f t="shared" si="38"/>
        <v>6.8959000000000006E-2</v>
      </c>
      <c r="AH123" s="50">
        <f t="shared" si="39"/>
        <v>0</v>
      </c>
      <c r="AI123" s="51">
        <f t="shared" si="50"/>
        <v>6.8959000000000006E-2</v>
      </c>
      <c r="AJ123" s="72">
        <v>0</v>
      </c>
      <c r="AK123">
        <v>0</v>
      </c>
      <c r="AL123" s="21">
        <f t="shared" si="51"/>
        <v>0</v>
      </c>
      <c r="AM123" s="72">
        <v>0</v>
      </c>
      <c r="AN123">
        <v>0</v>
      </c>
      <c r="AO123" s="21">
        <f t="shared" si="52"/>
        <v>0</v>
      </c>
      <c r="AP123" s="21">
        <f t="shared" si="40"/>
        <v>3302475</v>
      </c>
      <c r="AQ123" s="21">
        <f t="shared" si="53"/>
        <v>3302475</v>
      </c>
      <c r="AR123" s="48">
        <v>4893944</v>
      </c>
      <c r="AS123" s="48">
        <f t="shared" si="57"/>
        <v>3302475</v>
      </c>
      <c r="AT123" s="72">
        <v>4495691</v>
      </c>
      <c r="AU123" s="21">
        <f t="shared" si="58"/>
        <v>1193216</v>
      </c>
      <c r="AV123" s="52" t="str">
        <f t="shared" si="60"/>
        <v>No</v>
      </c>
      <c r="AW123" s="48">
        <f t="shared" si="54"/>
        <v>0</v>
      </c>
      <c r="AX123" s="53">
        <f t="shared" si="55"/>
        <v>4495691</v>
      </c>
      <c r="AY123" s="54">
        <f t="shared" si="59"/>
        <v>4495691</v>
      </c>
      <c r="AZ123" s="76"/>
      <c r="BA123" s="21"/>
      <c r="BD123" s="55"/>
      <c r="BE123" s="55"/>
      <c r="BF123" s="55"/>
      <c r="BG123" s="55"/>
      <c r="BH123" s="55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5"/>
      <c r="K124" s="71">
        <v>124.42</v>
      </c>
      <c r="L124" s="73"/>
      <c r="M124" s="72">
        <v>41</v>
      </c>
      <c r="N124" s="46">
        <f t="shared" si="41"/>
        <v>12.3</v>
      </c>
      <c r="O124" s="46">
        <f t="shared" si="42"/>
        <v>74.650000000000006</v>
      </c>
      <c r="P124" s="46">
        <f t="shared" si="43"/>
        <v>0</v>
      </c>
      <c r="Q124" s="46">
        <f t="shared" si="44"/>
        <v>0</v>
      </c>
      <c r="R124" s="47">
        <f t="shared" si="45"/>
        <v>0.33</v>
      </c>
      <c r="S124" s="47">
        <f t="shared" si="33"/>
        <v>0</v>
      </c>
      <c r="T124" s="46">
        <f t="shared" si="34"/>
        <v>0</v>
      </c>
      <c r="U124" s="46">
        <f t="shared" si="46"/>
        <v>0</v>
      </c>
      <c r="V124" s="72">
        <v>2</v>
      </c>
      <c r="W124" s="46">
        <f t="shared" si="47"/>
        <v>0.5</v>
      </c>
      <c r="X124" s="22">
        <f t="shared" si="48"/>
        <v>12.3</v>
      </c>
      <c r="Y124" s="10">
        <f t="shared" si="49"/>
        <v>137.22</v>
      </c>
      <c r="Z124" s="71">
        <v>524407684.32999998</v>
      </c>
      <c r="AA124" s="72">
        <v>1594</v>
      </c>
      <c r="AB124" s="22">
        <f t="shared" si="35"/>
        <v>328988.51</v>
      </c>
      <c r="AC124" s="9">
        <f t="shared" si="36"/>
        <v>1.282545</v>
      </c>
      <c r="AD124" s="72">
        <v>92500</v>
      </c>
      <c r="AE124" s="9">
        <f t="shared" si="37"/>
        <v>0.67060600000000004</v>
      </c>
      <c r="AF124" s="9">
        <f t="shared" si="56"/>
        <v>-9.8962999999999995E-2</v>
      </c>
      <c r="AG124" s="49">
        <f t="shared" si="38"/>
        <v>0.01</v>
      </c>
      <c r="AH124" s="50">
        <f t="shared" si="39"/>
        <v>0</v>
      </c>
      <c r="AI124" s="51">
        <f t="shared" si="50"/>
        <v>0.01</v>
      </c>
      <c r="AJ124" s="72">
        <v>66</v>
      </c>
      <c r="AK124">
        <v>6</v>
      </c>
      <c r="AL124" s="21">
        <f t="shared" si="51"/>
        <v>39600</v>
      </c>
      <c r="AM124" s="72">
        <v>0</v>
      </c>
      <c r="AN124">
        <v>0</v>
      </c>
      <c r="AO124" s="21">
        <f t="shared" si="52"/>
        <v>0</v>
      </c>
      <c r="AP124" s="21">
        <f t="shared" si="40"/>
        <v>15815</v>
      </c>
      <c r="AQ124" s="21">
        <f t="shared" si="53"/>
        <v>55415</v>
      </c>
      <c r="AR124" s="48">
        <v>25815</v>
      </c>
      <c r="AS124" s="48">
        <f t="shared" si="57"/>
        <v>55415</v>
      </c>
      <c r="AT124" s="72">
        <v>53125</v>
      </c>
      <c r="AU124" s="21">
        <f t="shared" si="58"/>
        <v>2290</v>
      </c>
      <c r="AV124" s="52" t="str">
        <f t="shared" si="60"/>
        <v>Yes</v>
      </c>
      <c r="AW124" s="48">
        <f t="shared" si="54"/>
        <v>2290</v>
      </c>
      <c r="AX124" s="53">
        <f t="shared" si="55"/>
        <v>55415</v>
      </c>
      <c r="AY124" s="54">
        <f t="shared" si="59"/>
        <v>55415</v>
      </c>
      <c r="AZ124" s="76"/>
      <c r="BA124" s="21"/>
      <c r="BD124" s="55"/>
      <c r="BE124" s="55"/>
      <c r="BF124" s="55"/>
      <c r="BG124" s="55"/>
      <c r="BH124" s="55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5"/>
      <c r="K125" s="71">
        <v>1582.16</v>
      </c>
      <c r="L125" s="73"/>
      <c r="M125" s="72">
        <v>396</v>
      </c>
      <c r="N125" s="46">
        <f t="shared" si="41"/>
        <v>118.8</v>
      </c>
      <c r="O125" s="46">
        <f t="shared" si="42"/>
        <v>949.3</v>
      </c>
      <c r="P125" s="46">
        <f t="shared" si="43"/>
        <v>0</v>
      </c>
      <c r="Q125" s="46">
        <f t="shared" si="44"/>
        <v>0</v>
      </c>
      <c r="R125" s="47">
        <f t="shared" si="45"/>
        <v>0.25</v>
      </c>
      <c r="S125" s="47">
        <f t="shared" si="33"/>
        <v>0</v>
      </c>
      <c r="T125" s="46">
        <f t="shared" si="34"/>
        <v>0</v>
      </c>
      <c r="U125" s="46">
        <f t="shared" si="46"/>
        <v>0</v>
      </c>
      <c r="V125" s="72">
        <v>22</v>
      </c>
      <c r="W125" s="46">
        <f t="shared" si="47"/>
        <v>5.5</v>
      </c>
      <c r="X125" s="22">
        <f t="shared" si="48"/>
        <v>118.8</v>
      </c>
      <c r="Y125" s="10">
        <f t="shared" si="49"/>
        <v>1706.46</v>
      </c>
      <c r="Z125" s="71">
        <v>2295315303</v>
      </c>
      <c r="AA125" s="72">
        <v>13464</v>
      </c>
      <c r="AB125" s="22">
        <f t="shared" si="35"/>
        <v>170477.96</v>
      </c>
      <c r="AC125" s="9">
        <f t="shared" si="36"/>
        <v>0.66459999999999997</v>
      </c>
      <c r="AD125" s="72">
        <v>114167</v>
      </c>
      <c r="AE125" s="9">
        <f t="shared" si="37"/>
        <v>0.82768799999999998</v>
      </c>
      <c r="AF125" s="9">
        <f t="shared" si="56"/>
        <v>0.28647400000000001</v>
      </c>
      <c r="AG125" s="49">
        <f t="shared" si="38"/>
        <v>0.28647400000000001</v>
      </c>
      <c r="AH125" s="50">
        <f t="shared" si="39"/>
        <v>0</v>
      </c>
      <c r="AI125" s="51">
        <f t="shared" si="50"/>
        <v>0.28647400000000001</v>
      </c>
      <c r="AJ125" s="72">
        <v>0</v>
      </c>
      <c r="AK125">
        <v>0</v>
      </c>
      <c r="AL125" s="21">
        <f t="shared" si="51"/>
        <v>0</v>
      </c>
      <c r="AM125" s="72">
        <v>0</v>
      </c>
      <c r="AN125">
        <v>0</v>
      </c>
      <c r="AO125" s="21">
        <f t="shared" si="52"/>
        <v>0</v>
      </c>
      <c r="AP125" s="21">
        <f t="shared" si="40"/>
        <v>5634070</v>
      </c>
      <c r="AQ125" s="21">
        <f t="shared" si="53"/>
        <v>5634070</v>
      </c>
      <c r="AR125" s="48">
        <v>8076776</v>
      </c>
      <c r="AS125" s="48">
        <f t="shared" si="57"/>
        <v>5634070</v>
      </c>
      <c r="AT125" s="72">
        <v>7331325</v>
      </c>
      <c r="AU125" s="21">
        <f t="shared" si="58"/>
        <v>1697255</v>
      </c>
      <c r="AV125" s="52" t="str">
        <f t="shared" si="60"/>
        <v>No</v>
      </c>
      <c r="AW125" s="48">
        <f t="shared" si="54"/>
        <v>0</v>
      </c>
      <c r="AX125" s="53">
        <f t="shared" si="55"/>
        <v>7331325</v>
      </c>
      <c r="AY125" s="54">
        <f t="shared" si="59"/>
        <v>7331325</v>
      </c>
      <c r="AZ125" s="76"/>
      <c r="BA125" s="21"/>
      <c r="BD125" s="55"/>
      <c r="BE125" s="55"/>
      <c r="BF125" s="55"/>
      <c r="BG125" s="55"/>
      <c r="BH125" s="55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5"/>
      <c r="K126" s="71">
        <v>347.8</v>
      </c>
      <c r="L126" s="73"/>
      <c r="M126" s="72">
        <v>142</v>
      </c>
      <c r="N126" s="46">
        <f t="shared" si="41"/>
        <v>42.6</v>
      </c>
      <c r="O126" s="46">
        <f t="shared" si="42"/>
        <v>208.68</v>
      </c>
      <c r="P126" s="46">
        <f t="shared" si="43"/>
        <v>0</v>
      </c>
      <c r="Q126" s="46">
        <f t="shared" si="44"/>
        <v>0</v>
      </c>
      <c r="R126" s="47">
        <f t="shared" si="45"/>
        <v>0.41</v>
      </c>
      <c r="S126" s="47">
        <f t="shared" si="33"/>
        <v>0</v>
      </c>
      <c r="T126" s="46">
        <f t="shared" si="34"/>
        <v>0</v>
      </c>
      <c r="U126" s="46">
        <f t="shared" si="46"/>
        <v>0</v>
      </c>
      <c r="V126" s="72">
        <v>22</v>
      </c>
      <c r="W126" s="46">
        <f t="shared" si="47"/>
        <v>5.5</v>
      </c>
      <c r="X126" s="22">
        <f t="shared" si="48"/>
        <v>42.6</v>
      </c>
      <c r="Y126" s="10">
        <f t="shared" si="49"/>
        <v>395.90000000000003</v>
      </c>
      <c r="Z126" s="71">
        <v>568449934</v>
      </c>
      <c r="AA126" s="72">
        <v>3209</v>
      </c>
      <c r="AB126" s="22">
        <f t="shared" si="35"/>
        <v>177142.39</v>
      </c>
      <c r="AC126" s="9">
        <f t="shared" si="36"/>
        <v>0.690581</v>
      </c>
      <c r="AD126" s="72">
        <v>60962</v>
      </c>
      <c r="AE126" s="9">
        <f t="shared" si="37"/>
        <v>0.44196200000000002</v>
      </c>
      <c r="AF126" s="9">
        <f t="shared" si="56"/>
        <v>0.38400499999999999</v>
      </c>
      <c r="AG126" s="49">
        <f t="shared" si="38"/>
        <v>0.38400499999999999</v>
      </c>
      <c r="AH126" s="50">
        <f t="shared" si="39"/>
        <v>0</v>
      </c>
      <c r="AI126" s="51">
        <f t="shared" si="50"/>
        <v>0.38400499999999999</v>
      </c>
      <c r="AJ126" s="72">
        <v>113</v>
      </c>
      <c r="AK126">
        <v>4</v>
      </c>
      <c r="AL126" s="21">
        <f t="shared" si="51"/>
        <v>45200</v>
      </c>
      <c r="AM126" s="72">
        <v>0</v>
      </c>
      <c r="AN126">
        <v>0</v>
      </c>
      <c r="AO126" s="21">
        <f t="shared" si="52"/>
        <v>0</v>
      </c>
      <c r="AP126" s="21">
        <f t="shared" si="40"/>
        <v>1752118</v>
      </c>
      <c r="AQ126" s="21">
        <f t="shared" si="53"/>
        <v>1797318</v>
      </c>
      <c r="AR126" s="48">
        <v>2044243</v>
      </c>
      <c r="AS126" s="48">
        <f t="shared" si="57"/>
        <v>1797318</v>
      </c>
      <c r="AT126" s="72">
        <v>1781954</v>
      </c>
      <c r="AU126" s="21">
        <f t="shared" si="58"/>
        <v>15364</v>
      </c>
      <c r="AV126" s="52" t="str">
        <f t="shared" si="60"/>
        <v>Yes</v>
      </c>
      <c r="AW126" s="48">
        <f t="shared" si="54"/>
        <v>15364</v>
      </c>
      <c r="AX126" s="53">
        <f t="shared" si="55"/>
        <v>1797318</v>
      </c>
      <c r="AY126" s="54">
        <f t="shared" si="59"/>
        <v>1797318</v>
      </c>
      <c r="AZ126" s="76"/>
      <c r="BA126" s="21"/>
      <c r="BD126" s="55"/>
      <c r="BE126" s="55"/>
      <c r="BF126" s="55"/>
      <c r="BG126" s="55"/>
      <c r="BH126" s="55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5"/>
      <c r="K127" s="71">
        <v>3242.55</v>
      </c>
      <c r="L127" s="73"/>
      <c r="M127" s="72">
        <v>753</v>
      </c>
      <c r="N127" s="46">
        <f t="shared" si="41"/>
        <v>225.9</v>
      </c>
      <c r="O127" s="46">
        <f t="shared" si="42"/>
        <v>1945.53</v>
      </c>
      <c r="P127" s="46">
        <f t="shared" si="43"/>
        <v>0</v>
      </c>
      <c r="Q127" s="46">
        <f t="shared" si="44"/>
        <v>0</v>
      </c>
      <c r="R127" s="47">
        <f t="shared" si="45"/>
        <v>0.23</v>
      </c>
      <c r="S127" s="47">
        <f t="shared" si="33"/>
        <v>0</v>
      </c>
      <c r="T127" s="46">
        <f t="shared" si="34"/>
        <v>0</v>
      </c>
      <c r="U127" s="46">
        <f t="shared" si="46"/>
        <v>0</v>
      </c>
      <c r="V127" s="72">
        <v>196</v>
      </c>
      <c r="W127" s="46">
        <f t="shared" si="47"/>
        <v>49</v>
      </c>
      <c r="X127" s="22">
        <f t="shared" si="48"/>
        <v>225.9</v>
      </c>
      <c r="Y127" s="10">
        <f t="shared" si="49"/>
        <v>3517.4500000000003</v>
      </c>
      <c r="Z127" s="71">
        <v>5635439103.6700001</v>
      </c>
      <c r="AA127" s="72">
        <v>24114</v>
      </c>
      <c r="AB127" s="22">
        <f t="shared" si="35"/>
        <v>233699.89</v>
      </c>
      <c r="AC127" s="9">
        <f t="shared" si="36"/>
        <v>0.91106699999999996</v>
      </c>
      <c r="AD127" s="72">
        <v>121250</v>
      </c>
      <c r="AE127" s="9">
        <f t="shared" si="37"/>
        <v>0.87903799999999999</v>
      </c>
      <c r="AF127" s="9">
        <f t="shared" si="56"/>
        <v>9.8542000000000005E-2</v>
      </c>
      <c r="AG127" s="49">
        <f t="shared" si="38"/>
        <v>9.8542000000000005E-2</v>
      </c>
      <c r="AH127" s="50">
        <f t="shared" si="39"/>
        <v>0</v>
      </c>
      <c r="AI127" s="51">
        <f t="shared" si="50"/>
        <v>9.8542000000000005E-2</v>
      </c>
      <c r="AJ127" s="72">
        <v>0</v>
      </c>
      <c r="AK127">
        <v>0</v>
      </c>
      <c r="AL127" s="21">
        <f t="shared" si="51"/>
        <v>0</v>
      </c>
      <c r="AM127" s="72">
        <v>0</v>
      </c>
      <c r="AN127">
        <v>0</v>
      </c>
      <c r="AO127" s="21">
        <f t="shared" si="52"/>
        <v>0</v>
      </c>
      <c r="AP127" s="21">
        <f t="shared" si="40"/>
        <v>3994756</v>
      </c>
      <c r="AQ127" s="21">
        <f t="shared" si="53"/>
        <v>3994756</v>
      </c>
      <c r="AR127" s="48">
        <v>3842088</v>
      </c>
      <c r="AS127" s="48">
        <f t="shared" si="57"/>
        <v>3994756</v>
      </c>
      <c r="AT127" s="72">
        <v>4399467</v>
      </c>
      <c r="AU127" s="21">
        <f t="shared" si="58"/>
        <v>404711</v>
      </c>
      <c r="AV127" s="52" t="str">
        <f t="shared" si="60"/>
        <v>No</v>
      </c>
      <c r="AW127" s="48">
        <f t="shared" si="54"/>
        <v>0</v>
      </c>
      <c r="AX127" s="53">
        <f t="shared" si="55"/>
        <v>4399467</v>
      </c>
      <c r="AY127" s="54">
        <f t="shared" si="59"/>
        <v>4399467</v>
      </c>
      <c r="AZ127" s="76"/>
      <c r="BA127" s="21"/>
      <c r="BD127" s="55"/>
      <c r="BE127" s="55"/>
      <c r="BF127" s="55"/>
      <c r="BG127" s="55"/>
      <c r="BH127" s="55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5"/>
      <c r="K128" s="71">
        <v>707.27</v>
      </c>
      <c r="L128" s="73"/>
      <c r="M128" s="72">
        <v>125</v>
      </c>
      <c r="N128" s="46">
        <f t="shared" si="41"/>
        <v>37.5</v>
      </c>
      <c r="O128" s="46">
        <f t="shared" si="42"/>
        <v>424.36</v>
      </c>
      <c r="P128" s="46">
        <f t="shared" si="43"/>
        <v>0</v>
      </c>
      <c r="Q128" s="46">
        <f t="shared" si="44"/>
        <v>0</v>
      </c>
      <c r="R128" s="47">
        <f t="shared" si="45"/>
        <v>0.18</v>
      </c>
      <c r="S128" s="47">
        <f t="shared" si="33"/>
        <v>0</v>
      </c>
      <c r="T128" s="46">
        <f t="shared" si="34"/>
        <v>0</v>
      </c>
      <c r="U128" s="46">
        <f t="shared" si="46"/>
        <v>0</v>
      </c>
      <c r="V128" s="72">
        <v>3</v>
      </c>
      <c r="W128" s="46">
        <f t="shared" si="47"/>
        <v>0.75</v>
      </c>
      <c r="X128" s="22">
        <f t="shared" si="48"/>
        <v>37.5</v>
      </c>
      <c r="Y128" s="10">
        <f t="shared" si="49"/>
        <v>745.52</v>
      </c>
      <c r="Z128" s="71">
        <v>1077907581.3299999</v>
      </c>
      <c r="AA128" s="72">
        <v>5174</v>
      </c>
      <c r="AB128" s="22">
        <f t="shared" si="35"/>
        <v>208331.58</v>
      </c>
      <c r="AC128" s="9">
        <f t="shared" si="36"/>
        <v>0.81216999999999995</v>
      </c>
      <c r="AD128" s="72">
        <v>91932</v>
      </c>
      <c r="AE128" s="9">
        <f t="shared" si="37"/>
        <v>0.66648799999999997</v>
      </c>
      <c r="AF128" s="9">
        <f t="shared" si="56"/>
        <v>0.23153499999999999</v>
      </c>
      <c r="AG128" s="49">
        <f t="shared" si="38"/>
        <v>0.23153499999999999</v>
      </c>
      <c r="AH128" s="50">
        <f t="shared" si="39"/>
        <v>0</v>
      </c>
      <c r="AI128" s="51">
        <f t="shared" si="50"/>
        <v>0.23153499999999999</v>
      </c>
      <c r="AJ128" s="72">
        <v>0</v>
      </c>
      <c r="AK128">
        <v>0</v>
      </c>
      <c r="AL128" s="21">
        <f t="shared" si="51"/>
        <v>0</v>
      </c>
      <c r="AM128" s="72">
        <v>0</v>
      </c>
      <c r="AN128">
        <v>0</v>
      </c>
      <c r="AO128" s="21">
        <f t="shared" si="52"/>
        <v>0</v>
      </c>
      <c r="AP128" s="21">
        <f t="shared" si="40"/>
        <v>1989376</v>
      </c>
      <c r="AQ128" s="21">
        <f t="shared" si="53"/>
        <v>1989376</v>
      </c>
      <c r="AR128" s="48">
        <v>2834470</v>
      </c>
      <c r="AS128" s="48">
        <f t="shared" si="57"/>
        <v>1989376</v>
      </c>
      <c r="AT128" s="72">
        <v>2660307</v>
      </c>
      <c r="AU128" s="21">
        <f t="shared" si="58"/>
        <v>670931</v>
      </c>
      <c r="AV128" s="52" t="str">
        <f t="shared" si="60"/>
        <v>No</v>
      </c>
      <c r="AW128" s="48">
        <f t="shared" si="54"/>
        <v>0</v>
      </c>
      <c r="AX128" s="53">
        <f t="shared" si="55"/>
        <v>2660307</v>
      </c>
      <c r="AY128" s="54">
        <f t="shared" si="59"/>
        <v>2660307</v>
      </c>
      <c r="AZ128" s="76"/>
      <c r="BA128" s="21"/>
      <c r="BD128" s="55"/>
      <c r="BE128" s="55"/>
      <c r="BF128" s="55"/>
      <c r="BG128" s="55"/>
      <c r="BH128" s="55"/>
    </row>
    <row r="129" spans="1:60" x14ac:dyDescent="0.5">
      <c r="A129" s="5" t="s">
        <v>73</v>
      </c>
      <c r="B129" s="5">
        <v>1</v>
      </c>
      <c r="C129" s="57">
        <v>1</v>
      </c>
      <c r="D129" s="57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5"/>
      <c r="K129" s="71">
        <v>11808.17</v>
      </c>
      <c r="L129" s="73"/>
      <c r="M129" s="72">
        <v>5961</v>
      </c>
      <c r="N129" s="46">
        <f t="shared" si="41"/>
        <v>1788.3</v>
      </c>
      <c r="O129" s="46">
        <f t="shared" si="42"/>
        <v>7084.9</v>
      </c>
      <c r="P129" s="46">
        <f t="shared" si="43"/>
        <v>0</v>
      </c>
      <c r="Q129" s="46">
        <f t="shared" si="44"/>
        <v>0</v>
      </c>
      <c r="R129" s="47">
        <f t="shared" si="45"/>
        <v>0.5</v>
      </c>
      <c r="S129" s="47">
        <f t="shared" si="33"/>
        <v>0</v>
      </c>
      <c r="T129" s="46">
        <f t="shared" si="34"/>
        <v>0</v>
      </c>
      <c r="U129" s="46">
        <f t="shared" si="46"/>
        <v>0</v>
      </c>
      <c r="V129" s="72">
        <v>2698</v>
      </c>
      <c r="W129" s="46">
        <f t="shared" si="47"/>
        <v>674.5</v>
      </c>
      <c r="X129" s="22">
        <f t="shared" si="48"/>
        <v>1788.3</v>
      </c>
      <c r="Y129" s="10">
        <f t="shared" si="49"/>
        <v>14270.97</v>
      </c>
      <c r="Z129" s="71">
        <v>25618279327.330002</v>
      </c>
      <c r="AA129" s="72">
        <v>91401</v>
      </c>
      <c r="AB129" s="22">
        <f t="shared" si="35"/>
        <v>280284.45</v>
      </c>
      <c r="AC129" s="9">
        <f t="shared" si="36"/>
        <v>1.0926750000000001</v>
      </c>
      <c r="AD129" s="72">
        <v>97879</v>
      </c>
      <c r="AE129" s="9">
        <f t="shared" si="37"/>
        <v>0.70960299999999998</v>
      </c>
      <c r="AF129" s="9">
        <f t="shared" si="56"/>
        <v>2.2246999999999999E-2</v>
      </c>
      <c r="AG129" s="49">
        <f t="shared" si="38"/>
        <v>0.1</v>
      </c>
      <c r="AH129" s="50">
        <f t="shared" si="39"/>
        <v>0</v>
      </c>
      <c r="AI129" s="51">
        <f t="shared" si="50"/>
        <v>0.1</v>
      </c>
      <c r="AJ129" s="72">
        <v>0</v>
      </c>
      <c r="AK129">
        <v>0</v>
      </c>
      <c r="AL129" s="21">
        <f t="shared" si="51"/>
        <v>0</v>
      </c>
      <c r="AM129" s="72">
        <v>0</v>
      </c>
      <c r="AN129">
        <v>0</v>
      </c>
      <c r="AO129" s="21">
        <f t="shared" si="52"/>
        <v>0</v>
      </c>
      <c r="AP129" s="21">
        <f t="shared" si="40"/>
        <v>16447293</v>
      </c>
      <c r="AQ129" s="21">
        <f t="shared" si="53"/>
        <v>16447293</v>
      </c>
      <c r="AR129" s="48">
        <v>11243340</v>
      </c>
      <c r="AS129" s="48">
        <f t="shared" si="57"/>
        <v>16447293</v>
      </c>
      <c r="AT129" s="72">
        <v>15498345</v>
      </c>
      <c r="AU129" s="21">
        <f t="shared" si="58"/>
        <v>948948</v>
      </c>
      <c r="AV129" s="52" t="str">
        <f t="shared" si="60"/>
        <v>Yes</v>
      </c>
      <c r="AW129" s="48">
        <f t="shared" si="54"/>
        <v>948948</v>
      </c>
      <c r="AX129" s="53">
        <f t="shared" si="55"/>
        <v>16447293</v>
      </c>
      <c r="AY129" s="54">
        <f t="shared" si="59"/>
        <v>16447293</v>
      </c>
      <c r="AZ129" s="76"/>
      <c r="BA129" s="21"/>
      <c r="BD129" s="55"/>
      <c r="BE129" s="55"/>
      <c r="BF129" s="55"/>
      <c r="BG129" s="55"/>
      <c r="BH129" s="55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7</v>
      </c>
      <c r="H130" s="5">
        <v>104</v>
      </c>
      <c r="I130" s="2" t="s">
        <v>183</v>
      </c>
      <c r="J130" s="45"/>
      <c r="K130" s="71">
        <v>4924</v>
      </c>
      <c r="L130" s="74"/>
      <c r="M130" s="72">
        <v>3722</v>
      </c>
      <c r="N130" s="46">
        <f t="shared" si="41"/>
        <v>1116.5999999999999</v>
      </c>
      <c r="O130" s="46">
        <f t="shared" si="42"/>
        <v>2954.4</v>
      </c>
      <c r="P130" s="46">
        <f t="shared" si="43"/>
        <v>767.59999999999991</v>
      </c>
      <c r="Q130" s="46">
        <f t="shared" si="44"/>
        <v>115.14</v>
      </c>
      <c r="R130" s="47">
        <f t="shared" si="45"/>
        <v>0.76</v>
      </c>
      <c r="S130" s="47">
        <f t="shared" si="33"/>
        <v>0.16000000000000003</v>
      </c>
      <c r="T130" s="46">
        <f t="shared" si="34"/>
        <v>787.84</v>
      </c>
      <c r="U130" s="46">
        <f t="shared" si="46"/>
        <v>118.18</v>
      </c>
      <c r="V130" s="72">
        <v>1123</v>
      </c>
      <c r="W130" s="46">
        <f t="shared" si="47"/>
        <v>280.75</v>
      </c>
      <c r="X130" s="22">
        <f t="shared" si="48"/>
        <v>1116.5999999999999</v>
      </c>
      <c r="Y130" s="10">
        <f t="shared" si="49"/>
        <v>6436.4900000000007</v>
      </c>
      <c r="Z130" s="71">
        <v>3785281971.6700001</v>
      </c>
      <c r="AA130" s="72">
        <v>40009</v>
      </c>
      <c r="AB130" s="22">
        <f t="shared" si="35"/>
        <v>94610.76</v>
      </c>
      <c r="AC130" s="9">
        <f t="shared" si="36"/>
        <v>0.36883500000000002</v>
      </c>
      <c r="AD130" s="72">
        <v>62713</v>
      </c>
      <c r="AE130" s="9">
        <f t="shared" si="37"/>
        <v>0.45465699999999998</v>
      </c>
      <c r="AF130" s="9">
        <f t="shared" si="56"/>
        <v>0.60541800000000001</v>
      </c>
      <c r="AG130" s="49">
        <f t="shared" si="38"/>
        <v>0.60541800000000001</v>
      </c>
      <c r="AH130" s="50">
        <f t="shared" si="39"/>
        <v>0.05</v>
      </c>
      <c r="AI130" s="51">
        <f t="shared" si="50"/>
        <v>0.65541800000000006</v>
      </c>
      <c r="AJ130" s="72">
        <v>0</v>
      </c>
      <c r="AK130">
        <v>0</v>
      </c>
      <c r="AL130" s="21">
        <f t="shared" si="51"/>
        <v>0</v>
      </c>
      <c r="AM130" s="72">
        <v>1530</v>
      </c>
      <c r="AN130">
        <v>4</v>
      </c>
      <c r="AO130" s="21">
        <f t="shared" si="52"/>
        <v>612000</v>
      </c>
      <c r="AP130" s="21">
        <f t="shared" si="40"/>
        <v>48619266</v>
      </c>
      <c r="AQ130" s="21">
        <f t="shared" si="53"/>
        <v>49231266</v>
      </c>
      <c r="AR130" s="48">
        <v>36209664</v>
      </c>
      <c r="AS130" s="48">
        <f t="shared" si="57"/>
        <v>49231266</v>
      </c>
      <c r="AT130" s="72">
        <v>46690778</v>
      </c>
      <c r="AU130" s="21">
        <f t="shared" si="58"/>
        <v>2540488</v>
      </c>
      <c r="AV130" s="52" t="str">
        <f t="shared" si="60"/>
        <v>Yes</v>
      </c>
      <c r="AW130" s="48">
        <f t="shared" si="54"/>
        <v>2540488</v>
      </c>
      <c r="AX130" s="53">
        <f t="shared" si="55"/>
        <v>49231266</v>
      </c>
      <c r="AY130" s="54">
        <f t="shared" si="59"/>
        <v>49231266</v>
      </c>
      <c r="AZ130" s="76"/>
      <c r="BA130" s="21"/>
      <c r="BD130" s="55"/>
      <c r="BE130" s="55"/>
      <c r="BF130" s="55"/>
      <c r="BG130" s="55"/>
      <c r="BH130" s="55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5"/>
      <c r="K131" s="71">
        <v>1059.8599999999999</v>
      </c>
      <c r="L131" s="73"/>
      <c r="M131" s="72">
        <v>160</v>
      </c>
      <c r="N131" s="46">
        <f t="shared" si="41"/>
        <v>48</v>
      </c>
      <c r="O131" s="46">
        <f t="shared" si="42"/>
        <v>635.91999999999996</v>
      </c>
      <c r="P131" s="46">
        <f t="shared" si="43"/>
        <v>0</v>
      </c>
      <c r="Q131" s="46">
        <f t="shared" si="44"/>
        <v>0</v>
      </c>
      <c r="R131" s="47">
        <f t="shared" si="45"/>
        <v>0.15</v>
      </c>
      <c r="S131" s="47">
        <f t="shared" si="33"/>
        <v>0</v>
      </c>
      <c r="T131" s="46">
        <f t="shared" si="34"/>
        <v>0</v>
      </c>
      <c r="U131" s="46">
        <f t="shared" si="46"/>
        <v>0</v>
      </c>
      <c r="V131" s="72">
        <v>31</v>
      </c>
      <c r="W131" s="46">
        <f t="shared" si="47"/>
        <v>7.75</v>
      </c>
      <c r="X131" s="22">
        <f t="shared" si="48"/>
        <v>48</v>
      </c>
      <c r="Y131" s="10">
        <f t="shared" si="49"/>
        <v>1115.6099999999999</v>
      </c>
      <c r="Z131" s="71">
        <v>3167452159</v>
      </c>
      <c r="AA131" s="72">
        <v>7684</v>
      </c>
      <c r="AB131" s="22">
        <f t="shared" si="35"/>
        <v>412213.97</v>
      </c>
      <c r="AC131" s="9">
        <f t="shared" si="36"/>
        <v>1.6069960000000001</v>
      </c>
      <c r="AD131" s="72">
        <v>122116</v>
      </c>
      <c r="AE131" s="9">
        <f t="shared" si="37"/>
        <v>0.88531599999999999</v>
      </c>
      <c r="AF131" s="9">
        <f t="shared" si="56"/>
        <v>-0.39049200000000001</v>
      </c>
      <c r="AG131" s="49">
        <f t="shared" si="38"/>
        <v>0.01</v>
      </c>
      <c r="AH131" s="50">
        <f t="shared" si="39"/>
        <v>0</v>
      </c>
      <c r="AI131" s="51">
        <f t="shared" si="50"/>
        <v>0.01</v>
      </c>
      <c r="AJ131" s="72">
        <v>1051</v>
      </c>
      <c r="AK131">
        <v>13</v>
      </c>
      <c r="AL131" s="21">
        <f t="shared" si="51"/>
        <v>1366300</v>
      </c>
      <c r="AM131" s="72">
        <v>0</v>
      </c>
      <c r="AN131">
        <v>0</v>
      </c>
      <c r="AO131" s="21">
        <f t="shared" si="52"/>
        <v>0</v>
      </c>
      <c r="AP131" s="21">
        <f t="shared" si="40"/>
        <v>128574</v>
      </c>
      <c r="AQ131" s="21">
        <f t="shared" si="53"/>
        <v>1494874</v>
      </c>
      <c r="AR131" s="48">
        <v>247462</v>
      </c>
      <c r="AS131" s="48">
        <f t="shared" si="57"/>
        <v>1494874</v>
      </c>
      <c r="AT131" s="72">
        <v>1171194</v>
      </c>
      <c r="AU131" s="21">
        <f t="shared" si="58"/>
        <v>323680</v>
      </c>
      <c r="AV131" s="52" t="str">
        <f t="shared" si="60"/>
        <v>Yes</v>
      </c>
      <c r="AW131" s="48">
        <f t="shared" si="54"/>
        <v>323680</v>
      </c>
      <c r="AX131" s="53">
        <f t="shared" si="55"/>
        <v>1494874</v>
      </c>
      <c r="AY131" s="54">
        <f t="shared" si="59"/>
        <v>1494874</v>
      </c>
      <c r="AZ131" s="76"/>
      <c r="BA131" s="21"/>
      <c r="BD131" s="55"/>
      <c r="BE131" s="55"/>
      <c r="BF131" s="55"/>
      <c r="BG131" s="55"/>
      <c r="BH131" s="55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5"/>
      <c r="K132" s="71">
        <v>1051</v>
      </c>
      <c r="L132" s="73"/>
      <c r="M132" s="72">
        <v>249</v>
      </c>
      <c r="N132" s="46">
        <f t="shared" si="41"/>
        <v>74.7</v>
      </c>
      <c r="O132" s="46">
        <f t="shared" si="42"/>
        <v>630.6</v>
      </c>
      <c r="P132" s="46">
        <f t="shared" si="43"/>
        <v>0</v>
      </c>
      <c r="Q132" s="46">
        <f t="shared" si="44"/>
        <v>0</v>
      </c>
      <c r="R132" s="47">
        <f t="shared" si="45"/>
        <v>0.24</v>
      </c>
      <c r="S132" s="47">
        <f t="shared" si="33"/>
        <v>0</v>
      </c>
      <c r="T132" s="46">
        <f t="shared" si="34"/>
        <v>0</v>
      </c>
      <c r="U132" s="46">
        <f t="shared" si="46"/>
        <v>0</v>
      </c>
      <c r="V132" s="72">
        <v>87</v>
      </c>
      <c r="W132" s="46">
        <f t="shared" si="47"/>
        <v>21.75</v>
      </c>
      <c r="X132" s="22">
        <f t="shared" si="48"/>
        <v>74.7</v>
      </c>
      <c r="Y132" s="10">
        <f t="shared" si="49"/>
        <v>1147.45</v>
      </c>
      <c r="Z132" s="71">
        <v>4507916650</v>
      </c>
      <c r="AA132" s="72">
        <v>10535</v>
      </c>
      <c r="AB132" s="22">
        <f t="shared" si="35"/>
        <v>427899.07</v>
      </c>
      <c r="AC132" s="9">
        <f t="shared" si="36"/>
        <v>1.6681429999999999</v>
      </c>
      <c r="AD132" s="72">
        <v>99825</v>
      </c>
      <c r="AE132" s="9">
        <f t="shared" si="37"/>
        <v>0.72371099999999999</v>
      </c>
      <c r="AF132" s="9">
        <f t="shared" si="56"/>
        <v>-0.38481300000000002</v>
      </c>
      <c r="AG132" s="49">
        <f t="shared" si="38"/>
        <v>0.01</v>
      </c>
      <c r="AH132" s="50">
        <f t="shared" si="39"/>
        <v>0</v>
      </c>
      <c r="AI132" s="51">
        <f t="shared" si="50"/>
        <v>0.01</v>
      </c>
      <c r="AJ132" s="72">
        <v>0</v>
      </c>
      <c r="AK132">
        <v>0</v>
      </c>
      <c r="AL132" s="21">
        <f t="shared" si="51"/>
        <v>0</v>
      </c>
      <c r="AM132" s="72">
        <v>0</v>
      </c>
      <c r="AN132">
        <v>0</v>
      </c>
      <c r="AO132" s="21">
        <f t="shared" si="52"/>
        <v>0</v>
      </c>
      <c r="AP132" s="21">
        <f t="shared" si="40"/>
        <v>132244</v>
      </c>
      <c r="AQ132" s="21">
        <f t="shared" si="53"/>
        <v>132244</v>
      </c>
      <c r="AR132" s="48">
        <v>122907</v>
      </c>
      <c r="AS132" s="48">
        <f t="shared" si="57"/>
        <v>132244</v>
      </c>
      <c r="AT132" s="72">
        <v>131315</v>
      </c>
      <c r="AU132" s="21">
        <f t="shared" si="58"/>
        <v>929</v>
      </c>
      <c r="AV132" s="52" t="str">
        <f t="shared" si="60"/>
        <v>Yes</v>
      </c>
      <c r="AW132" s="48">
        <f t="shared" si="54"/>
        <v>929</v>
      </c>
      <c r="AX132" s="53">
        <f t="shared" si="55"/>
        <v>132244</v>
      </c>
      <c r="AY132" s="54">
        <f t="shared" si="59"/>
        <v>132244</v>
      </c>
      <c r="AZ132" s="76"/>
      <c r="BA132" s="21"/>
      <c r="BD132" s="55"/>
      <c r="BE132" s="55"/>
      <c r="BF132" s="55"/>
      <c r="BG132" s="55"/>
      <c r="BH132" s="55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5"/>
      <c r="K133" s="71">
        <v>2250.4899999999998</v>
      </c>
      <c r="L133" s="73"/>
      <c r="M133" s="72">
        <v>355</v>
      </c>
      <c r="N133" s="46">
        <f t="shared" si="41"/>
        <v>106.5</v>
      </c>
      <c r="O133" s="46">
        <f t="shared" si="42"/>
        <v>1350.29</v>
      </c>
      <c r="P133" s="46">
        <f t="shared" si="43"/>
        <v>0</v>
      </c>
      <c r="Q133" s="46">
        <f t="shared" si="44"/>
        <v>0</v>
      </c>
      <c r="R133" s="47">
        <f t="shared" si="45"/>
        <v>0.16</v>
      </c>
      <c r="S133" s="47">
        <f t="shared" si="33"/>
        <v>0</v>
      </c>
      <c r="T133" s="46">
        <f t="shared" si="34"/>
        <v>0</v>
      </c>
      <c r="U133" s="46">
        <f t="shared" si="46"/>
        <v>0</v>
      </c>
      <c r="V133" s="72">
        <v>100</v>
      </c>
      <c r="W133" s="46">
        <f t="shared" si="47"/>
        <v>25</v>
      </c>
      <c r="X133" s="22">
        <f t="shared" si="48"/>
        <v>106.5</v>
      </c>
      <c r="Y133" s="10">
        <f t="shared" si="49"/>
        <v>2381.9899999999998</v>
      </c>
      <c r="Z133" s="71">
        <v>4047810107.6700001</v>
      </c>
      <c r="AA133" s="72">
        <v>14258</v>
      </c>
      <c r="AB133" s="22">
        <f t="shared" si="35"/>
        <v>283897.46999999997</v>
      </c>
      <c r="AC133" s="9">
        <f t="shared" si="36"/>
        <v>1.10676</v>
      </c>
      <c r="AD133" s="72">
        <v>138514</v>
      </c>
      <c r="AE133" s="9">
        <f t="shared" si="37"/>
        <v>1.0041979999999999</v>
      </c>
      <c r="AF133" s="9">
        <f t="shared" si="56"/>
        <v>-7.5991000000000003E-2</v>
      </c>
      <c r="AG133" s="49">
        <f t="shared" si="38"/>
        <v>0.01</v>
      </c>
      <c r="AH133" s="50">
        <f t="shared" si="39"/>
        <v>0</v>
      </c>
      <c r="AI133" s="51">
        <f t="shared" si="50"/>
        <v>0.01</v>
      </c>
      <c r="AJ133" s="72">
        <v>1029</v>
      </c>
      <c r="AK133">
        <v>6</v>
      </c>
      <c r="AL133" s="21">
        <f t="shared" si="51"/>
        <v>617400</v>
      </c>
      <c r="AM133" s="72">
        <v>0</v>
      </c>
      <c r="AN133">
        <v>0</v>
      </c>
      <c r="AO133" s="21">
        <f t="shared" si="52"/>
        <v>0</v>
      </c>
      <c r="AP133" s="21">
        <f t="shared" si="40"/>
        <v>274524</v>
      </c>
      <c r="AQ133" s="21">
        <f t="shared" si="53"/>
        <v>891924</v>
      </c>
      <c r="AR133" s="48">
        <v>1509226</v>
      </c>
      <c r="AS133" s="48">
        <f t="shared" si="57"/>
        <v>891924</v>
      </c>
      <c r="AT133" s="72">
        <v>1015498</v>
      </c>
      <c r="AU133" s="21">
        <f t="shared" si="58"/>
        <v>123574</v>
      </c>
      <c r="AV133" s="52" t="str">
        <f t="shared" si="60"/>
        <v>No</v>
      </c>
      <c r="AW133" s="48">
        <f t="shared" si="54"/>
        <v>0</v>
      </c>
      <c r="AX133" s="53">
        <f t="shared" si="55"/>
        <v>1015498</v>
      </c>
      <c r="AY133" s="54">
        <f t="shared" si="59"/>
        <v>1015498</v>
      </c>
      <c r="AZ133" s="76"/>
      <c r="BA133" s="21"/>
      <c r="BD133" s="55"/>
      <c r="BE133" s="55"/>
      <c r="BF133" s="55"/>
      <c r="BG133" s="55"/>
      <c r="BH133" s="55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5"/>
      <c r="K134" s="71">
        <v>1688</v>
      </c>
      <c r="L134" s="73"/>
      <c r="M134" s="72">
        <v>308</v>
      </c>
      <c r="N134" s="46">
        <f t="shared" si="41"/>
        <v>92.4</v>
      </c>
      <c r="O134" s="46">
        <f t="shared" si="42"/>
        <v>1012.8</v>
      </c>
      <c r="P134" s="46">
        <f t="shared" si="43"/>
        <v>0</v>
      </c>
      <c r="Q134" s="46">
        <f t="shared" si="44"/>
        <v>0</v>
      </c>
      <c r="R134" s="47">
        <f t="shared" si="45"/>
        <v>0.18</v>
      </c>
      <c r="S134" s="47">
        <f t="shared" si="33"/>
        <v>0</v>
      </c>
      <c r="T134" s="46">
        <f t="shared" si="34"/>
        <v>0</v>
      </c>
      <c r="U134" s="46">
        <f t="shared" si="46"/>
        <v>0</v>
      </c>
      <c r="V134" s="72">
        <v>29</v>
      </c>
      <c r="W134" s="46">
        <f t="shared" si="47"/>
        <v>7.25</v>
      </c>
      <c r="X134" s="22">
        <f t="shared" si="48"/>
        <v>92.4</v>
      </c>
      <c r="Y134" s="10">
        <f t="shared" si="49"/>
        <v>1787.65</v>
      </c>
      <c r="Z134" s="71">
        <v>2971461688.6700001</v>
      </c>
      <c r="AA134" s="72">
        <v>12941</v>
      </c>
      <c r="AB134" s="22">
        <f t="shared" si="35"/>
        <v>229616.08</v>
      </c>
      <c r="AC134" s="9">
        <f t="shared" si="36"/>
        <v>0.89514700000000003</v>
      </c>
      <c r="AD134" s="72">
        <v>123000</v>
      </c>
      <c r="AE134" s="9">
        <f t="shared" si="37"/>
        <v>0.89172499999999999</v>
      </c>
      <c r="AF134" s="9">
        <f t="shared" si="56"/>
        <v>0.10588</v>
      </c>
      <c r="AG134" s="49">
        <f t="shared" si="38"/>
        <v>0.10588</v>
      </c>
      <c r="AH134" s="50">
        <f t="shared" si="39"/>
        <v>0</v>
      </c>
      <c r="AI134" s="51">
        <f t="shared" si="50"/>
        <v>0.10588</v>
      </c>
      <c r="AJ134" s="72">
        <v>0</v>
      </c>
      <c r="AK134">
        <v>0</v>
      </c>
      <c r="AL134" s="21">
        <f t="shared" si="51"/>
        <v>0</v>
      </c>
      <c r="AM134" s="72">
        <v>0</v>
      </c>
      <c r="AN134">
        <v>0</v>
      </c>
      <c r="AO134" s="21">
        <f t="shared" si="52"/>
        <v>0</v>
      </c>
      <c r="AP134" s="21">
        <f t="shared" si="40"/>
        <v>2181410</v>
      </c>
      <c r="AQ134" s="21">
        <f t="shared" si="53"/>
        <v>2181410</v>
      </c>
      <c r="AR134" s="48">
        <v>4528763</v>
      </c>
      <c r="AS134" s="48">
        <f t="shared" si="57"/>
        <v>2181410</v>
      </c>
      <c r="AT134" s="72">
        <v>3677011</v>
      </c>
      <c r="AU134" s="21">
        <f t="shared" si="58"/>
        <v>1495601</v>
      </c>
      <c r="AV134" s="52" t="str">
        <f t="shared" si="60"/>
        <v>No</v>
      </c>
      <c r="AW134" s="48">
        <f t="shared" si="54"/>
        <v>0</v>
      </c>
      <c r="AX134" s="53">
        <f t="shared" si="55"/>
        <v>3677011</v>
      </c>
      <c r="AY134" s="54">
        <f t="shared" si="59"/>
        <v>3677011</v>
      </c>
      <c r="AZ134" s="76"/>
      <c r="BA134" s="21"/>
      <c r="BD134" s="55"/>
      <c r="BE134" s="55"/>
      <c r="BF134" s="55"/>
      <c r="BG134" s="55"/>
      <c r="BH134" s="55"/>
    </row>
    <row r="135" spans="1:60" x14ac:dyDescent="0.5">
      <c r="A135" s="5" t="s">
        <v>86</v>
      </c>
      <c r="B135" s="5"/>
      <c r="C135" s="57">
        <v>1</v>
      </c>
      <c r="D135" s="57">
        <v>1</v>
      </c>
      <c r="E135" s="33"/>
      <c r="F135" s="2">
        <v>9</v>
      </c>
      <c r="G135">
        <v>32</v>
      </c>
      <c r="H135" s="5">
        <v>109</v>
      </c>
      <c r="I135" s="2" t="s">
        <v>188</v>
      </c>
      <c r="J135" s="45"/>
      <c r="K135" s="71">
        <v>1843.3</v>
      </c>
      <c r="L135" s="74"/>
      <c r="M135" s="72">
        <v>1017</v>
      </c>
      <c r="N135" s="46">
        <f t="shared" si="41"/>
        <v>305.10000000000002</v>
      </c>
      <c r="O135" s="46">
        <f t="shared" si="42"/>
        <v>1105.98</v>
      </c>
      <c r="P135" s="46">
        <f t="shared" si="43"/>
        <v>0</v>
      </c>
      <c r="Q135" s="46">
        <f t="shared" si="44"/>
        <v>0</v>
      </c>
      <c r="R135" s="47">
        <f t="shared" si="45"/>
        <v>0.55000000000000004</v>
      </c>
      <c r="S135" s="47">
        <f t="shared" si="33"/>
        <v>0</v>
      </c>
      <c r="T135" s="46">
        <f t="shared" si="34"/>
        <v>0</v>
      </c>
      <c r="U135" s="46">
        <f t="shared" si="46"/>
        <v>0</v>
      </c>
      <c r="V135" s="72">
        <v>20</v>
      </c>
      <c r="W135" s="46">
        <f t="shared" si="47"/>
        <v>5</v>
      </c>
      <c r="X135" s="22">
        <f t="shared" si="48"/>
        <v>305.10000000000002</v>
      </c>
      <c r="Y135" s="10">
        <f t="shared" si="49"/>
        <v>2153.4</v>
      </c>
      <c r="Z135" s="71">
        <v>2046429503.6700001</v>
      </c>
      <c r="AA135" s="72">
        <v>15143</v>
      </c>
      <c r="AB135" s="22">
        <f t="shared" si="35"/>
        <v>135140.29999999999</v>
      </c>
      <c r="AC135" s="9">
        <f t="shared" si="36"/>
        <v>0.52683800000000003</v>
      </c>
      <c r="AD135" s="72">
        <v>68651</v>
      </c>
      <c r="AE135" s="9">
        <f t="shared" si="37"/>
        <v>0.49770599999999998</v>
      </c>
      <c r="AF135" s="9">
        <f t="shared" si="56"/>
        <v>0.481902</v>
      </c>
      <c r="AG135" s="49">
        <f t="shared" si="38"/>
        <v>0.481902</v>
      </c>
      <c r="AH135" s="50">
        <f t="shared" si="39"/>
        <v>0</v>
      </c>
      <c r="AI135" s="51">
        <f t="shared" si="50"/>
        <v>0.481902</v>
      </c>
      <c r="AJ135" s="72">
        <v>0</v>
      </c>
      <c r="AK135">
        <v>0</v>
      </c>
      <c r="AL135" s="21">
        <f t="shared" si="51"/>
        <v>0</v>
      </c>
      <c r="AM135" s="72">
        <v>0</v>
      </c>
      <c r="AN135">
        <v>0</v>
      </c>
      <c r="AO135" s="21">
        <f t="shared" si="52"/>
        <v>0</v>
      </c>
      <c r="AP135" s="21">
        <f t="shared" si="40"/>
        <v>11959813</v>
      </c>
      <c r="AQ135" s="21">
        <f t="shared" si="53"/>
        <v>11959813</v>
      </c>
      <c r="AR135" s="48">
        <v>15364444</v>
      </c>
      <c r="AS135" s="48">
        <f t="shared" si="57"/>
        <v>15364444</v>
      </c>
      <c r="AT135" s="72">
        <v>15364444</v>
      </c>
      <c r="AU135" s="21">
        <f t="shared" si="58"/>
        <v>3404631</v>
      </c>
      <c r="AV135" s="52" t="str">
        <f t="shared" si="60"/>
        <v>No</v>
      </c>
      <c r="AW135" s="48">
        <f t="shared" si="54"/>
        <v>0</v>
      </c>
      <c r="AX135" s="53">
        <f t="shared" si="55"/>
        <v>15364444</v>
      </c>
      <c r="AY135" s="54">
        <f t="shared" si="59"/>
        <v>15364444</v>
      </c>
      <c r="AZ135" s="76"/>
      <c r="BA135" s="21"/>
      <c r="BD135" s="55"/>
      <c r="BE135" s="55"/>
      <c r="BF135" s="55"/>
      <c r="BG135" s="55"/>
      <c r="BH135" s="55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38</v>
      </c>
      <c r="H136" s="5">
        <v>110</v>
      </c>
      <c r="I136" s="2" t="s">
        <v>189</v>
      </c>
      <c r="J136" s="45"/>
      <c r="K136" s="71">
        <v>2233.9</v>
      </c>
      <c r="L136" s="74"/>
      <c r="M136" s="72">
        <v>916</v>
      </c>
      <c r="N136" s="46">
        <f t="shared" si="41"/>
        <v>274.8</v>
      </c>
      <c r="O136" s="46">
        <f t="shared" si="42"/>
        <v>1340.34</v>
      </c>
      <c r="P136" s="46">
        <f t="shared" si="43"/>
        <v>0</v>
      </c>
      <c r="Q136" s="46">
        <f t="shared" si="44"/>
        <v>0</v>
      </c>
      <c r="R136" s="47">
        <f t="shared" si="45"/>
        <v>0.41</v>
      </c>
      <c r="S136" s="47">
        <f t="shared" si="33"/>
        <v>0</v>
      </c>
      <c r="T136" s="46">
        <f t="shared" si="34"/>
        <v>0</v>
      </c>
      <c r="U136" s="46">
        <f t="shared" si="46"/>
        <v>0</v>
      </c>
      <c r="V136" s="72">
        <v>161</v>
      </c>
      <c r="W136" s="46">
        <f t="shared" si="47"/>
        <v>40.25</v>
      </c>
      <c r="X136" s="22">
        <f t="shared" si="48"/>
        <v>274.8</v>
      </c>
      <c r="Y136" s="10">
        <f t="shared" si="49"/>
        <v>2548.9500000000003</v>
      </c>
      <c r="Z136" s="71">
        <v>2528139217.3299999</v>
      </c>
      <c r="AA136" s="72">
        <v>17479</v>
      </c>
      <c r="AB136" s="22">
        <f t="shared" si="35"/>
        <v>144638.66</v>
      </c>
      <c r="AC136" s="9">
        <f t="shared" si="36"/>
        <v>0.56386700000000001</v>
      </c>
      <c r="AD136" s="72">
        <v>78900</v>
      </c>
      <c r="AE136" s="9">
        <f t="shared" si="37"/>
        <v>0.57200899999999999</v>
      </c>
      <c r="AF136" s="9">
        <f t="shared" si="56"/>
        <v>0.43369000000000002</v>
      </c>
      <c r="AG136" s="49">
        <f t="shared" si="38"/>
        <v>0.43369000000000002</v>
      </c>
      <c r="AH136" s="50">
        <f t="shared" si="39"/>
        <v>0</v>
      </c>
      <c r="AI136" s="51">
        <f t="shared" si="50"/>
        <v>0.43369000000000002</v>
      </c>
      <c r="AJ136" s="72">
        <v>0</v>
      </c>
      <c r="AK136">
        <v>0</v>
      </c>
      <c r="AL136" s="21">
        <f t="shared" si="51"/>
        <v>0</v>
      </c>
      <c r="AM136" s="72">
        <v>0</v>
      </c>
      <c r="AN136">
        <v>0</v>
      </c>
      <c r="AO136" s="21">
        <f t="shared" si="52"/>
        <v>0</v>
      </c>
      <c r="AP136" s="21">
        <f t="shared" si="40"/>
        <v>12740359</v>
      </c>
      <c r="AQ136" s="21">
        <f t="shared" si="53"/>
        <v>12740359</v>
      </c>
      <c r="AR136" s="48">
        <v>10272197</v>
      </c>
      <c r="AS136" s="48">
        <f t="shared" si="57"/>
        <v>12740359</v>
      </c>
      <c r="AT136" s="72">
        <v>12181371</v>
      </c>
      <c r="AU136" s="21">
        <f t="shared" si="58"/>
        <v>558988</v>
      </c>
      <c r="AV136" s="52" t="str">
        <f t="shared" si="60"/>
        <v>Yes</v>
      </c>
      <c r="AW136" s="48">
        <f t="shared" si="54"/>
        <v>558988</v>
      </c>
      <c r="AX136" s="53">
        <f t="shared" si="55"/>
        <v>12740359</v>
      </c>
      <c r="AY136" s="54">
        <f t="shared" si="59"/>
        <v>12740359</v>
      </c>
      <c r="AZ136" s="76"/>
      <c r="BA136" s="21"/>
      <c r="BD136" s="55"/>
      <c r="BE136" s="55"/>
      <c r="BF136" s="55"/>
      <c r="BG136" s="55"/>
      <c r="BH136" s="55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18</v>
      </c>
      <c r="H137" s="5">
        <v>111</v>
      </c>
      <c r="I137" s="2" t="s">
        <v>190</v>
      </c>
      <c r="J137" s="45"/>
      <c r="K137" s="71">
        <v>1355.7</v>
      </c>
      <c r="L137" s="74"/>
      <c r="M137" s="72">
        <v>683</v>
      </c>
      <c r="N137" s="46">
        <f t="shared" si="41"/>
        <v>204.9</v>
      </c>
      <c r="O137" s="46">
        <f t="shared" si="42"/>
        <v>813.42</v>
      </c>
      <c r="P137" s="46">
        <f t="shared" si="43"/>
        <v>0</v>
      </c>
      <c r="Q137" s="46">
        <f t="shared" si="44"/>
        <v>0</v>
      </c>
      <c r="R137" s="47">
        <f t="shared" si="45"/>
        <v>0.5</v>
      </c>
      <c r="S137" s="47">
        <f t="shared" si="33"/>
        <v>0</v>
      </c>
      <c r="T137" s="46">
        <f t="shared" si="34"/>
        <v>0</v>
      </c>
      <c r="U137" s="46">
        <f t="shared" si="46"/>
        <v>0</v>
      </c>
      <c r="V137" s="72">
        <v>52</v>
      </c>
      <c r="W137" s="46">
        <f t="shared" si="47"/>
        <v>13</v>
      </c>
      <c r="X137" s="22">
        <f t="shared" si="48"/>
        <v>204.9</v>
      </c>
      <c r="Y137" s="10">
        <f t="shared" si="49"/>
        <v>1573.6000000000001</v>
      </c>
      <c r="Z137" s="71">
        <v>1397791305</v>
      </c>
      <c r="AA137" s="72">
        <v>11711</v>
      </c>
      <c r="AB137" s="22">
        <f t="shared" si="35"/>
        <v>119357.13</v>
      </c>
      <c r="AC137" s="9">
        <f t="shared" si="36"/>
        <v>0.465308</v>
      </c>
      <c r="AD137" s="72">
        <v>94600</v>
      </c>
      <c r="AE137" s="9">
        <f t="shared" si="37"/>
        <v>0.68583099999999997</v>
      </c>
      <c r="AF137" s="9">
        <f t="shared" si="56"/>
        <v>0.46853499999999998</v>
      </c>
      <c r="AG137" s="49">
        <f t="shared" si="38"/>
        <v>0.46853499999999998</v>
      </c>
      <c r="AH137" s="50">
        <f t="shared" si="39"/>
        <v>0.03</v>
      </c>
      <c r="AI137" s="51">
        <f t="shared" si="50"/>
        <v>0.49853499999999995</v>
      </c>
      <c r="AJ137" s="72">
        <v>0</v>
      </c>
      <c r="AK137">
        <v>0</v>
      </c>
      <c r="AL137" s="21">
        <f t="shared" si="51"/>
        <v>0</v>
      </c>
      <c r="AM137" s="72">
        <v>0</v>
      </c>
      <c r="AN137">
        <v>0</v>
      </c>
      <c r="AO137" s="21">
        <f t="shared" si="52"/>
        <v>0</v>
      </c>
      <c r="AP137" s="21">
        <f t="shared" si="40"/>
        <v>9041301</v>
      </c>
      <c r="AQ137" s="21">
        <f t="shared" si="53"/>
        <v>9041301</v>
      </c>
      <c r="AR137" s="48">
        <v>9761632</v>
      </c>
      <c r="AS137" s="48">
        <f t="shared" si="57"/>
        <v>9041301</v>
      </c>
      <c r="AT137" s="72">
        <v>9802121</v>
      </c>
      <c r="AU137" s="21">
        <f t="shared" si="58"/>
        <v>760820</v>
      </c>
      <c r="AV137" s="52" t="str">
        <f t="shared" si="60"/>
        <v>No</v>
      </c>
      <c r="AW137" s="48">
        <f t="shared" si="54"/>
        <v>0</v>
      </c>
      <c r="AX137" s="53">
        <f t="shared" si="55"/>
        <v>9802121</v>
      </c>
      <c r="AY137" s="54">
        <f t="shared" si="59"/>
        <v>9802121</v>
      </c>
      <c r="AZ137" s="76"/>
      <c r="BA137" s="21"/>
      <c r="BD137" s="55"/>
      <c r="BE137" s="55"/>
      <c r="BF137" s="55"/>
      <c r="BG137" s="55"/>
      <c r="BH137" s="55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5"/>
      <c r="K138" s="71">
        <v>512.33000000000004</v>
      </c>
      <c r="L138" s="73"/>
      <c r="M138" s="72">
        <v>86</v>
      </c>
      <c r="N138" s="46">
        <f t="shared" si="41"/>
        <v>25.8</v>
      </c>
      <c r="O138" s="46">
        <f t="shared" si="42"/>
        <v>307.39999999999998</v>
      </c>
      <c r="P138" s="46">
        <f t="shared" si="43"/>
        <v>0</v>
      </c>
      <c r="Q138" s="46">
        <f t="shared" si="44"/>
        <v>0</v>
      </c>
      <c r="R138" s="47">
        <f t="shared" si="45"/>
        <v>0.17</v>
      </c>
      <c r="S138" s="47">
        <f t="shared" si="33"/>
        <v>0</v>
      </c>
      <c r="T138" s="46">
        <f t="shared" si="34"/>
        <v>0</v>
      </c>
      <c r="U138" s="46">
        <f t="shared" si="46"/>
        <v>0</v>
      </c>
      <c r="V138" s="72">
        <v>6</v>
      </c>
      <c r="W138" s="46">
        <f t="shared" si="47"/>
        <v>1.5</v>
      </c>
      <c r="X138" s="22">
        <f t="shared" si="48"/>
        <v>25.8</v>
      </c>
      <c r="Y138" s="10">
        <f t="shared" si="49"/>
        <v>539.63</v>
      </c>
      <c r="Z138" s="71">
        <v>736886824.66999996</v>
      </c>
      <c r="AA138" s="72">
        <v>4307</v>
      </c>
      <c r="AB138" s="22">
        <f t="shared" si="35"/>
        <v>171090.51</v>
      </c>
      <c r="AC138" s="9">
        <f t="shared" si="36"/>
        <v>0.66698800000000003</v>
      </c>
      <c r="AD138" s="72">
        <v>98750</v>
      </c>
      <c r="AE138" s="9">
        <f t="shared" si="37"/>
        <v>0.71591700000000003</v>
      </c>
      <c r="AF138" s="9">
        <f t="shared" si="56"/>
        <v>0.31833299999999998</v>
      </c>
      <c r="AG138" s="49">
        <f t="shared" si="38"/>
        <v>0.31833299999999998</v>
      </c>
      <c r="AH138" s="50">
        <f t="shared" si="39"/>
        <v>0</v>
      </c>
      <c r="AI138" s="51">
        <f t="shared" si="50"/>
        <v>0.31833299999999998</v>
      </c>
      <c r="AJ138" s="72">
        <v>0</v>
      </c>
      <c r="AK138">
        <v>0</v>
      </c>
      <c r="AL138" s="21">
        <f t="shared" si="51"/>
        <v>0</v>
      </c>
      <c r="AM138" s="72">
        <v>158</v>
      </c>
      <c r="AN138">
        <v>4</v>
      </c>
      <c r="AO138" s="21">
        <f t="shared" si="52"/>
        <v>63200</v>
      </c>
      <c r="AP138" s="21">
        <f t="shared" si="40"/>
        <v>1979788</v>
      </c>
      <c r="AQ138" s="21">
        <f t="shared" si="53"/>
        <v>2042988</v>
      </c>
      <c r="AR138" s="48">
        <v>3073015</v>
      </c>
      <c r="AS138" s="48">
        <f t="shared" si="57"/>
        <v>2042988</v>
      </c>
      <c r="AT138" s="72">
        <v>2670987</v>
      </c>
      <c r="AU138" s="21">
        <f t="shared" si="58"/>
        <v>627999</v>
      </c>
      <c r="AV138" s="52" t="str">
        <f t="shared" si="60"/>
        <v>No</v>
      </c>
      <c r="AW138" s="48">
        <f t="shared" si="54"/>
        <v>0</v>
      </c>
      <c r="AX138" s="53">
        <f t="shared" si="55"/>
        <v>2670987</v>
      </c>
      <c r="AY138" s="54">
        <f t="shared" si="59"/>
        <v>2670987</v>
      </c>
      <c r="AZ138" s="76"/>
      <c r="BA138" s="21"/>
      <c r="BD138" s="55"/>
      <c r="BE138" s="55"/>
      <c r="BF138" s="55"/>
      <c r="BG138" s="55"/>
      <c r="BH138" s="55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0</v>
      </c>
      <c r="H139" s="5">
        <v>113</v>
      </c>
      <c r="I139" s="2" t="s">
        <v>192</v>
      </c>
      <c r="J139" s="45"/>
      <c r="K139" s="71">
        <v>1248.73</v>
      </c>
      <c r="L139" s="73"/>
      <c r="M139" s="72">
        <v>320</v>
      </c>
      <c r="N139" s="46">
        <f t="shared" si="41"/>
        <v>96</v>
      </c>
      <c r="O139" s="46">
        <f t="shared" si="42"/>
        <v>749.24</v>
      </c>
      <c r="P139" s="46">
        <f t="shared" si="43"/>
        <v>0</v>
      </c>
      <c r="Q139" s="46">
        <f t="shared" si="44"/>
        <v>0</v>
      </c>
      <c r="R139" s="47">
        <f t="shared" si="45"/>
        <v>0.26</v>
      </c>
      <c r="S139" s="47">
        <f t="shared" si="33"/>
        <v>0</v>
      </c>
      <c r="T139" s="46">
        <f t="shared" si="34"/>
        <v>0</v>
      </c>
      <c r="U139" s="46">
        <f t="shared" si="46"/>
        <v>0</v>
      </c>
      <c r="V139" s="72">
        <v>39</v>
      </c>
      <c r="W139" s="46">
        <f t="shared" si="47"/>
        <v>9.75</v>
      </c>
      <c r="X139" s="22">
        <f t="shared" si="48"/>
        <v>96</v>
      </c>
      <c r="Y139" s="10">
        <f t="shared" si="49"/>
        <v>1354.48</v>
      </c>
      <c r="Z139" s="71">
        <v>1480511474.6700001</v>
      </c>
      <c r="AA139" s="72">
        <v>9429</v>
      </c>
      <c r="AB139" s="22">
        <f t="shared" si="35"/>
        <v>157016.81</v>
      </c>
      <c r="AC139" s="9">
        <f t="shared" si="36"/>
        <v>0.61212200000000005</v>
      </c>
      <c r="AD139" s="72">
        <v>116098</v>
      </c>
      <c r="AE139" s="9">
        <f t="shared" si="37"/>
        <v>0.84168699999999996</v>
      </c>
      <c r="AF139" s="9">
        <f t="shared" si="56"/>
        <v>0.31900899999999999</v>
      </c>
      <c r="AG139" s="49">
        <f t="shared" si="38"/>
        <v>0.31900899999999999</v>
      </c>
      <c r="AH139" s="50">
        <f t="shared" si="39"/>
        <v>0</v>
      </c>
      <c r="AI139" s="51">
        <f t="shared" si="50"/>
        <v>0.31900899999999999</v>
      </c>
      <c r="AJ139" s="72">
        <v>0</v>
      </c>
      <c r="AK139">
        <v>0</v>
      </c>
      <c r="AL139" s="21">
        <f t="shared" si="51"/>
        <v>0</v>
      </c>
      <c r="AM139" s="72">
        <v>0</v>
      </c>
      <c r="AN139">
        <v>0</v>
      </c>
      <c r="AO139" s="21">
        <f t="shared" si="52"/>
        <v>0</v>
      </c>
      <c r="AP139" s="21">
        <f t="shared" si="40"/>
        <v>4979852</v>
      </c>
      <c r="AQ139" s="21">
        <f t="shared" si="53"/>
        <v>4979852</v>
      </c>
      <c r="AR139" s="48">
        <v>4363751</v>
      </c>
      <c r="AS139" s="48">
        <f t="shared" si="57"/>
        <v>4979852</v>
      </c>
      <c r="AT139" s="72">
        <v>4775020</v>
      </c>
      <c r="AU139" s="21">
        <f t="shared" si="58"/>
        <v>204832</v>
      </c>
      <c r="AV139" s="52" t="str">
        <f t="shared" si="60"/>
        <v>Yes</v>
      </c>
      <c r="AW139" s="48">
        <f t="shared" si="54"/>
        <v>204832</v>
      </c>
      <c r="AX139" s="53">
        <f t="shared" si="55"/>
        <v>4979852</v>
      </c>
      <c r="AY139" s="54">
        <f t="shared" si="59"/>
        <v>4979852</v>
      </c>
      <c r="AZ139" s="76"/>
      <c r="BA139" s="21"/>
      <c r="BD139" s="55"/>
      <c r="BE139" s="55"/>
      <c r="BF139" s="55"/>
      <c r="BG139" s="55"/>
      <c r="BH139" s="55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5"/>
      <c r="K140" s="71">
        <v>620.52</v>
      </c>
      <c r="L140" s="74"/>
      <c r="M140" s="72">
        <v>183</v>
      </c>
      <c r="N140" s="46">
        <f t="shared" si="41"/>
        <v>54.9</v>
      </c>
      <c r="O140" s="46">
        <f t="shared" si="42"/>
        <v>372.31</v>
      </c>
      <c r="P140" s="46">
        <f t="shared" si="43"/>
        <v>0</v>
      </c>
      <c r="Q140" s="46">
        <f t="shared" si="44"/>
        <v>0</v>
      </c>
      <c r="R140" s="47">
        <f t="shared" si="45"/>
        <v>0.28999999999999998</v>
      </c>
      <c r="S140" s="47">
        <f t="shared" si="33"/>
        <v>0</v>
      </c>
      <c r="T140" s="46">
        <f t="shared" si="34"/>
        <v>0</v>
      </c>
      <c r="U140" s="46">
        <f t="shared" si="46"/>
        <v>0</v>
      </c>
      <c r="V140" s="72">
        <v>12</v>
      </c>
      <c r="W140" s="46">
        <f t="shared" si="47"/>
        <v>3</v>
      </c>
      <c r="X140" s="22">
        <f t="shared" si="48"/>
        <v>54.9</v>
      </c>
      <c r="Y140" s="10">
        <f t="shared" si="49"/>
        <v>678.42</v>
      </c>
      <c r="Z140" s="71">
        <v>854551998.33000004</v>
      </c>
      <c r="AA140" s="72">
        <v>4840</v>
      </c>
      <c r="AB140" s="22">
        <f t="shared" si="35"/>
        <v>176560.33</v>
      </c>
      <c r="AC140" s="9">
        <f t="shared" si="36"/>
        <v>0.68831200000000003</v>
      </c>
      <c r="AD140" s="72">
        <v>103816</v>
      </c>
      <c r="AE140" s="9">
        <f t="shared" si="37"/>
        <v>0.75264500000000001</v>
      </c>
      <c r="AF140" s="9">
        <f t="shared" si="56"/>
        <v>0.29238799999999998</v>
      </c>
      <c r="AG140" s="49">
        <f t="shared" si="38"/>
        <v>0.29238799999999998</v>
      </c>
      <c r="AH140" s="50">
        <f t="shared" si="39"/>
        <v>0</v>
      </c>
      <c r="AI140" s="51">
        <f t="shared" si="50"/>
        <v>0.29238799999999998</v>
      </c>
      <c r="AJ140" s="72">
        <v>0</v>
      </c>
      <c r="AK140">
        <v>0</v>
      </c>
      <c r="AL140" s="21">
        <f t="shared" si="51"/>
        <v>0</v>
      </c>
      <c r="AM140" s="72">
        <v>102</v>
      </c>
      <c r="AN140">
        <v>4</v>
      </c>
      <c r="AO140" s="21">
        <f t="shared" si="52"/>
        <v>40800</v>
      </c>
      <c r="AP140" s="21">
        <f t="shared" si="40"/>
        <v>2286121</v>
      </c>
      <c r="AQ140" s="21">
        <f t="shared" si="53"/>
        <v>2326921</v>
      </c>
      <c r="AR140" s="48">
        <v>3012017</v>
      </c>
      <c r="AS140" s="48">
        <f t="shared" si="57"/>
        <v>2326921</v>
      </c>
      <c r="AT140" s="72">
        <v>2952496</v>
      </c>
      <c r="AU140" s="21">
        <f t="shared" si="58"/>
        <v>625575</v>
      </c>
      <c r="AV140" s="52" t="str">
        <f t="shared" si="60"/>
        <v>No</v>
      </c>
      <c r="AW140" s="48">
        <f t="shared" si="54"/>
        <v>0</v>
      </c>
      <c r="AX140" s="53">
        <f t="shared" si="55"/>
        <v>2952496</v>
      </c>
      <c r="AY140" s="54">
        <f t="shared" si="59"/>
        <v>2952496</v>
      </c>
      <c r="AZ140" s="76"/>
      <c r="BA140" s="21"/>
      <c r="BD140" s="55"/>
      <c r="BE140" s="55"/>
      <c r="BF140" s="55"/>
      <c r="BG140" s="55"/>
      <c r="BH140" s="55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5"/>
      <c r="K141" s="71">
        <v>1273.29</v>
      </c>
      <c r="L141" s="73"/>
      <c r="M141" s="72">
        <v>293</v>
      </c>
      <c r="N141" s="46">
        <f t="shared" si="41"/>
        <v>87.9</v>
      </c>
      <c r="O141" s="46">
        <f t="shared" si="42"/>
        <v>763.97</v>
      </c>
      <c r="P141" s="46">
        <f t="shared" si="43"/>
        <v>0</v>
      </c>
      <c r="Q141" s="46">
        <f t="shared" si="44"/>
        <v>0</v>
      </c>
      <c r="R141" s="47">
        <f t="shared" si="45"/>
        <v>0.23</v>
      </c>
      <c r="S141" s="47">
        <f t="shared" si="33"/>
        <v>0</v>
      </c>
      <c r="T141" s="46">
        <f t="shared" si="34"/>
        <v>0</v>
      </c>
      <c r="U141" s="46">
        <f t="shared" si="46"/>
        <v>0</v>
      </c>
      <c r="V141" s="72">
        <v>27</v>
      </c>
      <c r="W141" s="46">
        <f t="shared" si="47"/>
        <v>6.75</v>
      </c>
      <c r="X141" s="22">
        <f t="shared" si="48"/>
        <v>87.9</v>
      </c>
      <c r="Y141" s="10">
        <f t="shared" si="49"/>
        <v>1367.94</v>
      </c>
      <c r="Z141" s="71">
        <v>1612592759</v>
      </c>
      <c r="AA141" s="72">
        <v>9435</v>
      </c>
      <c r="AB141" s="22">
        <f t="shared" si="35"/>
        <v>170916.03</v>
      </c>
      <c r="AC141" s="9">
        <f t="shared" si="36"/>
        <v>0.66630800000000001</v>
      </c>
      <c r="AD141" s="72">
        <v>124382</v>
      </c>
      <c r="AE141" s="9">
        <f t="shared" si="37"/>
        <v>0.90174399999999999</v>
      </c>
      <c r="AF141" s="9">
        <f t="shared" si="56"/>
        <v>0.26306099999999999</v>
      </c>
      <c r="AG141" s="49">
        <f t="shared" si="38"/>
        <v>0.26306099999999999</v>
      </c>
      <c r="AH141" s="50">
        <f t="shared" si="39"/>
        <v>0</v>
      </c>
      <c r="AI141" s="51">
        <f t="shared" si="50"/>
        <v>0.26306099999999999</v>
      </c>
      <c r="AJ141" s="72">
        <v>1275</v>
      </c>
      <c r="AK141">
        <v>13</v>
      </c>
      <c r="AL141" s="21">
        <f t="shared" si="51"/>
        <v>1657500</v>
      </c>
      <c r="AM141" s="72">
        <v>0</v>
      </c>
      <c r="AN141">
        <v>0</v>
      </c>
      <c r="AO141" s="21">
        <f t="shared" si="52"/>
        <v>0</v>
      </c>
      <c r="AP141" s="21">
        <f t="shared" si="40"/>
        <v>4147290</v>
      </c>
      <c r="AQ141" s="21">
        <f t="shared" si="53"/>
        <v>5804790</v>
      </c>
      <c r="AR141" s="48">
        <v>5297609</v>
      </c>
      <c r="AS141" s="48">
        <f t="shared" si="57"/>
        <v>5804790</v>
      </c>
      <c r="AT141" s="72">
        <v>5836389</v>
      </c>
      <c r="AU141" s="21">
        <f t="shared" si="58"/>
        <v>31599</v>
      </c>
      <c r="AV141" s="52" t="str">
        <f t="shared" si="60"/>
        <v>No</v>
      </c>
      <c r="AW141" s="48">
        <f t="shared" si="54"/>
        <v>0</v>
      </c>
      <c r="AX141" s="53">
        <f t="shared" si="55"/>
        <v>5836389</v>
      </c>
      <c r="AY141" s="54">
        <f t="shared" si="59"/>
        <v>5836389</v>
      </c>
      <c r="AZ141" s="76"/>
      <c r="BA141" s="21"/>
      <c r="BD141" s="55"/>
      <c r="BE141" s="55"/>
      <c r="BF141" s="55"/>
      <c r="BG141" s="55"/>
      <c r="BH141" s="55"/>
    </row>
    <row r="142" spans="1:60" x14ac:dyDescent="0.5">
      <c r="A142" s="5" t="s">
        <v>86</v>
      </c>
      <c r="B142" s="56"/>
      <c r="C142" s="33">
        <v>1</v>
      </c>
      <c r="D142" s="33">
        <v>1</v>
      </c>
      <c r="E142" s="33"/>
      <c r="F142" s="2">
        <v>10</v>
      </c>
      <c r="G142">
        <v>25</v>
      </c>
      <c r="H142" s="5">
        <v>116</v>
      </c>
      <c r="I142" s="2" t="s">
        <v>195</v>
      </c>
      <c r="J142" s="45"/>
      <c r="K142" s="71">
        <v>1117.8499999999999</v>
      </c>
      <c r="L142" s="74"/>
      <c r="M142" s="72">
        <v>652</v>
      </c>
      <c r="N142" s="46">
        <f t="shared" si="41"/>
        <v>195.6</v>
      </c>
      <c r="O142" s="46">
        <f t="shared" si="42"/>
        <v>670.71</v>
      </c>
      <c r="P142" s="46">
        <f t="shared" si="43"/>
        <v>0</v>
      </c>
      <c r="Q142" s="46">
        <f t="shared" si="44"/>
        <v>0</v>
      </c>
      <c r="R142" s="47">
        <f t="shared" si="45"/>
        <v>0.57999999999999996</v>
      </c>
      <c r="S142" s="47">
        <f t="shared" si="33"/>
        <v>0</v>
      </c>
      <c r="T142" s="46">
        <f t="shared" si="34"/>
        <v>0</v>
      </c>
      <c r="U142" s="46">
        <f t="shared" si="46"/>
        <v>0</v>
      </c>
      <c r="V142" s="72">
        <v>61</v>
      </c>
      <c r="W142" s="46">
        <f t="shared" si="47"/>
        <v>15.25</v>
      </c>
      <c r="X142" s="22">
        <f t="shared" si="48"/>
        <v>195.6</v>
      </c>
      <c r="Y142" s="10">
        <f t="shared" si="49"/>
        <v>1328.6999999999998</v>
      </c>
      <c r="Z142" s="71">
        <v>1438452200</v>
      </c>
      <c r="AA142" s="72">
        <v>9302</v>
      </c>
      <c r="AB142" s="22">
        <f t="shared" si="35"/>
        <v>154639.01999999999</v>
      </c>
      <c r="AC142" s="9">
        <f t="shared" si="36"/>
        <v>0.60285299999999997</v>
      </c>
      <c r="AD142" s="72">
        <v>63721</v>
      </c>
      <c r="AE142" s="9">
        <f t="shared" si="37"/>
        <v>0.46196399999999999</v>
      </c>
      <c r="AF142" s="9">
        <f t="shared" si="56"/>
        <v>0.43941400000000003</v>
      </c>
      <c r="AG142" s="49">
        <f t="shared" si="38"/>
        <v>0.43941400000000003</v>
      </c>
      <c r="AH142" s="50">
        <f t="shared" si="39"/>
        <v>0</v>
      </c>
      <c r="AI142" s="51">
        <f t="shared" si="50"/>
        <v>0.43941400000000003</v>
      </c>
      <c r="AJ142" s="72">
        <v>0</v>
      </c>
      <c r="AK142">
        <v>0</v>
      </c>
      <c r="AL142" s="21">
        <f t="shared" si="51"/>
        <v>0</v>
      </c>
      <c r="AM142" s="72">
        <v>1</v>
      </c>
      <c r="AN142">
        <v>4</v>
      </c>
      <c r="AO142" s="21">
        <f t="shared" si="52"/>
        <v>400</v>
      </c>
      <c r="AP142" s="21">
        <f t="shared" si="40"/>
        <v>6728864</v>
      </c>
      <c r="AQ142" s="21">
        <f t="shared" si="53"/>
        <v>6729264</v>
      </c>
      <c r="AR142" s="48">
        <v>8340282</v>
      </c>
      <c r="AS142" s="48">
        <f t="shared" si="57"/>
        <v>8340282</v>
      </c>
      <c r="AT142" s="72">
        <v>8340282</v>
      </c>
      <c r="AU142" s="21">
        <f t="shared" si="58"/>
        <v>1611018</v>
      </c>
      <c r="AV142" s="52" t="str">
        <f t="shared" si="60"/>
        <v>No</v>
      </c>
      <c r="AW142" s="48">
        <f t="shared" si="54"/>
        <v>0</v>
      </c>
      <c r="AX142" s="53">
        <f t="shared" si="55"/>
        <v>8340282</v>
      </c>
      <c r="AY142" s="54">
        <f t="shared" si="59"/>
        <v>8340282</v>
      </c>
      <c r="AZ142" s="76"/>
      <c r="BA142" s="21"/>
      <c r="BD142" s="55"/>
      <c r="BE142" s="55"/>
      <c r="BF142" s="55"/>
      <c r="BG142" s="55"/>
      <c r="BH142" s="55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5"/>
      <c r="K143" s="71">
        <v>1175.67</v>
      </c>
      <c r="L143" s="73"/>
      <c r="M143" s="72">
        <v>120</v>
      </c>
      <c r="N143" s="46">
        <f t="shared" si="41"/>
        <v>36</v>
      </c>
      <c r="O143" s="46">
        <f t="shared" si="42"/>
        <v>705.4</v>
      </c>
      <c r="P143" s="46">
        <f t="shared" si="43"/>
        <v>0</v>
      </c>
      <c r="Q143" s="46">
        <f t="shared" si="44"/>
        <v>0</v>
      </c>
      <c r="R143" s="47">
        <f t="shared" si="45"/>
        <v>0.1</v>
      </c>
      <c r="S143" s="47">
        <f t="shared" si="33"/>
        <v>0</v>
      </c>
      <c r="T143" s="46">
        <f t="shared" si="34"/>
        <v>0</v>
      </c>
      <c r="U143" s="46">
        <f t="shared" si="46"/>
        <v>0</v>
      </c>
      <c r="V143" s="72">
        <v>15</v>
      </c>
      <c r="W143" s="46">
        <f t="shared" si="47"/>
        <v>3.75</v>
      </c>
      <c r="X143" s="22">
        <f t="shared" si="48"/>
        <v>36</v>
      </c>
      <c r="Y143" s="10">
        <f t="shared" si="49"/>
        <v>1215.42</v>
      </c>
      <c r="Z143" s="71">
        <v>2799129321.6700001</v>
      </c>
      <c r="AA143" s="72">
        <v>8746</v>
      </c>
      <c r="AB143" s="22">
        <f t="shared" si="35"/>
        <v>320046.8</v>
      </c>
      <c r="AC143" s="9">
        <f t="shared" si="36"/>
        <v>1.247687</v>
      </c>
      <c r="AD143" s="72">
        <v>165391</v>
      </c>
      <c r="AE143" s="9">
        <f t="shared" si="37"/>
        <v>1.1990510000000001</v>
      </c>
      <c r="AF143" s="9">
        <f t="shared" si="56"/>
        <v>-0.233096</v>
      </c>
      <c r="AG143" s="49">
        <f t="shared" si="38"/>
        <v>0.01</v>
      </c>
      <c r="AH143" s="50">
        <f t="shared" si="39"/>
        <v>0</v>
      </c>
      <c r="AI143" s="51">
        <f t="shared" si="50"/>
        <v>0.01</v>
      </c>
      <c r="AJ143" s="72">
        <v>351</v>
      </c>
      <c r="AK143">
        <v>4</v>
      </c>
      <c r="AL143" s="21">
        <f t="shared" si="51"/>
        <v>140400</v>
      </c>
      <c r="AM143" s="72">
        <v>0</v>
      </c>
      <c r="AN143">
        <v>0</v>
      </c>
      <c r="AO143" s="21">
        <f t="shared" si="52"/>
        <v>0</v>
      </c>
      <c r="AP143" s="21">
        <f t="shared" si="40"/>
        <v>140077</v>
      </c>
      <c r="AQ143" s="21">
        <f t="shared" si="53"/>
        <v>280477</v>
      </c>
      <c r="AR143" s="48">
        <v>180135</v>
      </c>
      <c r="AS143" s="48">
        <f t="shared" si="57"/>
        <v>280477</v>
      </c>
      <c r="AT143" s="72">
        <v>262365</v>
      </c>
      <c r="AU143" s="21">
        <f t="shared" si="58"/>
        <v>18112</v>
      </c>
      <c r="AV143" s="52" t="str">
        <f t="shared" si="60"/>
        <v>Yes</v>
      </c>
      <c r="AW143" s="48">
        <f t="shared" si="54"/>
        <v>18112</v>
      </c>
      <c r="AX143" s="53">
        <f t="shared" si="55"/>
        <v>280477</v>
      </c>
      <c r="AY143" s="54">
        <f t="shared" si="59"/>
        <v>280477</v>
      </c>
      <c r="AZ143" s="76"/>
      <c r="BA143" s="21"/>
      <c r="BD143" s="55"/>
      <c r="BE143" s="55"/>
      <c r="BF143" s="55"/>
      <c r="BG143" s="55"/>
      <c r="BH143" s="55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5"/>
      <c r="K144" s="71">
        <v>4470.53</v>
      </c>
      <c r="L144" s="73"/>
      <c r="M144" s="72">
        <v>360</v>
      </c>
      <c r="N144" s="46">
        <f t="shared" si="41"/>
        <v>108</v>
      </c>
      <c r="O144" s="46">
        <f t="shared" si="42"/>
        <v>2682.32</v>
      </c>
      <c r="P144" s="46">
        <f t="shared" si="43"/>
        <v>0</v>
      </c>
      <c r="Q144" s="46">
        <f t="shared" si="44"/>
        <v>0</v>
      </c>
      <c r="R144" s="47">
        <f t="shared" si="45"/>
        <v>0.08</v>
      </c>
      <c r="S144" s="47">
        <f t="shared" si="33"/>
        <v>0</v>
      </c>
      <c r="T144" s="46">
        <f t="shared" si="34"/>
        <v>0</v>
      </c>
      <c r="U144" s="46">
        <f t="shared" si="46"/>
        <v>0</v>
      </c>
      <c r="V144" s="72">
        <v>96</v>
      </c>
      <c r="W144" s="46">
        <f t="shared" si="47"/>
        <v>24</v>
      </c>
      <c r="X144" s="22">
        <f t="shared" si="48"/>
        <v>108</v>
      </c>
      <c r="Y144" s="10">
        <f t="shared" si="49"/>
        <v>4602.53</v>
      </c>
      <c r="Z144" s="71">
        <v>8269860300.3299999</v>
      </c>
      <c r="AA144" s="72">
        <v>25007</v>
      </c>
      <c r="AB144" s="22">
        <f t="shared" si="35"/>
        <v>330701.82</v>
      </c>
      <c r="AC144" s="9">
        <f t="shared" si="36"/>
        <v>1.2892250000000001</v>
      </c>
      <c r="AD144" s="72">
        <v>169363</v>
      </c>
      <c r="AE144" s="9">
        <f t="shared" si="37"/>
        <v>1.2278469999999999</v>
      </c>
      <c r="AF144" s="9">
        <f t="shared" si="56"/>
        <v>-0.270812</v>
      </c>
      <c r="AG144" s="49">
        <f t="shared" si="38"/>
        <v>0.01</v>
      </c>
      <c r="AH144" s="50">
        <f t="shared" si="39"/>
        <v>0</v>
      </c>
      <c r="AI144" s="51">
        <f t="shared" si="50"/>
        <v>0.01</v>
      </c>
      <c r="AJ144" s="72">
        <v>0</v>
      </c>
      <c r="AK144">
        <v>0</v>
      </c>
      <c r="AL144" s="21">
        <f t="shared" si="51"/>
        <v>0</v>
      </c>
      <c r="AM144" s="72">
        <v>0</v>
      </c>
      <c r="AN144">
        <v>0</v>
      </c>
      <c r="AO144" s="21">
        <f t="shared" si="52"/>
        <v>0</v>
      </c>
      <c r="AP144" s="21">
        <f t="shared" si="40"/>
        <v>530442</v>
      </c>
      <c r="AQ144" s="21">
        <f t="shared" si="53"/>
        <v>530442</v>
      </c>
      <c r="AR144" s="48">
        <v>571648</v>
      </c>
      <c r="AS144" s="48">
        <f t="shared" si="57"/>
        <v>530442</v>
      </c>
      <c r="AT144" s="72">
        <v>568700</v>
      </c>
      <c r="AU144" s="21">
        <f t="shared" si="58"/>
        <v>38258</v>
      </c>
      <c r="AV144" s="52" t="str">
        <f t="shared" si="60"/>
        <v>No</v>
      </c>
      <c r="AW144" s="48">
        <f t="shared" si="54"/>
        <v>0</v>
      </c>
      <c r="AX144" s="53">
        <f t="shared" si="55"/>
        <v>568700</v>
      </c>
      <c r="AY144" s="54">
        <f t="shared" si="59"/>
        <v>568700</v>
      </c>
      <c r="AZ144" s="76"/>
      <c r="BA144" s="21"/>
      <c r="BD144" s="55"/>
      <c r="BE144" s="55"/>
      <c r="BF144" s="55"/>
      <c r="BG144" s="55"/>
      <c r="BH144" s="55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5"/>
      <c r="K145" s="71">
        <v>2687.96</v>
      </c>
      <c r="L145" s="73"/>
      <c r="M145" s="72">
        <v>622</v>
      </c>
      <c r="N145" s="46">
        <f t="shared" si="41"/>
        <v>186.6</v>
      </c>
      <c r="O145" s="46">
        <f t="shared" si="42"/>
        <v>1612.78</v>
      </c>
      <c r="P145" s="46">
        <f t="shared" si="43"/>
        <v>0</v>
      </c>
      <c r="Q145" s="46">
        <f t="shared" si="44"/>
        <v>0</v>
      </c>
      <c r="R145" s="47">
        <f t="shared" si="45"/>
        <v>0.23</v>
      </c>
      <c r="S145" s="47">
        <f t="shared" si="33"/>
        <v>0</v>
      </c>
      <c r="T145" s="46">
        <f t="shared" si="34"/>
        <v>0</v>
      </c>
      <c r="U145" s="46">
        <f t="shared" si="46"/>
        <v>0</v>
      </c>
      <c r="V145" s="72">
        <v>310</v>
      </c>
      <c r="W145" s="46">
        <f t="shared" si="47"/>
        <v>77.5</v>
      </c>
      <c r="X145" s="22">
        <f t="shared" si="48"/>
        <v>186.6</v>
      </c>
      <c r="Y145" s="10">
        <f t="shared" si="49"/>
        <v>2952.06</v>
      </c>
      <c r="Z145" s="71">
        <v>4079596089.3299999</v>
      </c>
      <c r="AA145" s="72">
        <v>20712</v>
      </c>
      <c r="AB145" s="22">
        <f t="shared" si="35"/>
        <v>196967.75</v>
      </c>
      <c r="AC145" s="9">
        <f t="shared" si="36"/>
        <v>0.76786900000000002</v>
      </c>
      <c r="AD145" s="72">
        <v>96773</v>
      </c>
      <c r="AE145" s="9">
        <f t="shared" si="37"/>
        <v>0.70158500000000001</v>
      </c>
      <c r="AF145" s="9">
        <f t="shared" si="56"/>
        <v>0.25201600000000002</v>
      </c>
      <c r="AG145" s="49">
        <f t="shared" si="38"/>
        <v>0.25201600000000002</v>
      </c>
      <c r="AH145" s="50">
        <f t="shared" si="39"/>
        <v>0</v>
      </c>
      <c r="AI145" s="51">
        <f t="shared" si="50"/>
        <v>0.25201600000000002</v>
      </c>
      <c r="AJ145" s="72">
        <v>0</v>
      </c>
      <c r="AK145">
        <v>0</v>
      </c>
      <c r="AL145" s="21">
        <f t="shared" si="51"/>
        <v>0</v>
      </c>
      <c r="AM145" s="72">
        <v>0</v>
      </c>
      <c r="AN145">
        <v>0</v>
      </c>
      <c r="AO145" s="21">
        <f t="shared" si="52"/>
        <v>0</v>
      </c>
      <c r="AP145" s="21">
        <f t="shared" si="40"/>
        <v>8574212</v>
      </c>
      <c r="AQ145" s="21">
        <f t="shared" si="53"/>
        <v>8574212</v>
      </c>
      <c r="AR145" s="48">
        <v>4250230</v>
      </c>
      <c r="AS145" s="48">
        <f t="shared" si="57"/>
        <v>8574212</v>
      </c>
      <c r="AT145" s="72">
        <v>7541437</v>
      </c>
      <c r="AU145" s="21">
        <f t="shared" si="58"/>
        <v>1032775</v>
      </c>
      <c r="AV145" s="52" t="str">
        <f t="shared" si="60"/>
        <v>Yes</v>
      </c>
      <c r="AW145" s="48">
        <f t="shared" si="54"/>
        <v>1032775</v>
      </c>
      <c r="AX145" s="53">
        <f t="shared" si="55"/>
        <v>8574212</v>
      </c>
      <c r="AY145" s="54">
        <f t="shared" si="59"/>
        <v>8574212</v>
      </c>
      <c r="AZ145" s="76"/>
      <c r="BA145" s="21"/>
      <c r="BD145" s="55"/>
      <c r="BE145" s="55"/>
      <c r="BF145" s="55"/>
      <c r="BG145" s="55"/>
      <c r="BH145" s="55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5"/>
      <c r="K146" s="71">
        <v>156.30000000000001</v>
      </c>
      <c r="L146" s="73"/>
      <c r="M146" s="72">
        <v>34</v>
      </c>
      <c r="N146" s="46">
        <f t="shared" si="41"/>
        <v>10.199999999999999</v>
      </c>
      <c r="O146" s="46">
        <f t="shared" si="42"/>
        <v>93.78</v>
      </c>
      <c r="P146" s="46">
        <f t="shared" si="43"/>
        <v>0</v>
      </c>
      <c r="Q146" s="46">
        <f t="shared" si="44"/>
        <v>0</v>
      </c>
      <c r="R146" s="47">
        <f t="shared" si="45"/>
        <v>0.22</v>
      </c>
      <c r="S146" s="47">
        <f t="shared" si="33"/>
        <v>0</v>
      </c>
      <c r="T146" s="46">
        <f t="shared" si="34"/>
        <v>0</v>
      </c>
      <c r="U146" s="46">
        <f t="shared" si="46"/>
        <v>0</v>
      </c>
      <c r="V146" s="72">
        <v>2</v>
      </c>
      <c r="W146" s="46">
        <f t="shared" si="47"/>
        <v>0.5</v>
      </c>
      <c r="X146" s="22">
        <f t="shared" si="48"/>
        <v>10.199999999999999</v>
      </c>
      <c r="Y146" s="10">
        <f t="shared" si="49"/>
        <v>167</v>
      </c>
      <c r="Z146" s="71">
        <v>1226587081</v>
      </c>
      <c r="AA146" s="72">
        <v>2279</v>
      </c>
      <c r="AB146" s="22">
        <f t="shared" si="35"/>
        <v>538212.85</v>
      </c>
      <c r="AC146" s="9">
        <f t="shared" si="36"/>
        <v>2.0981960000000002</v>
      </c>
      <c r="AD146" s="72">
        <v>132500</v>
      </c>
      <c r="AE146" s="9">
        <f t="shared" si="37"/>
        <v>0.96059799999999995</v>
      </c>
      <c r="AF146" s="9">
        <f t="shared" si="56"/>
        <v>-0.75691699999999995</v>
      </c>
      <c r="AG146" s="49">
        <f t="shared" si="38"/>
        <v>0.01</v>
      </c>
      <c r="AH146" s="50">
        <f t="shared" si="39"/>
        <v>0</v>
      </c>
      <c r="AI146" s="51">
        <f t="shared" si="50"/>
        <v>0.01</v>
      </c>
      <c r="AJ146" s="72">
        <v>154</v>
      </c>
      <c r="AK146">
        <v>13</v>
      </c>
      <c r="AL146" s="21">
        <f t="shared" si="51"/>
        <v>200200</v>
      </c>
      <c r="AM146" s="72">
        <v>0</v>
      </c>
      <c r="AN146">
        <v>0</v>
      </c>
      <c r="AO146" s="21">
        <f t="shared" si="52"/>
        <v>0</v>
      </c>
      <c r="AP146" s="21">
        <f t="shared" si="40"/>
        <v>19247</v>
      </c>
      <c r="AQ146" s="21">
        <f t="shared" si="53"/>
        <v>219447</v>
      </c>
      <c r="AR146" s="48">
        <v>33612</v>
      </c>
      <c r="AS146" s="48">
        <f t="shared" si="57"/>
        <v>219447</v>
      </c>
      <c r="AT146" s="72">
        <v>186577</v>
      </c>
      <c r="AU146" s="21">
        <f t="shared" si="58"/>
        <v>32870</v>
      </c>
      <c r="AV146" s="52" t="str">
        <f t="shared" si="60"/>
        <v>Yes</v>
      </c>
      <c r="AW146" s="48">
        <f t="shared" si="54"/>
        <v>32870</v>
      </c>
      <c r="AX146" s="53">
        <f t="shared" si="55"/>
        <v>219447</v>
      </c>
      <c r="AY146" s="54">
        <f t="shared" si="59"/>
        <v>219447</v>
      </c>
      <c r="AZ146" s="76"/>
      <c r="BA146" s="21"/>
      <c r="BD146" s="55"/>
      <c r="BE146" s="55"/>
      <c r="BF146" s="55"/>
      <c r="BG146" s="55"/>
      <c r="BH146" s="55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5"/>
      <c r="K147" s="71">
        <v>551.52</v>
      </c>
      <c r="L147" s="73"/>
      <c r="M147" s="72">
        <v>129</v>
      </c>
      <c r="N147" s="46">
        <f t="shared" si="41"/>
        <v>38.700000000000003</v>
      </c>
      <c r="O147" s="46">
        <f t="shared" si="42"/>
        <v>330.91</v>
      </c>
      <c r="P147" s="46">
        <f t="shared" si="43"/>
        <v>0</v>
      </c>
      <c r="Q147" s="46">
        <f t="shared" si="44"/>
        <v>0</v>
      </c>
      <c r="R147" s="47">
        <f t="shared" si="45"/>
        <v>0.23</v>
      </c>
      <c r="S147" s="47">
        <f t="shared" si="33"/>
        <v>0</v>
      </c>
      <c r="T147" s="46">
        <f t="shared" si="34"/>
        <v>0</v>
      </c>
      <c r="U147" s="46">
        <f t="shared" si="46"/>
        <v>0</v>
      </c>
      <c r="V147" s="72">
        <v>3</v>
      </c>
      <c r="W147" s="46">
        <f t="shared" si="47"/>
        <v>0.75</v>
      </c>
      <c r="X147" s="22">
        <f t="shared" si="48"/>
        <v>38.700000000000003</v>
      </c>
      <c r="Y147" s="10">
        <f t="shared" si="49"/>
        <v>590.97</v>
      </c>
      <c r="Z147" s="71">
        <v>712939988</v>
      </c>
      <c r="AA147" s="72">
        <v>4326</v>
      </c>
      <c r="AB147" s="22">
        <f t="shared" si="35"/>
        <v>164803.51</v>
      </c>
      <c r="AC147" s="9">
        <f t="shared" si="36"/>
        <v>0.64247799999999999</v>
      </c>
      <c r="AD147" s="72">
        <v>114434</v>
      </c>
      <c r="AE147" s="9">
        <f t="shared" si="37"/>
        <v>0.829623</v>
      </c>
      <c r="AF147" s="9">
        <f t="shared" si="56"/>
        <v>0.30137900000000001</v>
      </c>
      <c r="AG147" s="49">
        <f t="shared" si="38"/>
        <v>0.30137900000000001</v>
      </c>
      <c r="AH147" s="50">
        <f t="shared" si="39"/>
        <v>0</v>
      </c>
      <c r="AI147" s="51">
        <f t="shared" si="50"/>
        <v>0.30137900000000001</v>
      </c>
      <c r="AJ147" s="72">
        <v>0</v>
      </c>
      <c r="AK147">
        <v>0</v>
      </c>
      <c r="AL147" s="21">
        <f t="shared" si="51"/>
        <v>0</v>
      </c>
      <c r="AM147" s="72">
        <v>0</v>
      </c>
      <c r="AN147">
        <v>0</v>
      </c>
      <c r="AO147" s="21">
        <f t="shared" si="52"/>
        <v>0</v>
      </c>
      <c r="AP147" s="21">
        <f t="shared" si="40"/>
        <v>2052671</v>
      </c>
      <c r="AQ147" s="21">
        <f t="shared" si="53"/>
        <v>2052671</v>
      </c>
      <c r="AR147" s="48">
        <v>3049314</v>
      </c>
      <c r="AS147" s="48">
        <f t="shared" si="57"/>
        <v>2052671</v>
      </c>
      <c r="AT147" s="72">
        <v>2525078</v>
      </c>
      <c r="AU147" s="21">
        <f t="shared" si="58"/>
        <v>472407</v>
      </c>
      <c r="AV147" s="52" t="str">
        <f t="shared" si="60"/>
        <v>No</v>
      </c>
      <c r="AW147" s="48">
        <f t="shared" si="54"/>
        <v>0</v>
      </c>
      <c r="AX147" s="53">
        <f t="shared" si="55"/>
        <v>2525078</v>
      </c>
      <c r="AY147" s="54">
        <f t="shared" si="59"/>
        <v>2525078</v>
      </c>
      <c r="AZ147" s="76"/>
      <c r="BA147" s="21"/>
      <c r="BD147" s="55"/>
      <c r="BE147" s="55"/>
      <c r="BF147" s="55"/>
      <c r="BG147" s="55"/>
      <c r="BH147" s="55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5"/>
      <c r="K148" s="71">
        <v>344.93</v>
      </c>
      <c r="L148" s="73"/>
      <c r="M148" s="72">
        <v>78</v>
      </c>
      <c r="N148" s="46">
        <f t="shared" si="41"/>
        <v>23.4</v>
      </c>
      <c r="O148" s="46">
        <f t="shared" si="42"/>
        <v>206.96</v>
      </c>
      <c r="P148" s="46">
        <f t="shared" si="43"/>
        <v>0</v>
      </c>
      <c r="Q148" s="46">
        <f t="shared" si="44"/>
        <v>0</v>
      </c>
      <c r="R148" s="47">
        <f t="shared" si="45"/>
        <v>0.23</v>
      </c>
      <c r="S148" s="47">
        <f t="shared" si="33"/>
        <v>0</v>
      </c>
      <c r="T148" s="46">
        <f t="shared" si="34"/>
        <v>0</v>
      </c>
      <c r="U148" s="46">
        <f t="shared" si="46"/>
        <v>0</v>
      </c>
      <c r="V148" s="72">
        <v>10</v>
      </c>
      <c r="W148" s="46">
        <f t="shared" si="47"/>
        <v>2.5</v>
      </c>
      <c r="X148" s="22">
        <f t="shared" si="48"/>
        <v>23.4</v>
      </c>
      <c r="Y148" s="10">
        <f t="shared" si="49"/>
        <v>370.83</v>
      </c>
      <c r="Z148" s="71">
        <v>2449161556.3299999</v>
      </c>
      <c r="AA148" s="72">
        <v>4239</v>
      </c>
      <c r="AB148" s="22">
        <f t="shared" si="35"/>
        <v>577768.71</v>
      </c>
      <c r="AC148" s="9">
        <f t="shared" si="36"/>
        <v>2.2524030000000002</v>
      </c>
      <c r="AD148" s="72">
        <v>99083</v>
      </c>
      <c r="AE148" s="9">
        <f t="shared" si="37"/>
        <v>0.71833199999999997</v>
      </c>
      <c r="AF148" s="9">
        <f t="shared" si="56"/>
        <v>-0.79218200000000005</v>
      </c>
      <c r="AG148" s="49">
        <f t="shared" si="38"/>
        <v>0.01</v>
      </c>
      <c r="AH148" s="50">
        <f t="shared" si="39"/>
        <v>0</v>
      </c>
      <c r="AI148" s="51">
        <f t="shared" si="50"/>
        <v>0.01</v>
      </c>
      <c r="AJ148" s="72">
        <v>74</v>
      </c>
      <c r="AK148">
        <v>4</v>
      </c>
      <c r="AL148" s="21">
        <f t="shared" si="51"/>
        <v>29600</v>
      </c>
      <c r="AM148" s="72">
        <v>0</v>
      </c>
      <c r="AN148">
        <v>0</v>
      </c>
      <c r="AO148" s="21">
        <f t="shared" si="52"/>
        <v>0</v>
      </c>
      <c r="AP148" s="21">
        <f t="shared" si="40"/>
        <v>42738</v>
      </c>
      <c r="AQ148" s="21">
        <f t="shared" si="53"/>
        <v>72338</v>
      </c>
      <c r="AR148" s="48">
        <v>10871</v>
      </c>
      <c r="AS148" s="48">
        <f t="shared" si="57"/>
        <v>72338</v>
      </c>
      <c r="AT148" s="72">
        <v>56120</v>
      </c>
      <c r="AU148" s="21">
        <f t="shared" si="58"/>
        <v>16218</v>
      </c>
      <c r="AV148" s="52" t="str">
        <f t="shared" si="60"/>
        <v>Yes</v>
      </c>
      <c r="AW148" s="48">
        <f t="shared" si="54"/>
        <v>16218</v>
      </c>
      <c r="AX148" s="53">
        <f t="shared" si="55"/>
        <v>72338</v>
      </c>
      <c r="AY148" s="54">
        <f t="shared" si="59"/>
        <v>72338</v>
      </c>
      <c r="AZ148" s="76"/>
      <c r="BA148" s="21"/>
      <c r="BD148" s="55"/>
      <c r="BE148" s="55"/>
      <c r="BF148" s="55"/>
      <c r="BG148" s="55"/>
      <c r="BH148" s="55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0</v>
      </c>
      <c r="H149" s="5">
        <v>123</v>
      </c>
      <c r="I149" s="2" t="s">
        <v>202</v>
      </c>
      <c r="J149" s="45"/>
      <c r="K149" s="71">
        <v>134.47999999999999</v>
      </c>
      <c r="L149" s="74"/>
      <c r="M149" s="72">
        <v>59</v>
      </c>
      <c r="N149" s="46">
        <f t="shared" si="41"/>
        <v>17.7</v>
      </c>
      <c r="O149" s="46">
        <f t="shared" si="42"/>
        <v>80.69</v>
      </c>
      <c r="P149" s="46">
        <f t="shared" si="43"/>
        <v>0</v>
      </c>
      <c r="Q149" s="46">
        <f t="shared" si="44"/>
        <v>0</v>
      </c>
      <c r="R149" s="47">
        <f t="shared" si="45"/>
        <v>0.44</v>
      </c>
      <c r="S149" s="47">
        <f t="shared" si="33"/>
        <v>0</v>
      </c>
      <c r="T149" s="46">
        <f t="shared" si="34"/>
        <v>0</v>
      </c>
      <c r="U149" s="46">
        <f t="shared" si="46"/>
        <v>0</v>
      </c>
      <c r="V149" s="72">
        <v>2</v>
      </c>
      <c r="W149" s="46">
        <f t="shared" si="47"/>
        <v>0.5</v>
      </c>
      <c r="X149" s="22">
        <f t="shared" si="48"/>
        <v>17.7</v>
      </c>
      <c r="Y149" s="10">
        <f t="shared" si="49"/>
        <v>152.67999999999998</v>
      </c>
      <c r="Z149" s="71">
        <v>228631203</v>
      </c>
      <c r="AA149" s="72">
        <v>1577</v>
      </c>
      <c r="AB149" s="22">
        <f t="shared" si="35"/>
        <v>144978.57</v>
      </c>
      <c r="AC149" s="9">
        <f t="shared" si="36"/>
        <v>0.56519200000000003</v>
      </c>
      <c r="AD149" s="72">
        <v>90317</v>
      </c>
      <c r="AE149" s="9">
        <f t="shared" si="37"/>
        <v>0.65478000000000003</v>
      </c>
      <c r="AF149" s="9">
        <f t="shared" si="56"/>
        <v>0.40793200000000002</v>
      </c>
      <c r="AG149" s="49">
        <f t="shared" si="38"/>
        <v>0.40793200000000002</v>
      </c>
      <c r="AH149" s="50">
        <f t="shared" si="39"/>
        <v>0</v>
      </c>
      <c r="AI149" s="51">
        <f t="shared" si="50"/>
        <v>0.40793200000000002</v>
      </c>
      <c r="AJ149" s="72">
        <v>47</v>
      </c>
      <c r="AK149">
        <v>6</v>
      </c>
      <c r="AL149" s="21">
        <f t="shared" si="51"/>
        <v>28200</v>
      </c>
      <c r="AM149" s="72">
        <v>0</v>
      </c>
      <c r="AN149">
        <v>0</v>
      </c>
      <c r="AO149" s="21">
        <f t="shared" si="52"/>
        <v>0</v>
      </c>
      <c r="AP149" s="21">
        <f t="shared" si="40"/>
        <v>717812</v>
      </c>
      <c r="AQ149" s="21">
        <f t="shared" si="53"/>
        <v>746012</v>
      </c>
      <c r="AR149" s="48">
        <v>1423001</v>
      </c>
      <c r="AS149" s="48">
        <f t="shared" si="57"/>
        <v>746012</v>
      </c>
      <c r="AT149" s="72">
        <v>1274671</v>
      </c>
      <c r="AU149" s="21">
        <f t="shared" si="58"/>
        <v>528659</v>
      </c>
      <c r="AV149" s="52" t="str">
        <f t="shared" si="60"/>
        <v>No</v>
      </c>
      <c r="AW149" s="48">
        <f t="shared" si="54"/>
        <v>0</v>
      </c>
      <c r="AX149" s="53">
        <f t="shared" si="55"/>
        <v>1274671</v>
      </c>
      <c r="AY149" s="54">
        <f t="shared" si="59"/>
        <v>1274671</v>
      </c>
      <c r="AZ149" s="76"/>
      <c r="BA149" s="21"/>
      <c r="BD149" s="55"/>
      <c r="BE149" s="55"/>
      <c r="BF149" s="55"/>
      <c r="BG149" s="55"/>
      <c r="BH149" s="55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23</v>
      </c>
      <c r="H150" s="5">
        <v>124</v>
      </c>
      <c r="I150" s="2" t="s">
        <v>203</v>
      </c>
      <c r="J150" s="45"/>
      <c r="K150" s="71">
        <v>2176.48</v>
      </c>
      <c r="L150" s="74"/>
      <c r="M150" s="72">
        <v>1103</v>
      </c>
      <c r="N150" s="46">
        <f t="shared" si="41"/>
        <v>330.9</v>
      </c>
      <c r="O150" s="46">
        <f t="shared" si="42"/>
        <v>1305.8900000000001</v>
      </c>
      <c r="P150" s="46">
        <f t="shared" si="43"/>
        <v>0</v>
      </c>
      <c r="Q150" s="46">
        <f t="shared" si="44"/>
        <v>0</v>
      </c>
      <c r="R150" s="47">
        <f t="shared" si="45"/>
        <v>0.51</v>
      </c>
      <c r="S150" s="47">
        <f t="shared" si="33"/>
        <v>0</v>
      </c>
      <c r="T150" s="46">
        <f t="shared" si="34"/>
        <v>0</v>
      </c>
      <c r="U150" s="46">
        <f t="shared" si="46"/>
        <v>0</v>
      </c>
      <c r="V150" s="72">
        <v>152</v>
      </c>
      <c r="W150" s="46">
        <f t="shared" si="47"/>
        <v>38</v>
      </c>
      <c r="X150" s="22">
        <f t="shared" si="48"/>
        <v>330.9</v>
      </c>
      <c r="Y150" s="10">
        <f t="shared" si="49"/>
        <v>2545.38</v>
      </c>
      <c r="Z150" s="71">
        <v>2362458771.6700001</v>
      </c>
      <c r="AA150" s="72">
        <v>16809</v>
      </c>
      <c r="AB150" s="22">
        <f t="shared" si="35"/>
        <v>140547.25</v>
      </c>
      <c r="AC150" s="9">
        <f t="shared" si="36"/>
        <v>0.54791699999999999</v>
      </c>
      <c r="AD150" s="72">
        <v>96747</v>
      </c>
      <c r="AE150" s="9">
        <f t="shared" si="37"/>
        <v>0.70139600000000002</v>
      </c>
      <c r="AF150" s="9">
        <f t="shared" si="56"/>
        <v>0.40603899999999998</v>
      </c>
      <c r="AG150" s="49">
        <f t="shared" si="38"/>
        <v>0.40603899999999998</v>
      </c>
      <c r="AH150" s="50">
        <f t="shared" si="39"/>
        <v>0</v>
      </c>
      <c r="AI150" s="51">
        <f t="shared" si="50"/>
        <v>0.40603899999999998</v>
      </c>
      <c r="AJ150" s="72">
        <v>0</v>
      </c>
      <c r="AK150">
        <v>0</v>
      </c>
      <c r="AL150" s="21">
        <f t="shared" si="51"/>
        <v>0</v>
      </c>
      <c r="AM150" s="72">
        <v>0</v>
      </c>
      <c r="AN150">
        <v>0</v>
      </c>
      <c r="AO150" s="21">
        <f t="shared" si="52"/>
        <v>0</v>
      </c>
      <c r="AP150" s="21">
        <f t="shared" si="40"/>
        <v>11911359</v>
      </c>
      <c r="AQ150" s="21">
        <f t="shared" si="53"/>
        <v>11911359</v>
      </c>
      <c r="AR150" s="48">
        <v>10040987</v>
      </c>
      <c r="AS150" s="48">
        <f t="shared" si="57"/>
        <v>11911359</v>
      </c>
      <c r="AT150" s="72">
        <v>11771547</v>
      </c>
      <c r="AU150" s="21">
        <f t="shared" si="58"/>
        <v>139812</v>
      </c>
      <c r="AV150" s="52" t="str">
        <f t="shared" si="60"/>
        <v>Yes</v>
      </c>
      <c r="AW150" s="48">
        <f t="shared" si="54"/>
        <v>139812</v>
      </c>
      <c r="AX150" s="53">
        <f t="shared" si="55"/>
        <v>11911359</v>
      </c>
      <c r="AY150" s="54">
        <f t="shared" si="59"/>
        <v>11911359</v>
      </c>
      <c r="AZ150" s="76"/>
      <c r="BA150" s="21"/>
      <c r="BD150" s="55"/>
      <c r="BE150" s="55"/>
      <c r="BF150" s="55"/>
      <c r="BG150" s="55"/>
      <c r="BH150" s="55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5"/>
      <c r="K151" s="71">
        <v>127.39</v>
      </c>
      <c r="L151" s="73"/>
      <c r="M151" s="72">
        <v>46</v>
      </c>
      <c r="N151" s="46">
        <f t="shared" si="41"/>
        <v>13.8</v>
      </c>
      <c r="O151" s="46">
        <f t="shared" si="42"/>
        <v>76.430000000000007</v>
      </c>
      <c r="P151" s="46">
        <f t="shared" si="43"/>
        <v>0</v>
      </c>
      <c r="Q151" s="46">
        <f t="shared" si="44"/>
        <v>0</v>
      </c>
      <c r="R151" s="47">
        <f t="shared" si="45"/>
        <v>0.36</v>
      </c>
      <c r="S151" s="47">
        <f t="shared" si="33"/>
        <v>0</v>
      </c>
      <c r="T151" s="46">
        <f t="shared" si="34"/>
        <v>0</v>
      </c>
      <c r="U151" s="46">
        <f t="shared" si="46"/>
        <v>0</v>
      </c>
      <c r="V151" s="72">
        <v>4</v>
      </c>
      <c r="W151" s="46">
        <f t="shared" si="47"/>
        <v>1</v>
      </c>
      <c r="X151" s="22">
        <f t="shared" si="48"/>
        <v>13.8</v>
      </c>
      <c r="Y151" s="10">
        <f t="shared" si="49"/>
        <v>142.19</v>
      </c>
      <c r="Z151" s="71">
        <v>1476550171.6700001</v>
      </c>
      <c r="AA151" s="72">
        <v>2724</v>
      </c>
      <c r="AB151" s="22">
        <f t="shared" si="35"/>
        <v>542052.18999999994</v>
      </c>
      <c r="AC151" s="9">
        <f t="shared" si="36"/>
        <v>2.1131639999999998</v>
      </c>
      <c r="AD151" s="72">
        <v>102963</v>
      </c>
      <c r="AE151" s="9">
        <f t="shared" si="37"/>
        <v>0.74646100000000004</v>
      </c>
      <c r="AF151" s="9">
        <f t="shared" si="56"/>
        <v>-0.70315300000000003</v>
      </c>
      <c r="AG151" s="49">
        <f t="shared" si="38"/>
        <v>0.01</v>
      </c>
      <c r="AH151" s="50">
        <f t="shared" si="39"/>
        <v>0</v>
      </c>
      <c r="AI151" s="51">
        <f t="shared" si="50"/>
        <v>0.01</v>
      </c>
      <c r="AJ151" s="72">
        <v>34</v>
      </c>
      <c r="AK151">
        <v>4</v>
      </c>
      <c r="AL151" s="21">
        <f t="shared" si="51"/>
        <v>13600</v>
      </c>
      <c r="AM151" s="72">
        <v>0</v>
      </c>
      <c r="AN151">
        <v>0</v>
      </c>
      <c r="AO151" s="21">
        <f t="shared" si="52"/>
        <v>0</v>
      </c>
      <c r="AP151" s="21">
        <f t="shared" si="40"/>
        <v>16387</v>
      </c>
      <c r="AQ151" s="21">
        <f t="shared" si="53"/>
        <v>29987</v>
      </c>
      <c r="AR151" s="48">
        <v>9960</v>
      </c>
      <c r="AS151" s="48">
        <f t="shared" si="57"/>
        <v>29987</v>
      </c>
      <c r="AT151" s="72">
        <v>24350</v>
      </c>
      <c r="AU151" s="21">
        <f t="shared" si="58"/>
        <v>5637</v>
      </c>
      <c r="AV151" s="52" t="str">
        <f t="shared" si="60"/>
        <v>Yes</v>
      </c>
      <c r="AW151" s="48">
        <f t="shared" si="54"/>
        <v>5637</v>
      </c>
      <c r="AX151" s="53">
        <f t="shared" si="55"/>
        <v>29987</v>
      </c>
      <c r="AY151" s="54">
        <f t="shared" si="59"/>
        <v>29987</v>
      </c>
      <c r="AZ151" s="76"/>
      <c r="BA151" s="21"/>
      <c r="BD151" s="55"/>
      <c r="BE151" s="55"/>
      <c r="BF151" s="55"/>
      <c r="BG151" s="55"/>
      <c r="BH151" s="55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5"/>
      <c r="K152" s="71">
        <v>4614.22</v>
      </c>
      <c r="L152" s="73"/>
      <c r="M152" s="72">
        <v>1686</v>
      </c>
      <c r="N152" s="46">
        <f t="shared" si="41"/>
        <v>505.8</v>
      </c>
      <c r="O152" s="46">
        <f t="shared" si="42"/>
        <v>2768.53</v>
      </c>
      <c r="P152" s="46">
        <f t="shared" si="43"/>
        <v>0</v>
      </c>
      <c r="Q152" s="46">
        <f t="shared" si="44"/>
        <v>0</v>
      </c>
      <c r="R152" s="47">
        <f t="shared" si="45"/>
        <v>0.37</v>
      </c>
      <c r="S152" s="47">
        <f t="shared" si="33"/>
        <v>0</v>
      </c>
      <c r="T152" s="46">
        <f t="shared" si="34"/>
        <v>0</v>
      </c>
      <c r="U152" s="46">
        <f t="shared" si="46"/>
        <v>0</v>
      </c>
      <c r="V152" s="72">
        <v>344</v>
      </c>
      <c r="W152" s="46">
        <f t="shared" si="47"/>
        <v>86</v>
      </c>
      <c r="X152" s="22">
        <f t="shared" si="48"/>
        <v>505.8</v>
      </c>
      <c r="Y152" s="10">
        <f t="shared" si="49"/>
        <v>5206.0200000000004</v>
      </c>
      <c r="Z152" s="71">
        <v>9275509986.6700001</v>
      </c>
      <c r="AA152" s="72">
        <v>41897</v>
      </c>
      <c r="AB152" s="22">
        <f t="shared" si="35"/>
        <v>221388.4</v>
      </c>
      <c r="AC152" s="9">
        <f t="shared" si="36"/>
        <v>0.86307199999999995</v>
      </c>
      <c r="AD152" s="72">
        <v>112366</v>
      </c>
      <c r="AE152" s="9">
        <f t="shared" si="37"/>
        <v>0.81463099999999999</v>
      </c>
      <c r="AF152" s="9">
        <f t="shared" si="56"/>
        <v>0.15146000000000001</v>
      </c>
      <c r="AG152" s="49">
        <f t="shared" si="38"/>
        <v>0.15146000000000001</v>
      </c>
      <c r="AH152" s="50">
        <f t="shared" si="39"/>
        <v>0</v>
      </c>
      <c r="AI152" s="51">
        <f t="shared" si="50"/>
        <v>0.15146000000000001</v>
      </c>
      <c r="AJ152" s="72">
        <v>0</v>
      </c>
      <c r="AK152">
        <v>0</v>
      </c>
      <c r="AL152" s="21">
        <f t="shared" si="51"/>
        <v>0</v>
      </c>
      <c r="AM152" s="72">
        <v>0</v>
      </c>
      <c r="AN152">
        <v>0</v>
      </c>
      <c r="AO152" s="21">
        <f t="shared" si="52"/>
        <v>0</v>
      </c>
      <c r="AP152" s="21">
        <f t="shared" si="40"/>
        <v>9087506</v>
      </c>
      <c r="AQ152" s="21">
        <f t="shared" si="53"/>
        <v>9087506</v>
      </c>
      <c r="AR152" s="48">
        <v>5893771</v>
      </c>
      <c r="AS152" s="48">
        <f t="shared" si="57"/>
        <v>9087506</v>
      </c>
      <c r="AT152" s="72">
        <v>8515020</v>
      </c>
      <c r="AU152" s="21">
        <f t="shared" si="58"/>
        <v>572486</v>
      </c>
      <c r="AV152" s="52" t="str">
        <f t="shared" si="60"/>
        <v>Yes</v>
      </c>
      <c r="AW152" s="48">
        <f t="shared" si="54"/>
        <v>572486</v>
      </c>
      <c r="AX152" s="53">
        <f t="shared" si="55"/>
        <v>9087506</v>
      </c>
      <c r="AY152" s="54">
        <f t="shared" si="59"/>
        <v>9087506</v>
      </c>
      <c r="AZ152" s="76"/>
      <c r="BA152" s="21"/>
      <c r="BD152" s="55"/>
      <c r="BE152" s="55"/>
      <c r="BF152" s="55"/>
      <c r="BG152" s="55"/>
      <c r="BH152" s="55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5"/>
      <c r="K153" s="71">
        <v>333.33</v>
      </c>
      <c r="L153" s="73"/>
      <c r="M153" s="72">
        <v>30</v>
      </c>
      <c r="N153" s="46">
        <f t="shared" si="41"/>
        <v>9</v>
      </c>
      <c r="O153" s="46">
        <f t="shared" si="42"/>
        <v>200</v>
      </c>
      <c r="P153" s="46">
        <f t="shared" si="43"/>
        <v>0</v>
      </c>
      <c r="Q153" s="46">
        <f t="shared" si="44"/>
        <v>0</v>
      </c>
      <c r="R153" s="47">
        <f t="shared" si="45"/>
        <v>0.09</v>
      </c>
      <c r="S153" s="47">
        <f t="shared" si="33"/>
        <v>0</v>
      </c>
      <c r="T153" s="46">
        <f t="shared" si="34"/>
        <v>0</v>
      </c>
      <c r="U153" s="46">
        <f t="shared" si="46"/>
        <v>0</v>
      </c>
      <c r="V153" s="72">
        <v>0</v>
      </c>
      <c r="W153" s="46">
        <f t="shared" si="47"/>
        <v>0</v>
      </c>
      <c r="X153" s="22">
        <f t="shared" si="48"/>
        <v>9</v>
      </c>
      <c r="Y153" s="10">
        <f t="shared" si="49"/>
        <v>342.33</v>
      </c>
      <c r="Z153" s="71">
        <v>1306420996</v>
      </c>
      <c r="AA153" s="72">
        <v>3537</v>
      </c>
      <c r="AB153" s="22">
        <f t="shared" si="35"/>
        <v>369358.49</v>
      </c>
      <c r="AC153" s="9">
        <f t="shared" si="36"/>
        <v>1.439926</v>
      </c>
      <c r="AD153" s="72">
        <v>113490</v>
      </c>
      <c r="AE153" s="9">
        <f t="shared" si="37"/>
        <v>0.82277900000000004</v>
      </c>
      <c r="AF153" s="9">
        <f t="shared" si="56"/>
        <v>-0.25478200000000001</v>
      </c>
      <c r="AG153" s="49">
        <f t="shared" si="38"/>
        <v>0.01</v>
      </c>
      <c r="AH153" s="50">
        <f t="shared" si="39"/>
        <v>0</v>
      </c>
      <c r="AI153" s="51">
        <f t="shared" si="50"/>
        <v>0.01</v>
      </c>
      <c r="AJ153" s="72">
        <v>0</v>
      </c>
      <c r="AK153">
        <v>0</v>
      </c>
      <c r="AL153" s="21">
        <f t="shared" si="51"/>
        <v>0</v>
      </c>
      <c r="AM153" s="72">
        <v>0</v>
      </c>
      <c r="AN153">
        <v>0</v>
      </c>
      <c r="AO153" s="21">
        <f t="shared" si="52"/>
        <v>0</v>
      </c>
      <c r="AP153" s="21">
        <f t="shared" si="40"/>
        <v>39454</v>
      </c>
      <c r="AQ153" s="21">
        <f t="shared" si="53"/>
        <v>39454</v>
      </c>
      <c r="AR153" s="48">
        <v>46611</v>
      </c>
      <c r="AS153" s="48">
        <f t="shared" si="57"/>
        <v>39454</v>
      </c>
      <c r="AT153" s="72">
        <v>46995</v>
      </c>
      <c r="AU153" s="21">
        <f t="shared" si="58"/>
        <v>7541</v>
      </c>
      <c r="AV153" s="52" t="str">
        <f t="shared" si="60"/>
        <v>No</v>
      </c>
      <c r="AW153" s="48">
        <f t="shared" si="54"/>
        <v>0</v>
      </c>
      <c r="AX153" s="53">
        <f t="shared" si="55"/>
        <v>46995</v>
      </c>
      <c r="AY153" s="54">
        <f t="shared" si="59"/>
        <v>46995</v>
      </c>
      <c r="AZ153" s="76"/>
      <c r="BA153" s="21"/>
      <c r="BD153" s="55"/>
      <c r="BE153" s="55"/>
      <c r="BF153" s="55"/>
      <c r="BG153" s="55"/>
      <c r="BH153" s="55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5"/>
      <c r="K154" s="71">
        <v>4118.37</v>
      </c>
      <c r="L154" s="73"/>
      <c r="M154" s="72">
        <v>574</v>
      </c>
      <c r="N154" s="46">
        <f t="shared" si="41"/>
        <v>172.2</v>
      </c>
      <c r="O154" s="46">
        <f t="shared" si="42"/>
        <v>2471.02</v>
      </c>
      <c r="P154" s="46">
        <f t="shared" si="43"/>
        <v>0</v>
      </c>
      <c r="Q154" s="46">
        <f t="shared" si="44"/>
        <v>0</v>
      </c>
      <c r="R154" s="47">
        <f t="shared" si="45"/>
        <v>0.14000000000000001</v>
      </c>
      <c r="S154" s="47">
        <f t="shared" si="33"/>
        <v>0</v>
      </c>
      <c r="T154" s="46">
        <f t="shared" si="34"/>
        <v>0</v>
      </c>
      <c r="U154" s="46">
        <f t="shared" si="46"/>
        <v>0</v>
      </c>
      <c r="V154" s="72">
        <v>87</v>
      </c>
      <c r="W154" s="46">
        <f t="shared" si="47"/>
        <v>21.75</v>
      </c>
      <c r="X154" s="22">
        <f t="shared" si="48"/>
        <v>172.2</v>
      </c>
      <c r="Y154" s="10">
        <f t="shared" si="49"/>
        <v>4312.32</v>
      </c>
      <c r="Z154" s="71">
        <v>4756959007.3299999</v>
      </c>
      <c r="AA154" s="72">
        <v>24935</v>
      </c>
      <c r="AB154" s="22">
        <f t="shared" si="35"/>
        <v>190774.37</v>
      </c>
      <c r="AC154" s="9">
        <f t="shared" si="36"/>
        <v>0.74372400000000005</v>
      </c>
      <c r="AD154" s="72">
        <v>143874</v>
      </c>
      <c r="AE154" s="9">
        <f t="shared" si="37"/>
        <v>1.0430569999999999</v>
      </c>
      <c r="AF154" s="9">
        <f t="shared" si="56"/>
        <v>0.16647600000000001</v>
      </c>
      <c r="AG154" s="49">
        <f t="shared" si="38"/>
        <v>0.16647600000000001</v>
      </c>
      <c r="AH154" s="50">
        <f t="shared" si="39"/>
        <v>0</v>
      </c>
      <c r="AI154" s="51">
        <f t="shared" si="50"/>
        <v>0.16647600000000001</v>
      </c>
      <c r="AJ154" s="72">
        <v>0</v>
      </c>
      <c r="AK154">
        <v>0</v>
      </c>
      <c r="AL154" s="21">
        <f t="shared" si="51"/>
        <v>0</v>
      </c>
      <c r="AM154" s="72">
        <v>0</v>
      </c>
      <c r="AN154">
        <v>0</v>
      </c>
      <c r="AO154" s="21">
        <f t="shared" si="52"/>
        <v>0</v>
      </c>
      <c r="AP154" s="21">
        <f t="shared" si="40"/>
        <v>8273772</v>
      </c>
      <c r="AQ154" s="21">
        <f t="shared" si="53"/>
        <v>8273772</v>
      </c>
      <c r="AR154" s="48">
        <v>6087799</v>
      </c>
      <c r="AS154" s="48">
        <f t="shared" si="57"/>
        <v>8273772</v>
      </c>
      <c r="AT154" s="72">
        <v>7482940</v>
      </c>
      <c r="AU154" s="21">
        <f t="shared" si="58"/>
        <v>790832</v>
      </c>
      <c r="AV154" s="52" t="str">
        <f t="shared" si="60"/>
        <v>Yes</v>
      </c>
      <c r="AW154" s="48">
        <f t="shared" si="54"/>
        <v>790832</v>
      </c>
      <c r="AX154" s="53">
        <f t="shared" si="55"/>
        <v>8273772</v>
      </c>
      <c r="AY154" s="54">
        <f t="shared" si="59"/>
        <v>8273772</v>
      </c>
      <c r="AZ154" s="76"/>
      <c r="BA154" s="21"/>
      <c r="BD154" s="55"/>
      <c r="BE154" s="55"/>
      <c r="BF154" s="55"/>
      <c r="BG154" s="55"/>
      <c r="BH154" s="55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5"/>
      <c r="K155" s="71">
        <v>1324.3</v>
      </c>
      <c r="L155" s="73"/>
      <c r="M155" s="72">
        <v>69</v>
      </c>
      <c r="N155" s="46">
        <f t="shared" si="41"/>
        <v>20.7</v>
      </c>
      <c r="O155" s="46">
        <f t="shared" si="42"/>
        <v>794.58</v>
      </c>
      <c r="P155" s="46">
        <f t="shared" si="43"/>
        <v>0</v>
      </c>
      <c r="Q155" s="46">
        <f t="shared" si="44"/>
        <v>0</v>
      </c>
      <c r="R155" s="47">
        <f t="shared" si="45"/>
        <v>0.05</v>
      </c>
      <c r="S155" s="47">
        <f t="shared" ref="S155:S195" si="61">IF(R155&gt;0.6,+R155-0.6,0)</f>
        <v>0</v>
      </c>
      <c r="T155" s="46">
        <f t="shared" ref="T155:T195" si="62">ROUND(S155*K155,2)</f>
        <v>0</v>
      </c>
      <c r="U155" s="46">
        <f t="shared" si="46"/>
        <v>0</v>
      </c>
      <c r="V155" s="72">
        <v>18</v>
      </c>
      <c r="W155" s="46">
        <f t="shared" si="47"/>
        <v>4.5</v>
      </c>
      <c r="X155" s="22">
        <f t="shared" si="48"/>
        <v>20.7</v>
      </c>
      <c r="Y155" s="10">
        <f t="shared" si="49"/>
        <v>1349.5</v>
      </c>
      <c r="Z155" s="71">
        <v>1603968910.3299999</v>
      </c>
      <c r="AA155" s="72">
        <v>9843</v>
      </c>
      <c r="AB155" s="22">
        <f t="shared" ref="AB155:AB195" si="63">ROUND(Z155/AA155,2)</f>
        <v>162955.29</v>
      </c>
      <c r="AC155" s="9">
        <f t="shared" ref="AC155:AC195" si="64">(ROUND(AB155/$AC$21,6))</f>
        <v>0.63527299999999998</v>
      </c>
      <c r="AD155" s="72">
        <v>105450</v>
      </c>
      <c r="AE155" s="9">
        <f t="shared" ref="AE155:AE195" si="65">(ROUND(AD155/$AE$21,6))</f>
        <v>0.76449100000000003</v>
      </c>
      <c r="AF155" s="9">
        <f t="shared" si="56"/>
        <v>0.32596199999999997</v>
      </c>
      <c r="AG155" s="49">
        <f t="shared" ref="AG155:AG195" si="66">IF(OR(B155=1,C155=1),MAX($L$7,AF155),MAX($L$6,AF155))</f>
        <v>0.32596199999999997</v>
      </c>
      <c r="AH155" s="50">
        <f t="shared" ref="AH155:AH195" si="67">IF(G155&gt;=1,IF(G155&lt;=5,0.06,IF(G155&lt;=10,0.05,IF(G155&lt;=15,0.04,IF(G155&lt;=19,0.03,0)))),0)</f>
        <v>0</v>
      </c>
      <c r="AI155" s="51">
        <f t="shared" si="50"/>
        <v>0.32596199999999997</v>
      </c>
      <c r="AJ155" s="72">
        <v>0</v>
      </c>
      <c r="AK155">
        <v>0</v>
      </c>
      <c r="AL155" s="21">
        <f t="shared" si="51"/>
        <v>0</v>
      </c>
      <c r="AM155" s="72">
        <v>0</v>
      </c>
      <c r="AN155">
        <v>0</v>
      </c>
      <c r="AO155" s="21">
        <f t="shared" si="52"/>
        <v>0</v>
      </c>
      <c r="AP155" s="21">
        <f t="shared" ref="AP155:AP195" si="68">ROUND(Y155*AI155*$AP$21,0)</f>
        <v>5069683</v>
      </c>
      <c r="AQ155" s="21">
        <f t="shared" si="53"/>
        <v>5069683</v>
      </c>
      <c r="AR155" s="48">
        <v>5929453</v>
      </c>
      <c r="AS155" s="48">
        <f t="shared" si="57"/>
        <v>5069683</v>
      </c>
      <c r="AT155" s="72">
        <v>5692630</v>
      </c>
      <c r="AU155" s="21">
        <f t="shared" si="58"/>
        <v>622947</v>
      </c>
      <c r="AV155" s="52" t="str">
        <f t="shared" si="60"/>
        <v>No</v>
      </c>
      <c r="AW155" s="48">
        <f t="shared" si="54"/>
        <v>0</v>
      </c>
      <c r="AX155" s="53">
        <f t="shared" si="55"/>
        <v>5692630</v>
      </c>
      <c r="AY155" s="54">
        <f t="shared" si="59"/>
        <v>5692630</v>
      </c>
      <c r="AZ155" s="76"/>
      <c r="BA155" s="21"/>
      <c r="BD155" s="55"/>
      <c r="BE155" s="55"/>
      <c r="BF155" s="55"/>
      <c r="BG155" s="55"/>
      <c r="BH155" s="55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5"/>
      <c r="K156" s="71">
        <v>2250.4699999999998</v>
      </c>
      <c r="L156" s="73"/>
      <c r="M156" s="72">
        <v>282</v>
      </c>
      <c r="N156" s="46">
        <f t="shared" ref="N156:N195" si="69">ROUND(M156*0.3,2)</f>
        <v>84.6</v>
      </c>
      <c r="O156" s="46">
        <f t="shared" ref="O156:O195" si="70">ROUND(K156*0.6,2)</f>
        <v>1350.28</v>
      </c>
      <c r="P156" s="46">
        <f t="shared" ref="P156:P195" si="71">MAX(M156-O156,0)</f>
        <v>0</v>
      </c>
      <c r="Q156" s="46">
        <f t="shared" ref="Q156:Q195" si="72">ROUND(P156*0.15,2)</f>
        <v>0</v>
      </c>
      <c r="R156" s="47">
        <f t="shared" ref="R156:R195" si="73">ROUND(M156/K156,2)</f>
        <v>0.13</v>
      </c>
      <c r="S156" s="47">
        <f t="shared" si="61"/>
        <v>0</v>
      </c>
      <c r="T156" s="46">
        <f t="shared" si="62"/>
        <v>0</v>
      </c>
      <c r="U156" s="46">
        <f t="shared" ref="U156:U195" si="74">ROUND(T156*0.15,2)</f>
        <v>0</v>
      </c>
      <c r="V156" s="72">
        <v>37</v>
      </c>
      <c r="W156" s="46">
        <f t="shared" ref="W156:W195" si="75">ROUND(V156*0.25,2)</f>
        <v>9.25</v>
      </c>
      <c r="X156" s="22">
        <f t="shared" ref="X156:X195" si="76">ROUND(M156*$X$2,2)</f>
        <v>84.6</v>
      </c>
      <c r="Y156" s="10">
        <f t="shared" ref="Y156:Y195" si="77">+K156+N156+Q156+W156</f>
        <v>2344.3199999999997</v>
      </c>
      <c r="Z156" s="71">
        <v>4196205361.3299999</v>
      </c>
      <c r="AA156" s="72">
        <v>19979</v>
      </c>
      <c r="AB156" s="22">
        <f t="shared" si="63"/>
        <v>210030.8</v>
      </c>
      <c r="AC156" s="9">
        <f t="shared" si="64"/>
        <v>0.81879500000000005</v>
      </c>
      <c r="AD156" s="72">
        <v>107266</v>
      </c>
      <c r="AE156" s="9">
        <f t="shared" si="65"/>
        <v>0.77765700000000004</v>
      </c>
      <c r="AF156" s="9">
        <f t="shared" si="56"/>
        <v>0.193546</v>
      </c>
      <c r="AG156" s="49">
        <f t="shared" si="66"/>
        <v>0.193546</v>
      </c>
      <c r="AH156" s="50">
        <f t="shared" si="67"/>
        <v>0</v>
      </c>
      <c r="AI156" s="51">
        <f t="shared" ref="AI156:AI195" si="78">+AH156+AG156</f>
        <v>0.193546</v>
      </c>
      <c r="AJ156" s="72">
        <v>2253</v>
      </c>
      <c r="AK156">
        <v>13</v>
      </c>
      <c r="AL156" s="21">
        <f t="shared" ref="AL156:AL195" si="79">ROUND(AJ156*AK156*100,0)</f>
        <v>2928900</v>
      </c>
      <c r="AM156" s="72">
        <v>0</v>
      </c>
      <c r="AN156">
        <v>0</v>
      </c>
      <c r="AO156" s="21">
        <f t="shared" ref="AO156:AO195" si="80">ROUND(AM156*AN156*100,0)</f>
        <v>0</v>
      </c>
      <c r="AP156" s="21">
        <f t="shared" si="68"/>
        <v>5229282</v>
      </c>
      <c r="AQ156" s="21">
        <f t="shared" ref="AQ156:AQ195" si="81">SUM(AL156+AO156+AP156)</f>
        <v>8158182</v>
      </c>
      <c r="AR156" s="48">
        <v>3458266</v>
      </c>
      <c r="AS156" s="48">
        <f t="shared" si="57"/>
        <v>8158182</v>
      </c>
      <c r="AT156" s="72">
        <v>6743076</v>
      </c>
      <c r="AU156" s="21">
        <f t="shared" si="58"/>
        <v>1415106</v>
      </c>
      <c r="AV156" s="52" t="str">
        <f t="shared" si="60"/>
        <v>Yes</v>
      </c>
      <c r="AW156" s="48">
        <f t="shared" ref="AW156:AW195" si="82">IF(AV156="Yes",+AU156*$L$9,+AU156*$L$10)</f>
        <v>1415106</v>
      </c>
      <c r="AX156" s="53">
        <f t="shared" ref="AX156:AX195" si="83">IF(AV156="Yes",AT156+AW156,AT156- AW156)</f>
        <v>8158182</v>
      </c>
      <c r="AY156" s="54">
        <f t="shared" si="59"/>
        <v>8158182</v>
      </c>
      <c r="AZ156" s="76"/>
      <c r="BA156" s="21"/>
      <c r="BD156" s="55"/>
      <c r="BE156" s="55"/>
      <c r="BF156" s="55"/>
      <c r="BG156" s="55"/>
      <c r="BH156" s="55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5"/>
      <c r="K157" s="71">
        <v>6028.88</v>
      </c>
      <c r="L157" s="73"/>
      <c r="M157" s="72">
        <v>1569</v>
      </c>
      <c r="N157" s="46">
        <f t="shared" si="69"/>
        <v>470.7</v>
      </c>
      <c r="O157" s="46">
        <f t="shared" si="70"/>
        <v>3617.33</v>
      </c>
      <c r="P157" s="46">
        <f t="shared" si="71"/>
        <v>0</v>
      </c>
      <c r="Q157" s="46">
        <f t="shared" si="72"/>
        <v>0</v>
      </c>
      <c r="R157" s="47">
        <f t="shared" si="73"/>
        <v>0.26</v>
      </c>
      <c r="S157" s="47">
        <f t="shared" si="61"/>
        <v>0</v>
      </c>
      <c r="T157" s="46">
        <f t="shared" si="62"/>
        <v>0</v>
      </c>
      <c r="U157" s="46">
        <f t="shared" si="74"/>
        <v>0</v>
      </c>
      <c r="V157" s="72">
        <v>231</v>
      </c>
      <c r="W157" s="46">
        <f t="shared" si="75"/>
        <v>57.75</v>
      </c>
      <c r="X157" s="22">
        <f t="shared" si="76"/>
        <v>470.7</v>
      </c>
      <c r="Y157" s="10">
        <f t="shared" si="77"/>
        <v>6557.33</v>
      </c>
      <c r="Z157" s="71">
        <v>7849495493.6700001</v>
      </c>
      <c r="AA157" s="72">
        <v>43753</v>
      </c>
      <c r="AB157" s="22">
        <f t="shared" si="63"/>
        <v>179404.74</v>
      </c>
      <c r="AC157" s="9">
        <f t="shared" si="64"/>
        <v>0.69940100000000005</v>
      </c>
      <c r="AD157" s="72">
        <v>118790</v>
      </c>
      <c r="AE157" s="9">
        <f t="shared" si="65"/>
        <v>0.86120300000000005</v>
      </c>
      <c r="AF157" s="9">
        <f t="shared" ref="AF157:AF195" si="84">ROUND(1-((AC157*$L$4)+(AE157*$L$5)),6)</f>
        <v>0.252058</v>
      </c>
      <c r="AG157" s="49">
        <f t="shared" si="66"/>
        <v>0.252058</v>
      </c>
      <c r="AH157" s="50">
        <f t="shared" si="67"/>
        <v>0</v>
      </c>
      <c r="AI157" s="51">
        <f t="shared" si="78"/>
        <v>0.252058</v>
      </c>
      <c r="AJ157" s="72">
        <v>0</v>
      </c>
      <c r="AK157">
        <v>0</v>
      </c>
      <c r="AL157" s="21">
        <f t="shared" si="79"/>
        <v>0</v>
      </c>
      <c r="AM157" s="72">
        <v>0</v>
      </c>
      <c r="AN157">
        <v>0</v>
      </c>
      <c r="AO157" s="21">
        <f t="shared" si="80"/>
        <v>0</v>
      </c>
      <c r="AP157" s="21">
        <f t="shared" si="68"/>
        <v>19048837</v>
      </c>
      <c r="AQ157" s="21">
        <f t="shared" si="81"/>
        <v>19048837</v>
      </c>
      <c r="AR157" s="48">
        <v>20268059</v>
      </c>
      <c r="AS157" s="48">
        <f t="shared" ref="AS157:AS195" si="85">IF(C157=1, MAX(AR157, AQ157, AT157), AQ157)</f>
        <v>19048837</v>
      </c>
      <c r="AT157" s="72">
        <v>20848374</v>
      </c>
      <c r="AU157" s="21">
        <f t="shared" ref="AU157:AU195" si="86">ABS(AQ157-AT157)</f>
        <v>1799537</v>
      </c>
      <c r="AV157" s="52" t="str">
        <f t="shared" si="60"/>
        <v>No</v>
      </c>
      <c r="AW157" s="48">
        <f t="shared" si="82"/>
        <v>0</v>
      </c>
      <c r="AX157" s="53">
        <f t="shared" si="83"/>
        <v>20848374</v>
      </c>
      <c r="AY157" s="54">
        <f t="shared" ref="AY157:AY195" si="87">IF(C157=1,MAX(AX157,AR157,AT157),AX157)</f>
        <v>20848374</v>
      </c>
      <c r="AZ157" s="76"/>
      <c r="BA157" s="21"/>
      <c r="BD157" s="55"/>
      <c r="BE157" s="55"/>
      <c r="BF157" s="55"/>
      <c r="BG157" s="55"/>
      <c r="BH157" s="55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5"/>
      <c r="K158" s="71">
        <v>5167.7299999999996</v>
      </c>
      <c r="L158" s="73"/>
      <c r="M158" s="72">
        <v>870</v>
      </c>
      <c r="N158" s="46">
        <f t="shared" si="69"/>
        <v>261</v>
      </c>
      <c r="O158" s="46">
        <f t="shared" si="70"/>
        <v>3100.64</v>
      </c>
      <c r="P158" s="46">
        <f t="shared" si="71"/>
        <v>0</v>
      </c>
      <c r="Q158" s="46">
        <f t="shared" si="72"/>
        <v>0</v>
      </c>
      <c r="R158" s="47">
        <f t="shared" si="73"/>
        <v>0.17</v>
      </c>
      <c r="S158" s="47">
        <f t="shared" si="61"/>
        <v>0</v>
      </c>
      <c r="T158" s="46">
        <f t="shared" si="62"/>
        <v>0</v>
      </c>
      <c r="U158" s="46">
        <f t="shared" si="74"/>
        <v>0</v>
      </c>
      <c r="V158" s="72">
        <v>477</v>
      </c>
      <c r="W158" s="46">
        <f t="shared" si="75"/>
        <v>119.25</v>
      </c>
      <c r="X158" s="22">
        <f t="shared" si="76"/>
        <v>261</v>
      </c>
      <c r="Y158" s="10">
        <f t="shared" si="77"/>
        <v>5547.98</v>
      </c>
      <c r="Z158" s="71">
        <v>5354885857.3299999</v>
      </c>
      <c r="AA158" s="72">
        <v>26783</v>
      </c>
      <c r="AB158" s="22">
        <f t="shared" si="63"/>
        <v>199936</v>
      </c>
      <c r="AC158" s="9">
        <f t="shared" si="64"/>
        <v>0.77944100000000005</v>
      </c>
      <c r="AD158" s="72">
        <v>134080</v>
      </c>
      <c r="AE158" s="9">
        <f t="shared" si="65"/>
        <v>0.97205299999999994</v>
      </c>
      <c r="AF158" s="9">
        <f t="shared" si="84"/>
        <v>0.162775</v>
      </c>
      <c r="AG158" s="49">
        <f t="shared" si="66"/>
        <v>0.162775</v>
      </c>
      <c r="AH158" s="50">
        <f t="shared" si="67"/>
        <v>0</v>
      </c>
      <c r="AI158" s="51">
        <f t="shared" si="78"/>
        <v>0.162775</v>
      </c>
      <c r="AJ158" s="72">
        <v>0</v>
      </c>
      <c r="AK158">
        <v>0</v>
      </c>
      <c r="AL158" s="21">
        <f t="shared" si="79"/>
        <v>0</v>
      </c>
      <c r="AM158" s="72">
        <v>1</v>
      </c>
      <c r="AN158">
        <v>4</v>
      </c>
      <c r="AO158" s="21">
        <f t="shared" si="80"/>
        <v>400</v>
      </c>
      <c r="AP158" s="21">
        <f t="shared" si="68"/>
        <v>10407910</v>
      </c>
      <c r="AQ158" s="21">
        <f t="shared" si="81"/>
        <v>10408310</v>
      </c>
      <c r="AR158" s="48">
        <v>12826469</v>
      </c>
      <c r="AS158" s="48">
        <f t="shared" si="85"/>
        <v>10408310</v>
      </c>
      <c r="AT158" s="72">
        <v>11408078</v>
      </c>
      <c r="AU158" s="21">
        <f t="shared" si="86"/>
        <v>999768</v>
      </c>
      <c r="AV158" s="52" t="str">
        <f t="shared" ref="AV158:AV195" si="88">IF(AQ158&gt;AT158,"Yes","No")</f>
        <v>No</v>
      </c>
      <c r="AW158" s="48">
        <f t="shared" si="82"/>
        <v>0</v>
      </c>
      <c r="AX158" s="53">
        <f t="shared" si="83"/>
        <v>11408078</v>
      </c>
      <c r="AY158" s="54">
        <f t="shared" si="87"/>
        <v>11408078</v>
      </c>
      <c r="AZ158" s="76"/>
      <c r="BA158" s="21"/>
      <c r="BD158" s="55"/>
      <c r="BE158" s="55"/>
      <c r="BF158" s="55"/>
      <c r="BG158" s="55"/>
      <c r="BH158" s="55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41</v>
      </c>
      <c r="H159" s="5">
        <v>133</v>
      </c>
      <c r="I159" s="2" t="s">
        <v>212</v>
      </c>
      <c r="J159" s="45"/>
      <c r="K159" s="71">
        <v>362</v>
      </c>
      <c r="L159" s="74"/>
      <c r="M159" s="72">
        <v>201</v>
      </c>
      <c r="N159" s="46">
        <f t="shared" si="69"/>
        <v>60.3</v>
      </c>
      <c r="O159" s="46">
        <f t="shared" si="70"/>
        <v>217.2</v>
      </c>
      <c r="P159" s="46">
        <f t="shared" si="71"/>
        <v>0</v>
      </c>
      <c r="Q159" s="46">
        <f t="shared" si="72"/>
        <v>0</v>
      </c>
      <c r="R159" s="47">
        <f t="shared" si="73"/>
        <v>0.56000000000000005</v>
      </c>
      <c r="S159" s="47">
        <f t="shared" si="61"/>
        <v>0</v>
      </c>
      <c r="T159" s="46">
        <f t="shared" si="62"/>
        <v>0</v>
      </c>
      <c r="U159" s="46">
        <f t="shared" si="74"/>
        <v>0</v>
      </c>
      <c r="V159" s="72">
        <v>7</v>
      </c>
      <c r="W159" s="46">
        <f t="shared" si="75"/>
        <v>1.75</v>
      </c>
      <c r="X159" s="22">
        <f t="shared" si="76"/>
        <v>60.3</v>
      </c>
      <c r="Y159" s="10">
        <f t="shared" si="77"/>
        <v>424.05</v>
      </c>
      <c r="Z159" s="71">
        <v>350195760.67000002</v>
      </c>
      <c r="AA159" s="72">
        <v>2958</v>
      </c>
      <c r="AB159" s="22">
        <f t="shared" si="63"/>
        <v>118389.37</v>
      </c>
      <c r="AC159" s="9">
        <f t="shared" si="64"/>
        <v>0.46153499999999997</v>
      </c>
      <c r="AD159" s="72">
        <v>94464</v>
      </c>
      <c r="AE159" s="9">
        <f t="shared" si="65"/>
        <v>0.68484500000000004</v>
      </c>
      <c r="AF159" s="9">
        <f t="shared" si="84"/>
        <v>0.471472</v>
      </c>
      <c r="AG159" s="49">
        <f t="shared" si="66"/>
        <v>0.471472</v>
      </c>
      <c r="AH159" s="50">
        <f t="shared" si="67"/>
        <v>0</v>
      </c>
      <c r="AI159" s="51">
        <f t="shared" si="78"/>
        <v>0.471472</v>
      </c>
      <c r="AJ159" s="72">
        <v>0</v>
      </c>
      <c r="AK159">
        <v>0</v>
      </c>
      <c r="AL159" s="21">
        <f t="shared" si="79"/>
        <v>0</v>
      </c>
      <c r="AM159" s="72">
        <v>61</v>
      </c>
      <c r="AN159">
        <v>4</v>
      </c>
      <c r="AO159" s="21">
        <f t="shared" si="80"/>
        <v>24400</v>
      </c>
      <c r="AP159" s="21">
        <f t="shared" si="68"/>
        <v>2304167</v>
      </c>
      <c r="AQ159" s="21">
        <f t="shared" si="81"/>
        <v>2328567</v>
      </c>
      <c r="AR159" s="48">
        <v>2612273</v>
      </c>
      <c r="AS159" s="48">
        <f t="shared" si="85"/>
        <v>2328567</v>
      </c>
      <c r="AT159" s="72">
        <v>2706745</v>
      </c>
      <c r="AU159" s="21">
        <f t="shared" si="86"/>
        <v>378178</v>
      </c>
      <c r="AV159" s="52" t="str">
        <f t="shared" si="88"/>
        <v>No</v>
      </c>
      <c r="AW159" s="48">
        <f t="shared" si="82"/>
        <v>0</v>
      </c>
      <c r="AX159" s="53">
        <f t="shared" si="83"/>
        <v>2706745</v>
      </c>
      <c r="AY159" s="54">
        <f t="shared" si="87"/>
        <v>2706745</v>
      </c>
      <c r="AZ159" s="76"/>
      <c r="BA159" s="21"/>
      <c r="BD159" s="55"/>
      <c r="BE159" s="55"/>
      <c r="BF159" s="55"/>
      <c r="BG159" s="55"/>
      <c r="BH159" s="55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29</v>
      </c>
      <c r="H160" s="5">
        <v>134</v>
      </c>
      <c r="I160" s="2" t="s">
        <v>213</v>
      </c>
      <c r="J160" s="45"/>
      <c r="K160" s="71">
        <v>1292.8599999999999</v>
      </c>
      <c r="L160" s="74"/>
      <c r="M160" s="72">
        <v>523</v>
      </c>
      <c r="N160" s="46">
        <f t="shared" si="69"/>
        <v>156.9</v>
      </c>
      <c r="O160" s="46">
        <f t="shared" si="70"/>
        <v>775.72</v>
      </c>
      <c r="P160" s="46">
        <f t="shared" si="71"/>
        <v>0</v>
      </c>
      <c r="Q160" s="46">
        <f t="shared" si="72"/>
        <v>0</v>
      </c>
      <c r="R160" s="47">
        <f t="shared" si="73"/>
        <v>0.4</v>
      </c>
      <c r="S160" s="47">
        <f t="shared" si="61"/>
        <v>0</v>
      </c>
      <c r="T160" s="46">
        <f t="shared" si="62"/>
        <v>0</v>
      </c>
      <c r="U160" s="46">
        <f t="shared" si="74"/>
        <v>0</v>
      </c>
      <c r="V160" s="72">
        <v>13</v>
      </c>
      <c r="W160" s="46">
        <f t="shared" si="75"/>
        <v>3.25</v>
      </c>
      <c r="X160" s="22">
        <f t="shared" si="76"/>
        <v>156.9</v>
      </c>
      <c r="Y160" s="10">
        <f t="shared" si="77"/>
        <v>1453.01</v>
      </c>
      <c r="Z160" s="71">
        <v>1476330858</v>
      </c>
      <c r="AA160" s="72">
        <v>11449</v>
      </c>
      <c r="AB160" s="22">
        <f t="shared" si="63"/>
        <v>128948.45</v>
      </c>
      <c r="AC160" s="9">
        <f t="shared" si="64"/>
        <v>0.50269900000000001</v>
      </c>
      <c r="AD160" s="72">
        <v>92292</v>
      </c>
      <c r="AE160" s="9">
        <f t="shared" si="65"/>
        <v>0.66909799999999997</v>
      </c>
      <c r="AF160" s="9">
        <f t="shared" si="84"/>
        <v>0.44738099999999997</v>
      </c>
      <c r="AG160" s="49">
        <f t="shared" si="66"/>
        <v>0.44738099999999997</v>
      </c>
      <c r="AH160" s="50">
        <f t="shared" si="67"/>
        <v>0</v>
      </c>
      <c r="AI160" s="51">
        <f t="shared" si="78"/>
        <v>0.44738099999999997</v>
      </c>
      <c r="AJ160" s="72">
        <v>0</v>
      </c>
      <c r="AK160">
        <v>0</v>
      </c>
      <c r="AL160" s="21">
        <f t="shared" si="79"/>
        <v>0</v>
      </c>
      <c r="AM160" s="72">
        <v>0</v>
      </c>
      <c r="AN160">
        <v>0</v>
      </c>
      <c r="AO160" s="21">
        <f t="shared" si="80"/>
        <v>0</v>
      </c>
      <c r="AP160" s="21">
        <f t="shared" si="68"/>
        <v>7491815</v>
      </c>
      <c r="AQ160" s="21">
        <f t="shared" si="81"/>
        <v>7491815</v>
      </c>
      <c r="AR160" s="48">
        <v>9790490</v>
      </c>
      <c r="AS160" s="48">
        <f t="shared" si="85"/>
        <v>7491815</v>
      </c>
      <c r="AT160" s="72">
        <v>9551487</v>
      </c>
      <c r="AU160" s="21">
        <f t="shared" si="86"/>
        <v>2059672</v>
      </c>
      <c r="AV160" s="52" t="str">
        <f t="shared" si="88"/>
        <v>No</v>
      </c>
      <c r="AW160" s="48">
        <f t="shared" si="82"/>
        <v>0</v>
      </c>
      <c r="AX160" s="53">
        <f t="shared" si="83"/>
        <v>9551487</v>
      </c>
      <c r="AY160" s="54">
        <f t="shared" si="87"/>
        <v>9551487</v>
      </c>
      <c r="AZ160" s="76"/>
      <c r="BA160" s="21"/>
      <c r="BD160" s="55"/>
      <c r="BE160" s="55"/>
      <c r="BF160" s="55"/>
      <c r="BG160" s="55"/>
      <c r="BH160" s="55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5"/>
      <c r="K161" s="71">
        <v>15740.78</v>
      </c>
      <c r="L161" s="73"/>
      <c r="M161" s="72">
        <v>8588</v>
      </c>
      <c r="N161" s="46">
        <f t="shared" si="69"/>
        <v>2576.4</v>
      </c>
      <c r="O161" s="46">
        <f t="shared" si="70"/>
        <v>9444.4699999999993</v>
      </c>
      <c r="P161" s="46">
        <f t="shared" si="71"/>
        <v>0</v>
      </c>
      <c r="Q161" s="46">
        <f t="shared" si="72"/>
        <v>0</v>
      </c>
      <c r="R161" s="47">
        <f t="shared" si="73"/>
        <v>0.55000000000000004</v>
      </c>
      <c r="S161" s="47">
        <f t="shared" si="61"/>
        <v>0</v>
      </c>
      <c r="T161" s="46">
        <f t="shared" si="62"/>
        <v>0</v>
      </c>
      <c r="U161" s="46">
        <f t="shared" si="74"/>
        <v>0</v>
      </c>
      <c r="V161" s="72">
        <v>3098</v>
      </c>
      <c r="W161" s="46">
        <f t="shared" si="75"/>
        <v>774.5</v>
      </c>
      <c r="X161" s="22">
        <f t="shared" si="76"/>
        <v>2576.4</v>
      </c>
      <c r="Y161" s="10">
        <f t="shared" si="77"/>
        <v>19091.68</v>
      </c>
      <c r="Z161" s="71">
        <v>40063426892.669998</v>
      </c>
      <c r="AA161" s="72">
        <v>136188</v>
      </c>
      <c r="AB161" s="22">
        <f t="shared" si="63"/>
        <v>294177.36</v>
      </c>
      <c r="AC161" s="9">
        <f t="shared" si="64"/>
        <v>1.146836</v>
      </c>
      <c r="AD161" s="72">
        <v>100718</v>
      </c>
      <c r="AE161" s="9">
        <f t="shared" si="65"/>
        <v>0.73018499999999997</v>
      </c>
      <c r="AF161" s="9">
        <f t="shared" si="84"/>
        <v>-2.1840999999999999E-2</v>
      </c>
      <c r="AG161" s="49">
        <f t="shared" si="66"/>
        <v>0.1</v>
      </c>
      <c r="AH161" s="50">
        <f t="shared" si="67"/>
        <v>0</v>
      </c>
      <c r="AI161" s="51">
        <f t="shared" si="78"/>
        <v>0.1</v>
      </c>
      <c r="AJ161" s="72">
        <v>0</v>
      </c>
      <c r="AK161">
        <v>0</v>
      </c>
      <c r="AL161" s="21">
        <f t="shared" si="79"/>
        <v>0</v>
      </c>
      <c r="AM161" s="72">
        <v>0</v>
      </c>
      <c r="AN161">
        <v>0</v>
      </c>
      <c r="AO161" s="21">
        <f t="shared" si="80"/>
        <v>0</v>
      </c>
      <c r="AP161" s="21">
        <f t="shared" si="68"/>
        <v>22003161</v>
      </c>
      <c r="AQ161" s="21">
        <f t="shared" si="81"/>
        <v>22003161</v>
      </c>
      <c r="AR161" s="48">
        <v>10803759</v>
      </c>
      <c r="AS161" s="48">
        <f t="shared" si="85"/>
        <v>22003161</v>
      </c>
      <c r="AT161" s="72">
        <v>19908251</v>
      </c>
      <c r="AU161" s="21">
        <f t="shared" si="86"/>
        <v>2094910</v>
      </c>
      <c r="AV161" s="52" t="str">
        <f t="shared" si="88"/>
        <v>Yes</v>
      </c>
      <c r="AW161" s="48">
        <f t="shared" si="82"/>
        <v>2094910</v>
      </c>
      <c r="AX161" s="53">
        <f t="shared" si="83"/>
        <v>22003161</v>
      </c>
      <c r="AY161" s="54">
        <f t="shared" si="87"/>
        <v>22003161</v>
      </c>
      <c r="AZ161" s="76"/>
      <c r="BA161" s="21"/>
      <c r="BD161" s="55"/>
      <c r="BE161" s="55"/>
      <c r="BF161" s="55"/>
      <c r="BG161" s="55"/>
      <c r="BH161" s="55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35</v>
      </c>
      <c r="H162" s="5">
        <v>136</v>
      </c>
      <c r="I162" s="2" t="s">
        <v>215</v>
      </c>
      <c r="J162" s="45"/>
      <c r="K162" s="71">
        <v>426.12</v>
      </c>
      <c r="L162" s="74"/>
      <c r="M162" s="72">
        <v>173</v>
      </c>
      <c r="N162" s="46">
        <f t="shared" si="69"/>
        <v>51.9</v>
      </c>
      <c r="O162" s="46">
        <f t="shared" si="70"/>
        <v>255.67</v>
      </c>
      <c r="P162" s="46">
        <f t="shared" si="71"/>
        <v>0</v>
      </c>
      <c r="Q162" s="46">
        <f t="shared" si="72"/>
        <v>0</v>
      </c>
      <c r="R162" s="47">
        <f t="shared" si="73"/>
        <v>0.41</v>
      </c>
      <c r="S162" s="47">
        <f t="shared" si="61"/>
        <v>0</v>
      </c>
      <c r="T162" s="46">
        <f t="shared" si="62"/>
        <v>0</v>
      </c>
      <c r="U162" s="46">
        <f t="shared" si="74"/>
        <v>0</v>
      </c>
      <c r="V162" s="72">
        <v>2</v>
      </c>
      <c r="W162" s="46">
        <f t="shared" si="75"/>
        <v>0.5</v>
      </c>
      <c r="X162" s="22">
        <f t="shared" si="76"/>
        <v>51.9</v>
      </c>
      <c r="Y162" s="10">
        <f t="shared" si="77"/>
        <v>478.52</v>
      </c>
      <c r="Z162" s="71">
        <v>503577444.32999998</v>
      </c>
      <c r="AA162" s="72">
        <v>3623</v>
      </c>
      <c r="AB162" s="22">
        <f t="shared" si="63"/>
        <v>138994.6</v>
      </c>
      <c r="AC162" s="9">
        <f t="shared" si="64"/>
        <v>0.54186400000000001</v>
      </c>
      <c r="AD162" s="72">
        <v>82703</v>
      </c>
      <c r="AE162" s="9">
        <f t="shared" si="65"/>
        <v>0.59958</v>
      </c>
      <c r="AF162" s="9">
        <f t="shared" si="84"/>
        <v>0.44082100000000002</v>
      </c>
      <c r="AG162" s="49">
        <f t="shared" si="66"/>
        <v>0.44082100000000002</v>
      </c>
      <c r="AH162" s="50">
        <f t="shared" si="67"/>
        <v>0</v>
      </c>
      <c r="AI162" s="51">
        <f t="shared" si="78"/>
        <v>0.44082100000000002</v>
      </c>
      <c r="AJ162" s="72">
        <v>0</v>
      </c>
      <c r="AK162">
        <v>0</v>
      </c>
      <c r="AL162" s="21">
        <f t="shared" si="79"/>
        <v>0</v>
      </c>
      <c r="AM162" s="72">
        <v>0</v>
      </c>
      <c r="AN162">
        <v>0</v>
      </c>
      <c r="AO162" s="21">
        <f t="shared" si="80"/>
        <v>0</v>
      </c>
      <c r="AP162" s="21">
        <f t="shared" si="68"/>
        <v>2431103</v>
      </c>
      <c r="AQ162" s="21">
        <f t="shared" si="81"/>
        <v>2431103</v>
      </c>
      <c r="AR162" s="48">
        <v>3196216</v>
      </c>
      <c r="AS162" s="48">
        <f t="shared" si="85"/>
        <v>2431103</v>
      </c>
      <c r="AT162" s="72">
        <v>3174585</v>
      </c>
      <c r="AU162" s="21">
        <f t="shared" si="86"/>
        <v>743482</v>
      </c>
      <c r="AV162" s="52" t="str">
        <f t="shared" si="88"/>
        <v>No</v>
      </c>
      <c r="AW162" s="48">
        <f t="shared" si="82"/>
        <v>0</v>
      </c>
      <c r="AX162" s="53">
        <f t="shared" si="83"/>
        <v>3174585</v>
      </c>
      <c r="AY162" s="54">
        <f t="shared" si="87"/>
        <v>3174585</v>
      </c>
      <c r="AZ162" s="76"/>
      <c r="BA162" s="21"/>
      <c r="BD162" s="55"/>
      <c r="BE162" s="55"/>
      <c r="BF162" s="55"/>
      <c r="BG162" s="55"/>
      <c r="BH162" s="55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5"/>
      <c r="K163" s="71">
        <v>1745.13</v>
      </c>
      <c r="L163" s="73"/>
      <c r="M163" s="72">
        <v>458</v>
      </c>
      <c r="N163" s="46">
        <f t="shared" si="69"/>
        <v>137.4</v>
      </c>
      <c r="O163" s="46">
        <f t="shared" si="70"/>
        <v>1047.08</v>
      </c>
      <c r="P163" s="46">
        <f t="shared" si="71"/>
        <v>0</v>
      </c>
      <c r="Q163" s="46">
        <f t="shared" si="72"/>
        <v>0</v>
      </c>
      <c r="R163" s="47">
        <f t="shared" si="73"/>
        <v>0.26</v>
      </c>
      <c r="S163" s="47">
        <f t="shared" si="61"/>
        <v>0</v>
      </c>
      <c r="T163" s="46">
        <f t="shared" si="62"/>
        <v>0</v>
      </c>
      <c r="U163" s="46">
        <f t="shared" si="74"/>
        <v>0</v>
      </c>
      <c r="V163" s="72">
        <v>14</v>
      </c>
      <c r="W163" s="46">
        <f t="shared" si="75"/>
        <v>3.5</v>
      </c>
      <c r="X163" s="22">
        <f t="shared" si="76"/>
        <v>137.4</v>
      </c>
      <c r="Y163" s="10">
        <f t="shared" si="77"/>
        <v>1886.0300000000002</v>
      </c>
      <c r="Z163" s="71">
        <v>5607288868</v>
      </c>
      <c r="AA163" s="72">
        <v>18480</v>
      </c>
      <c r="AB163" s="22">
        <f t="shared" si="63"/>
        <v>303424.71999999997</v>
      </c>
      <c r="AC163" s="9">
        <f t="shared" si="64"/>
        <v>1.1828860000000001</v>
      </c>
      <c r="AD163" s="72">
        <v>102174</v>
      </c>
      <c r="AE163" s="9">
        <f t="shared" si="65"/>
        <v>0.74074099999999998</v>
      </c>
      <c r="AF163" s="9">
        <f t="shared" si="84"/>
        <v>-5.0243000000000003E-2</v>
      </c>
      <c r="AG163" s="49">
        <f t="shared" si="66"/>
        <v>0.01</v>
      </c>
      <c r="AH163" s="50">
        <f t="shared" si="67"/>
        <v>0</v>
      </c>
      <c r="AI163" s="51">
        <f t="shared" si="78"/>
        <v>0.01</v>
      </c>
      <c r="AJ163" s="72">
        <v>0</v>
      </c>
      <c r="AK163">
        <v>0</v>
      </c>
      <c r="AL163" s="21">
        <f t="shared" si="79"/>
        <v>0</v>
      </c>
      <c r="AM163" s="72">
        <v>0</v>
      </c>
      <c r="AN163">
        <v>0</v>
      </c>
      <c r="AO163" s="21">
        <f t="shared" si="80"/>
        <v>0</v>
      </c>
      <c r="AP163" s="21">
        <f t="shared" si="68"/>
        <v>217365</v>
      </c>
      <c r="AQ163" s="21">
        <f t="shared" si="81"/>
        <v>217365</v>
      </c>
      <c r="AR163" s="48">
        <v>1649159</v>
      </c>
      <c r="AS163" s="48">
        <f t="shared" si="85"/>
        <v>217365</v>
      </c>
      <c r="AT163" s="72">
        <v>1073011</v>
      </c>
      <c r="AU163" s="21">
        <f t="shared" si="86"/>
        <v>855646</v>
      </c>
      <c r="AV163" s="52" t="str">
        <f t="shared" si="88"/>
        <v>No</v>
      </c>
      <c r="AW163" s="48">
        <f t="shared" si="82"/>
        <v>0</v>
      </c>
      <c r="AX163" s="53">
        <f t="shared" si="83"/>
        <v>1073011</v>
      </c>
      <c r="AY163" s="54">
        <f t="shared" si="87"/>
        <v>1073011</v>
      </c>
      <c r="AZ163" s="76"/>
      <c r="BA163" s="21"/>
      <c r="BD163" s="55"/>
      <c r="BE163" s="55"/>
      <c r="BF163" s="55"/>
      <c r="BG163" s="55"/>
      <c r="BH163" s="55"/>
    </row>
    <row r="164" spans="1:60" x14ac:dyDescent="0.5">
      <c r="A164" s="5" t="s">
        <v>86</v>
      </c>
      <c r="B164" s="5"/>
      <c r="C164" s="57">
        <v>1</v>
      </c>
      <c r="D164" s="57">
        <v>1</v>
      </c>
      <c r="E164" s="33"/>
      <c r="F164" s="2">
        <v>8</v>
      </c>
      <c r="G164">
        <v>20</v>
      </c>
      <c r="H164" s="5">
        <v>138</v>
      </c>
      <c r="I164" s="2" t="s">
        <v>217</v>
      </c>
      <c r="J164" s="45"/>
      <c r="K164" s="71">
        <v>6781.1</v>
      </c>
      <c r="L164" s="74"/>
      <c r="M164" s="72">
        <v>3372</v>
      </c>
      <c r="N164" s="46">
        <f t="shared" si="69"/>
        <v>1011.6</v>
      </c>
      <c r="O164" s="46">
        <f t="shared" si="70"/>
        <v>4068.66</v>
      </c>
      <c r="P164" s="46">
        <f t="shared" si="71"/>
        <v>0</v>
      </c>
      <c r="Q164" s="46">
        <f t="shared" si="72"/>
        <v>0</v>
      </c>
      <c r="R164" s="47">
        <f t="shared" si="73"/>
        <v>0.5</v>
      </c>
      <c r="S164" s="47">
        <f t="shared" si="61"/>
        <v>0</v>
      </c>
      <c r="T164" s="46">
        <f t="shared" si="62"/>
        <v>0</v>
      </c>
      <c r="U164" s="46">
        <f t="shared" si="74"/>
        <v>0</v>
      </c>
      <c r="V164" s="72">
        <v>774</v>
      </c>
      <c r="W164" s="46">
        <f t="shared" si="75"/>
        <v>193.5</v>
      </c>
      <c r="X164" s="22">
        <f t="shared" si="76"/>
        <v>1011.6</v>
      </c>
      <c r="Y164" s="10">
        <f t="shared" si="77"/>
        <v>7986.2000000000007</v>
      </c>
      <c r="Z164" s="71">
        <v>9506820920.6700001</v>
      </c>
      <c r="AA164" s="72">
        <v>52477</v>
      </c>
      <c r="AB164" s="22">
        <f t="shared" si="63"/>
        <v>181161.67</v>
      </c>
      <c r="AC164" s="9">
        <f t="shared" si="64"/>
        <v>0.70625000000000004</v>
      </c>
      <c r="AD164" s="72">
        <v>91025</v>
      </c>
      <c r="AE164" s="9">
        <f t="shared" si="65"/>
        <v>0.65991299999999997</v>
      </c>
      <c r="AF164" s="9">
        <f t="shared" si="84"/>
        <v>0.30765100000000001</v>
      </c>
      <c r="AG164" s="49">
        <f t="shared" si="66"/>
        <v>0.30765100000000001</v>
      </c>
      <c r="AH164" s="50">
        <f t="shared" si="67"/>
        <v>0</v>
      </c>
      <c r="AI164" s="51">
        <f t="shared" si="78"/>
        <v>0.30765100000000001</v>
      </c>
      <c r="AJ164" s="72">
        <v>0</v>
      </c>
      <c r="AK164">
        <v>0</v>
      </c>
      <c r="AL164" s="21">
        <f t="shared" si="79"/>
        <v>0</v>
      </c>
      <c r="AM164" s="72">
        <v>0</v>
      </c>
      <c r="AN164">
        <v>0</v>
      </c>
      <c r="AO164" s="21">
        <f t="shared" si="80"/>
        <v>0</v>
      </c>
      <c r="AP164" s="21">
        <f t="shared" si="68"/>
        <v>28316492</v>
      </c>
      <c r="AQ164" s="21">
        <f t="shared" si="81"/>
        <v>28316492</v>
      </c>
      <c r="AR164" s="48">
        <v>21461782</v>
      </c>
      <c r="AS164" s="48">
        <f t="shared" si="85"/>
        <v>30304368</v>
      </c>
      <c r="AT164" s="72">
        <v>30304368</v>
      </c>
      <c r="AU164" s="21">
        <f t="shared" si="86"/>
        <v>1987876</v>
      </c>
      <c r="AV164" s="52" t="str">
        <f t="shared" si="88"/>
        <v>No</v>
      </c>
      <c r="AW164" s="48">
        <f t="shared" si="82"/>
        <v>0</v>
      </c>
      <c r="AX164" s="53">
        <f t="shared" si="83"/>
        <v>30304368</v>
      </c>
      <c r="AY164" s="54">
        <f t="shared" si="87"/>
        <v>30304368</v>
      </c>
      <c r="AZ164" s="76"/>
      <c r="BA164" s="21"/>
      <c r="BD164" s="55"/>
      <c r="BE164" s="55"/>
      <c r="BF164" s="55"/>
      <c r="BG164" s="55"/>
      <c r="BH164" s="55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5"/>
      <c r="K165" s="71">
        <v>1922.64</v>
      </c>
      <c r="L165" s="73"/>
      <c r="M165" s="72">
        <v>267</v>
      </c>
      <c r="N165" s="46">
        <f t="shared" si="69"/>
        <v>80.099999999999994</v>
      </c>
      <c r="O165" s="46">
        <f t="shared" si="70"/>
        <v>1153.58</v>
      </c>
      <c r="P165" s="46">
        <f t="shared" si="71"/>
        <v>0</v>
      </c>
      <c r="Q165" s="46">
        <f t="shared" si="72"/>
        <v>0</v>
      </c>
      <c r="R165" s="47">
        <f t="shared" si="73"/>
        <v>0.14000000000000001</v>
      </c>
      <c r="S165" s="47">
        <f t="shared" si="61"/>
        <v>0</v>
      </c>
      <c r="T165" s="46">
        <f t="shared" si="62"/>
        <v>0</v>
      </c>
      <c r="U165" s="46">
        <f t="shared" si="74"/>
        <v>0</v>
      </c>
      <c r="V165" s="72">
        <v>43</v>
      </c>
      <c r="W165" s="46">
        <f t="shared" si="75"/>
        <v>10.75</v>
      </c>
      <c r="X165" s="22">
        <f t="shared" si="76"/>
        <v>80.099999999999994</v>
      </c>
      <c r="Y165" s="10">
        <f t="shared" si="77"/>
        <v>2013.49</v>
      </c>
      <c r="Z165" s="71">
        <v>2808887029</v>
      </c>
      <c r="AA165" s="72">
        <v>15731</v>
      </c>
      <c r="AB165" s="22">
        <f t="shared" si="63"/>
        <v>178557.44</v>
      </c>
      <c r="AC165" s="9">
        <f t="shared" si="64"/>
        <v>0.69609699999999997</v>
      </c>
      <c r="AD165" s="72">
        <v>121141</v>
      </c>
      <c r="AE165" s="9">
        <f t="shared" si="65"/>
        <v>0.87824800000000003</v>
      </c>
      <c r="AF165" s="9">
        <f t="shared" si="84"/>
        <v>0.24925800000000001</v>
      </c>
      <c r="AG165" s="49">
        <f t="shared" si="66"/>
        <v>0.24925800000000001</v>
      </c>
      <c r="AH165" s="50">
        <f t="shared" si="67"/>
        <v>0</v>
      </c>
      <c r="AI165" s="51">
        <f t="shared" si="78"/>
        <v>0.24925800000000001</v>
      </c>
      <c r="AJ165" s="72">
        <v>0</v>
      </c>
      <c r="AK165">
        <v>0</v>
      </c>
      <c r="AL165" s="21">
        <f t="shared" si="79"/>
        <v>0</v>
      </c>
      <c r="AM165" s="72">
        <v>0</v>
      </c>
      <c r="AN165">
        <v>0</v>
      </c>
      <c r="AO165" s="21">
        <f t="shared" si="80"/>
        <v>0</v>
      </c>
      <c r="AP165" s="21">
        <f t="shared" si="68"/>
        <v>5784150</v>
      </c>
      <c r="AQ165" s="21">
        <f t="shared" si="81"/>
        <v>5784150</v>
      </c>
      <c r="AR165" s="48">
        <v>6221145</v>
      </c>
      <c r="AS165" s="48">
        <f t="shared" si="85"/>
        <v>5784150</v>
      </c>
      <c r="AT165" s="72">
        <v>6163712</v>
      </c>
      <c r="AU165" s="21">
        <f t="shared" si="86"/>
        <v>379562</v>
      </c>
      <c r="AV165" s="52" t="str">
        <f t="shared" si="88"/>
        <v>No</v>
      </c>
      <c r="AW165" s="48">
        <f t="shared" si="82"/>
        <v>0</v>
      </c>
      <c r="AX165" s="53">
        <f t="shared" si="83"/>
        <v>6163712</v>
      </c>
      <c r="AY165" s="54">
        <f t="shared" si="87"/>
        <v>6163712</v>
      </c>
      <c r="AZ165" s="76"/>
      <c r="BA165" s="21"/>
      <c r="BD165" s="55"/>
      <c r="BE165" s="55"/>
      <c r="BF165" s="55"/>
      <c r="BG165" s="55"/>
      <c r="BH165" s="55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5"/>
      <c r="K166" s="71">
        <v>866.28</v>
      </c>
      <c r="L166" s="75"/>
      <c r="M166" s="72">
        <v>327</v>
      </c>
      <c r="N166" s="46">
        <f t="shared" si="69"/>
        <v>98.1</v>
      </c>
      <c r="O166" s="46">
        <f t="shared" si="70"/>
        <v>519.77</v>
      </c>
      <c r="P166" s="46">
        <f t="shared" si="71"/>
        <v>0</v>
      </c>
      <c r="Q166" s="46">
        <f t="shared" si="72"/>
        <v>0</v>
      </c>
      <c r="R166" s="47">
        <f t="shared" si="73"/>
        <v>0.38</v>
      </c>
      <c r="S166" s="47">
        <f t="shared" si="61"/>
        <v>0</v>
      </c>
      <c r="T166" s="46">
        <f t="shared" si="62"/>
        <v>0</v>
      </c>
      <c r="U166" s="46">
        <f t="shared" si="74"/>
        <v>0</v>
      </c>
      <c r="V166" s="72">
        <v>16</v>
      </c>
      <c r="W166" s="46">
        <f t="shared" si="75"/>
        <v>4</v>
      </c>
      <c r="X166" s="22">
        <f t="shared" si="76"/>
        <v>98.1</v>
      </c>
      <c r="Y166" s="10">
        <f t="shared" si="77"/>
        <v>968.38</v>
      </c>
      <c r="Z166" s="71">
        <v>1074519199.3299999</v>
      </c>
      <c r="AA166" s="72">
        <v>7468</v>
      </c>
      <c r="AB166" s="22">
        <f t="shared" si="63"/>
        <v>143883.13</v>
      </c>
      <c r="AC166" s="9">
        <f t="shared" si="64"/>
        <v>0.560921</v>
      </c>
      <c r="AD166" s="72">
        <v>91967</v>
      </c>
      <c r="AE166" s="9">
        <f t="shared" si="65"/>
        <v>0.66674199999999995</v>
      </c>
      <c r="AF166" s="9">
        <f t="shared" si="84"/>
        <v>0.407333</v>
      </c>
      <c r="AG166" s="49">
        <f t="shared" si="66"/>
        <v>0.407333</v>
      </c>
      <c r="AH166" s="50">
        <f t="shared" si="67"/>
        <v>0</v>
      </c>
      <c r="AI166" s="51">
        <f t="shared" si="78"/>
        <v>0.407333</v>
      </c>
      <c r="AJ166" s="72">
        <v>0</v>
      </c>
      <c r="AK166">
        <v>0</v>
      </c>
      <c r="AL166" s="21">
        <f t="shared" si="79"/>
        <v>0</v>
      </c>
      <c r="AM166" s="72">
        <v>0</v>
      </c>
      <c r="AN166">
        <v>0</v>
      </c>
      <c r="AO166" s="21">
        <f t="shared" si="80"/>
        <v>0</v>
      </c>
      <c r="AP166" s="21">
        <f t="shared" si="68"/>
        <v>4546072</v>
      </c>
      <c r="AQ166" s="21">
        <f t="shared" si="81"/>
        <v>4546072</v>
      </c>
      <c r="AR166" s="48">
        <v>5624815</v>
      </c>
      <c r="AS166" s="48">
        <f t="shared" si="85"/>
        <v>4546072</v>
      </c>
      <c r="AT166" s="72">
        <v>5481226</v>
      </c>
      <c r="AU166" s="21">
        <f t="shared" si="86"/>
        <v>935154</v>
      </c>
      <c r="AV166" s="52" t="str">
        <f t="shared" si="88"/>
        <v>No</v>
      </c>
      <c r="AW166" s="48">
        <f t="shared" si="82"/>
        <v>0</v>
      </c>
      <c r="AX166" s="53">
        <f t="shared" si="83"/>
        <v>5481226</v>
      </c>
      <c r="AY166" s="54">
        <f t="shared" si="87"/>
        <v>5481226</v>
      </c>
      <c r="AZ166" s="76"/>
      <c r="BA166" s="21"/>
      <c r="BD166" s="55"/>
      <c r="BE166" s="55"/>
      <c r="BF166" s="55"/>
      <c r="BG166" s="55"/>
      <c r="BH166" s="55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5"/>
      <c r="K167" s="71">
        <v>826.77</v>
      </c>
      <c r="L167" s="73"/>
      <c r="M167" s="72">
        <v>372</v>
      </c>
      <c r="N167" s="46">
        <f t="shared" si="69"/>
        <v>111.6</v>
      </c>
      <c r="O167" s="46">
        <f t="shared" si="70"/>
        <v>496.06</v>
      </c>
      <c r="P167" s="46">
        <f t="shared" si="71"/>
        <v>0</v>
      </c>
      <c r="Q167" s="46">
        <f t="shared" si="72"/>
        <v>0</v>
      </c>
      <c r="R167" s="47">
        <f t="shared" si="73"/>
        <v>0.45</v>
      </c>
      <c r="S167" s="47">
        <f t="shared" si="61"/>
        <v>0</v>
      </c>
      <c r="T167" s="46">
        <f t="shared" si="62"/>
        <v>0</v>
      </c>
      <c r="U167" s="46">
        <f t="shared" si="74"/>
        <v>0</v>
      </c>
      <c r="V167" s="72">
        <v>19</v>
      </c>
      <c r="W167" s="46">
        <f t="shared" si="75"/>
        <v>4.75</v>
      </c>
      <c r="X167" s="22">
        <f t="shared" si="76"/>
        <v>111.6</v>
      </c>
      <c r="Y167" s="10">
        <f t="shared" si="77"/>
        <v>943.12</v>
      </c>
      <c r="Z167" s="71">
        <v>1450065433</v>
      </c>
      <c r="AA167" s="72">
        <v>9315</v>
      </c>
      <c r="AB167" s="22">
        <f t="shared" si="63"/>
        <v>155669.93</v>
      </c>
      <c r="AC167" s="9">
        <f t="shared" si="64"/>
        <v>0.60687199999999997</v>
      </c>
      <c r="AD167" s="72">
        <v>95905</v>
      </c>
      <c r="AE167" s="9">
        <f t="shared" si="65"/>
        <v>0.69529200000000002</v>
      </c>
      <c r="AF167" s="9">
        <f t="shared" si="84"/>
        <v>0.36660199999999998</v>
      </c>
      <c r="AG167" s="49">
        <f t="shared" si="66"/>
        <v>0.36660199999999998</v>
      </c>
      <c r="AH167" s="50">
        <f t="shared" si="67"/>
        <v>0</v>
      </c>
      <c r="AI167" s="51">
        <f t="shared" si="78"/>
        <v>0.36660199999999998</v>
      </c>
      <c r="AJ167" s="72">
        <v>0</v>
      </c>
      <c r="AK167">
        <v>0</v>
      </c>
      <c r="AL167" s="21">
        <f t="shared" si="79"/>
        <v>0</v>
      </c>
      <c r="AM167" s="72">
        <v>0</v>
      </c>
      <c r="AN167">
        <v>0</v>
      </c>
      <c r="AO167" s="21">
        <f t="shared" si="80"/>
        <v>0</v>
      </c>
      <c r="AP167" s="21">
        <f t="shared" si="68"/>
        <v>3984765</v>
      </c>
      <c r="AQ167" s="21">
        <f t="shared" si="81"/>
        <v>3984765</v>
      </c>
      <c r="AR167" s="48">
        <v>7534704</v>
      </c>
      <c r="AS167" s="48">
        <f t="shared" si="85"/>
        <v>7534704</v>
      </c>
      <c r="AT167" s="72">
        <v>7534704</v>
      </c>
      <c r="AU167" s="21">
        <f t="shared" si="86"/>
        <v>3549939</v>
      </c>
      <c r="AV167" s="52" t="str">
        <f t="shared" si="88"/>
        <v>No</v>
      </c>
      <c r="AW167" s="48">
        <f t="shared" si="82"/>
        <v>0</v>
      </c>
      <c r="AX167" s="53">
        <f t="shared" si="83"/>
        <v>7534704</v>
      </c>
      <c r="AY167" s="54">
        <f t="shared" si="87"/>
        <v>7534704</v>
      </c>
      <c r="AZ167" s="76"/>
      <c r="BA167" s="21"/>
      <c r="BD167" s="55"/>
      <c r="BE167" s="55"/>
      <c r="BF167" s="55"/>
      <c r="BG167" s="55"/>
      <c r="BH167" s="55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5"/>
      <c r="K168" s="71">
        <v>2180.6799999999998</v>
      </c>
      <c r="L168" s="73"/>
      <c r="M168" s="72">
        <v>377</v>
      </c>
      <c r="N168" s="46">
        <f t="shared" si="69"/>
        <v>113.1</v>
      </c>
      <c r="O168" s="46">
        <f t="shared" si="70"/>
        <v>1308.4100000000001</v>
      </c>
      <c r="P168" s="46">
        <f t="shared" si="71"/>
        <v>0</v>
      </c>
      <c r="Q168" s="46">
        <f t="shared" si="72"/>
        <v>0</v>
      </c>
      <c r="R168" s="47">
        <f t="shared" si="73"/>
        <v>0.17</v>
      </c>
      <c r="S168" s="47">
        <f t="shared" si="61"/>
        <v>0</v>
      </c>
      <c r="T168" s="46">
        <f t="shared" si="62"/>
        <v>0</v>
      </c>
      <c r="U168" s="46">
        <f t="shared" si="74"/>
        <v>0</v>
      </c>
      <c r="V168" s="72">
        <v>28</v>
      </c>
      <c r="W168" s="46">
        <f t="shared" si="75"/>
        <v>7</v>
      </c>
      <c r="X168" s="22">
        <f t="shared" si="76"/>
        <v>113.1</v>
      </c>
      <c r="Y168" s="10">
        <f t="shared" si="77"/>
        <v>2300.7799999999997</v>
      </c>
      <c r="Z168" s="71">
        <v>2385570271</v>
      </c>
      <c r="AA168" s="72">
        <v>14577</v>
      </c>
      <c r="AB168" s="22">
        <f t="shared" si="63"/>
        <v>163653.03</v>
      </c>
      <c r="AC168" s="9">
        <f t="shared" si="64"/>
        <v>0.63799300000000003</v>
      </c>
      <c r="AD168" s="72">
        <v>132846</v>
      </c>
      <c r="AE168" s="9">
        <f t="shared" si="65"/>
        <v>0.96310700000000005</v>
      </c>
      <c r="AF168" s="9">
        <f t="shared" si="84"/>
        <v>0.26447300000000001</v>
      </c>
      <c r="AG168" s="49">
        <f t="shared" si="66"/>
        <v>0.26447300000000001</v>
      </c>
      <c r="AH168" s="50">
        <f t="shared" si="67"/>
        <v>0</v>
      </c>
      <c r="AI168" s="51">
        <f t="shared" si="78"/>
        <v>0.26447300000000001</v>
      </c>
      <c r="AJ168" s="72">
        <v>0</v>
      </c>
      <c r="AK168">
        <v>0</v>
      </c>
      <c r="AL168" s="21">
        <f t="shared" si="79"/>
        <v>0</v>
      </c>
      <c r="AM168" s="72">
        <v>0</v>
      </c>
      <c r="AN168">
        <v>0</v>
      </c>
      <c r="AO168" s="21">
        <f t="shared" si="80"/>
        <v>0</v>
      </c>
      <c r="AP168" s="21">
        <f t="shared" si="68"/>
        <v>7012896</v>
      </c>
      <c r="AQ168" s="21">
        <f t="shared" si="81"/>
        <v>7012896</v>
      </c>
      <c r="AR168" s="48">
        <v>10699177</v>
      </c>
      <c r="AS168" s="48">
        <f t="shared" si="85"/>
        <v>7012896</v>
      </c>
      <c r="AT168" s="72">
        <v>9105528</v>
      </c>
      <c r="AU168" s="21">
        <f t="shared" si="86"/>
        <v>2092632</v>
      </c>
      <c r="AV168" s="52" t="str">
        <f t="shared" si="88"/>
        <v>No</v>
      </c>
      <c r="AW168" s="48">
        <f t="shared" si="82"/>
        <v>0</v>
      </c>
      <c r="AX168" s="53">
        <f t="shared" si="83"/>
        <v>9105528</v>
      </c>
      <c r="AY168" s="54">
        <f t="shared" si="87"/>
        <v>9105528</v>
      </c>
      <c r="AZ168" s="76"/>
      <c r="BA168" s="21"/>
      <c r="BD168" s="55"/>
      <c r="BE168" s="55"/>
      <c r="BF168" s="55"/>
      <c r="BG168" s="55"/>
      <c r="BH168" s="55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5"/>
      <c r="K169" s="71">
        <v>4213.04</v>
      </c>
      <c r="L169" s="74"/>
      <c r="M169" s="72">
        <v>2737</v>
      </c>
      <c r="N169" s="46">
        <f t="shared" si="69"/>
        <v>821.1</v>
      </c>
      <c r="O169" s="46">
        <f t="shared" si="70"/>
        <v>2527.8200000000002</v>
      </c>
      <c r="P169" s="46">
        <f t="shared" si="71"/>
        <v>209.17999999999984</v>
      </c>
      <c r="Q169" s="46">
        <f t="shared" si="72"/>
        <v>31.38</v>
      </c>
      <c r="R169" s="47">
        <f t="shared" si="73"/>
        <v>0.65</v>
      </c>
      <c r="S169" s="47">
        <f t="shared" si="61"/>
        <v>5.0000000000000044E-2</v>
      </c>
      <c r="T169" s="46">
        <f t="shared" si="62"/>
        <v>210.65</v>
      </c>
      <c r="U169" s="46">
        <f t="shared" si="74"/>
        <v>31.6</v>
      </c>
      <c r="V169" s="72">
        <v>656</v>
      </c>
      <c r="W169" s="46">
        <f t="shared" si="75"/>
        <v>164</v>
      </c>
      <c r="X169" s="22">
        <f t="shared" si="76"/>
        <v>821.1</v>
      </c>
      <c r="Y169" s="10">
        <f t="shared" si="77"/>
        <v>5229.5200000000004</v>
      </c>
      <c r="Z169" s="71">
        <v>4161750703</v>
      </c>
      <c r="AA169" s="72">
        <v>35563</v>
      </c>
      <c r="AB169" s="22">
        <f t="shared" si="63"/>
        <v>117024.74</v>
      </c>
      <c r="AC169" s="9">
        <f t="shared" si="64"/>
        <v>0.45621499999999998</v>
      </c>
      <c r="AD169" s="72">
        <v>66616</v>
      </c>
      <c r="AE169" s="9">
        <f t="shared" si="65"/>
        <v>0.48295199999999999</v>
      </c>
      <c r="AF169" s="9">
        <f t="shared" si="84"/>
        <v>0.53576400000000002</v>
      </c>
      <c r="AG169" s="49">
        <f t="shared" si="66"/>
        <v>0.53576400000000002</v>
      </c>
      <c r="AH169" s="50">
        <f t="shared" si="67"/>
        <v>0.04</v>
      </c>
      <c r="AI169" s="51">
        <f t="shared" si="78"/>
        <v>0.57576400000000005</v>
      </c>
      <c r="AJ169" s="72">
        <v>0</v>
      </c>
      <c r="AK169">
        <v>0</v>
      </c>
      <c r="AL169" s="21">
        <f t="shared" si="79"/>
        <v>0</v>
      </c>
      <c r="AM169" s="72">
        <v>0</v>
      </c>
      <c r="AN169">
        <v>0</v>
      </c>
      <c r="AO169" s="21">
        <f t="shared" si="80"/>
        <v>0</v>
      </c>
      <c r="AP169" s="21">
        <f t="shared" si="68"/>
        <v>34701422</v>
      </c>
      <c r="AQ169" s="21">
        <f t="shared" si="81"/>
        <v>34701422</v>
      </c>
      <c r="AR169" s="48">
        <v>24482865</v>
      </c>
      <c r="AS169" s="48">
        <f t="shared" si="85"/>
        <v>34701422</v>
      </c>
      <c r="AT169" s="72">
        <v>33393085</v>
      </c>
      <c r="AU169" s="21">
        <f t="shared" si="86"/>
        <v>1308337</v>
      </c>
      <c r="AV169" s="52" t="str">
        <f t="shared" si="88"/>
        <v>Yes</v>
      </c>
      <c r="AW169" s="48">
        <f t="shared" si="82"/>
        <v>1308337</v>
      </c>
      <c r="AX169" s="53">
        <f t="shared" si="83"/>
        <v>34701422</v>
      </c>
      <c r="AY169" s="54">
        <f t="shared" si="87"/>
        <v>34701422</v>
      </c>
      <c r="AZ169" s="76"/>
      <c r="BA169" s="21"/>
      <c r="BD169" s="55"/>
      <c r="BE169" s="55"/>
      <c r="BF169" s="55"/>
      <c r="BG169" s="55"/>
      <c r="BH169" s="55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5"/>
      <c r="K170" s="71">
        <v>6780.83</v>
      </c>
      <c r="L170" s="73"/>
      <c r="M170" s="72">
        <v>1333</v>
      </c>
      <c r="N170" s="46">
        <f t="shared" si="69"/>
        <v>399.9</v>
      </c>
      <c r="O170" s="46">
        <f t="shared" si="70"/>
        <v>4068.5</v>
      </c>
      <c r="P170" s="46">
        <f t="shared" si="71"/>
        <v>0</v>
      </c>
      <c r="Q170" s="46">
        <f t="shared" si="72"/>
        <v>0</v>
      </c>
      <c r="R170" s="47">
        <f t="shared" si="73"/>
        <v>0.2</v>
      </c>
      <c r="S170" s="47">
        <f t="shared" si="61"/>
        <v>0</v>
      </c>
      <c r="T170" s="46">
        <f t="shared" si="62"/>
        <v>0</v>
      </c>
      <c r="U170" s="46">
        <f t="shared" si="74"/>
        <v>0</v>
      </c>
      <c r="V170" s="72">
        <v>321</v>
      </c>
      <c r="W170" s="46">
        <f t="shared" si="75"/>
        <v>80.25</v>
      </c>
      <c r="X170" s="22">
        <f t="shared" si="76"/>
        <v>399.9</v>
      </c>
      <c r="Y170" s="10">
        <f t="shared" si="77"/>
        <v>7260.98</v>
      </c>
      <c r="Z170" s="71">
        <v>8511664346.6700001</v>
      </c>
      <c r="AA170" s="72">
        <v>37135</v>
      </c>
      <c r="AB170" s="22">
        <f t="shared" si="63"/>
        <v>229208.68</v>
      </c>
      <c r="AC170" s="9">
        <f t="shared" si="64"/>
        <v>0.89355899999999999</v>
      </c>
      <c r="AD170" s="72">
        <v>153846</v>
      </c>
      <c r="AE170" s="9">
        <f t="shared" si="65"/>
        <v>1.1153519999999999</v>
      </c>
      <c r="AF170" s="9">
        <f t="shared" si="84"/>
        <v>3.9903000000000001E-2</v>
      </c>
      <c r="AG170" s="49">
        <f t="shared" si="66"/>
        <v>3.9903000000000001E-2</v>
      </c>
      <c r="AH170" s="50">
        <f t="shared" si="67"/>
        <v>0</v>
      </c>
      <c r="AI170" s="51">
        <f t="shared" si="78"/>
        <v>3.9903000000000001E-2</v>
      </c>
      <c r="AJ170" s="72">
        <v>0</v>
      </c>
      <c r="AK170">
        <v>0</v>
      </c>
      <c r="AL170" s="21">
        <f t="shared" si="79"/>
        <v>0</v>
      </c>
      <c r="AM170" s="72">
        <v>0</v>
      </c>
      <c r="AN170">
        <v>0</v>
      </c>
      <c r="AO170" s="21">
        <f t="shared" si="80"/>
        <v>0</v>
      </c>
      <c r="AP170" s="21">
        <f t="shared" si="68"/>
        <v>3339195</v>
      </c>
      <c r="AQ170" s="21">
        <f t="shared" si="81"/>
        <v>3339195</v>
      </c>
      <c r="AR170" s="48">
        <v>3418401</v>
      </c>
      <c r="AS170" s="48">
        <f t="shared" si="85"/>
        <v>3339195</v>
      </c>
      <c r="AT170" s="72">
        <v>3417049</v>
      </c>
      <c r="AU170" s="21">
        <f t="shared" si="86"/>
        <v>77854</v>
      </c>
      <c r="AV170" s="52" t="str">
        <f t="shared" si="88"/>
        <v>No</v>
      </c>
      <c r="AW170" s="48">
        <f t="shared" si="82"/>
        <v>0</v>
      </c>
      <c r="AX170" s="53">
        <f t="shared" si="83"/>
        <v>3417049</v>
      </c>
      <c r="AY170" s="54">
        <f t="shared" si="87"/>
        <v>3417049</v>
      </c>
      <c r="AZ170" s="76"/>
      <c r="BA170" s="21"/>
      <c r="BD170" s="55"/>
      <c r="BE170" s="55"/>
      <c r="BF170" s="55"/>
      <c r="BG170" s="55"/>
      <c r="BH170" s="55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5"/>
      <c r="K171" s="71">
        <v>71.680000000000007</v>
      </c>
      <c r="L171" s="73"/>
      <c r="M171" s="72">
        <v>17</v>
      </c>
      <c r="N171" s="46">
        <f t="shared" si="69"/>
        <v>5.0999999999999996</v>
      </c>
      <c r="O171" s="46">
        <f t="shared" si="70"/>
        <v>43.01</v>
      </c>
      <c r="P171" s="46">
        <f t="shared" si="71"/>
        <v>0</v>
      </c>
      <c r="Q171" s="46">
        <f t="shared" si="72"/>
        <v>0</v>
      </c>
      <c r="R171" s="47">
        <f t="shared" si="73"/>
        <v>0.24</v>
      </c>
      <c r="S171" s="47">
        <f t="shared" si="61"/>
        <v>0</v>
      </c>
      <c r="T171" s="46">
        <f t="shared" si="62"/>
        <v>0</v>
      </c>
      <c r="U171" s="46">
        <f t="shared" si="74"/>
        <v>0</v>
      </c>
      <c r="V171" s="72">
        <v>0</v>
      </c>
      <c r="W171" s="46">
        <f t="shared" si="75"/>
        <v>0</v>
      </c>
      <c r="X171" s="22">
        <f t="shared" si="76"/>
        <v>5.0999999999999996</v>
      </c>
      <c r="Y171" s="10">
        <f t="shared" si="77"/>
        <v>76.78</v>
      </c>
      <c r="Z171" s="71">
        <v>183724561.66999999</v>
      </c>
      <c r="AA171" s="72">
        <v>793</v>
      </c>
      <c r="AB171" s="22">
        <f t="shared" si="63"/>
        <v>231682.93</v>
      </c>
      <c r="AC171" s="9">
        <f t="shared" si="64"/>
        <v>0.90320400000000001</v>
      </c>
      <c r="AD171" s="72">
        <v>100547</v>
      </c>
      <c r="AE171" s="9">
        <f t="shared" si="65"/>
        <v>0.72894499999999995</v>
      </c>
      <c r="AF171" s="9">
        <f t="shared" si="84"/>
        <v>0.14907400000000001</v>
      </c>
      <c r="AG171" s="49">
        <f t="shared" si="66"/>
        <v>0.14907400000000001</v>
      </c>
      <c r="AH171" s="50">
        <f t="shared" si="67"/>
        <v>0</v>
      </c>
      <c r="AI171" s="51">
        <f t="shared" si="78"/>
        <v>0.14907400000000001</v>
      </c>
      <c r="AJ171" s="72">
        <v>0</v>
      </c>
      <c r="AK171">
        <v>0</v>
      </c>
      <c r="AL171" s="21">
        <f t="shared" si="79"/>
        <v>0</v>
      </c>
      <c r="AM171" s="72">
        <v>23</v>
      </c>
      <c r="AN171">
        <v>4</v>
      </c>
      <c r="AO171" s="21">
        <f t="shared" si="80"/>
        <v>9200</v>
      </c>
      <c r="AP171" s="21">
        <f t="shared" si="68"/>
        <v>131914</v>
      </c>
      <c r="AQ171" s="21">
        <f t="shared" si="81"/>
        <v>141114</v>
      </c>
      <c r="AR171" s="48">
        <v>237166</v>
      </c>
      <c r="AS171" s="48">
        <f t="shared" si="85"/>
        <v>141114</v>
      </c>
      <c r="AT171" s="72">
        <v>211728</v>
      </c>
      <c r="AU171" s="21">
        <f t="shared" si="86"/>
        <v>70614</v>
      </c>
      <c r="AV171" s="52" t="str">
        <f t="shared" si="88"/>
        <v>No</v>
      </c>
      <c r="AW171" s="48">
        <f t="shared" si="82"/>
        <v>0</v>
      </c>
      <c r="AX171" s="53">
        <f t="shared" si="83"/>
        <v>211728</v>
      </c>
      <c r="AY171" s="54">
        <f t="shared" si="87"/>
        <v>211728</v>
      </c>
      <c r="AZ171" s="76"/>
      <c r="BA171" s="21"/>
      <c r="BD171" s="55"/>
      <c r="BE171" s="55"/>
      <c r="BF171" s="55"/>
      <c r="BG171" s="55"/>
      <c r="BH171" s="55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22</v>
      </c>
      <c r="H172" s="5">
        <v>146</v>
      </c>
      <c r="I172" s="2" t="s">
        <v>225</v>
      </c>
      <c r="J172" s="45"/>
      <c r="K172" s="71">
        <v>3373.62</v>
      </c>
      <c r="L172" s="74"/>
      <c r="M172" s="72">
        <v>1926</v>
      </c>
      <c r="N172" s="46">
        <f t="shared" si="69"/>
        <v>577.79999999999995</v>
      </c>
      <c r="O172" s="46">
        <f t="shared" si="70"/>
        <v>2024.17</v>
      </c>
      <c r="P172" s="46">
        <f t="shared" si="71"/>
        <v>0</v>
      </c>
      <c r="Q172" s="46">
        <f t="shared" si="72"/>
        <v>0</v>
      </c>
      <c r="R172" s="47">
        <f t="shared" si="73"/>
        <v>0.56999999999999995</v>
      </c>
      <c r="S172" s="47">
        <f t="shared" si="61"/>
        <v>0</v>
      </c>
      <c r="T172" s="46">
        <f t="shared" si="62"/>
        <v>0</v>
      </c>
      <c r="U172" s="46">
        <f t="shared" si="74"/>
        <v>0</v>
      </c>
      <c r="V172" s="72">
        <v>138</v>
      </c>
      <c r="W172" s="46">
        <f t="shared" si="75"/>
        <v>34.5</v>
      </c>
      <c r="X172" s="22">
        <f t="shared" si="76"/>
        <v>577.79999999999995</v>
      </c>
      <c r="Y172" s="10">
        <f t="shared" si="77"/>
        <v>3985.92</v>
      </c>
      <c r="Z172" s="71">
        <v>3528753893.3299999</v>
      </c>
      <c r="AA172" s="72">
        <v>30625</v>
      </c>
      <c r="AB172" s="22">
        <f t="shared" si="63"/>
        <v>115224.62</v>
      </c>
      <c r="AC172" s="9">
        <f t="shared" si="64"/>
        <v>0.44919700000000001</v>
      </c>
      <c r="AD172" s="72">
        <v>79875</v>
      </c>
      <c r="AE172" s="9">
        <f t="shared" si="65"/>
        <v>0.57907799999999998</v>
      </c>
      <c r="AF172" s="9">
        <f t="shared" si="84"/>
        <v>0.51183900000000004</v>
      </c>
      <c r="AG172" s="49">
        <f t="shared" si="66"/>
        <v>0.51183900000000004</v>
      </c>
      <c r="AH172" s="50">
        <f t="shared" si="67"/>
        <v>0</v>
      </c>
      <c r="AI172" s="51">
        <f t="shared" si="78"/>
        <v>0.51183900000000004</v>
      </c>
      <c r="AJ172" s="72">
        <v>0</v>
      </c>
      <c r="AK172">
        <v>0</v>
      </c>
      <c r="AL172" s="21">
        <f t="shared" si="79"/>
        <v>0</v>
      </c>
      <c r="AM172" s="72">
        <v>0</v>
      </c>
      <c r="AN172">
        <v>0</v>
      </c>
      <c r="AO172" s="21">
        <f t="shared" si="80"/>
        <v>0</v>
      </c>
      <c r="AP172" s="21">
        <f t="shared" si="68"/>
        <v>23512721</v>
      </c>
      <c r="AQ172" s="21">
        <f t="shared" si="81"/>
        <v>23512721</v>
      </c>
      <c r="AR172" s="48">
        <v>19250233</v>
      </c>
      <c r="AS172" s="48">
        <f t="shared" si="85"/>
        <v>23512721</v>
      </c>
      <c r="AT172" s="72">
        <v>23038115</v>
      </c>
      <c r="AU172" s="21">
        <f t="shared" si="86"/>
        <v>474606</v>
      </c>
      <c r="AV172" s="52" t="str">
        <f t="shared" si="88"/>
        <v>Yes</v>
      </c>
      <c r="AW172" s="48">
        <f t="shared" si="82"/>
        <v>474606</v>
      </c>
      <c r="AX172" s="53">
        <f t="shared" si="83"/>
        <v>23512721</v>
      </c>
      <c r="AY172" s="54">
        <f t="shared" si="87"/>
        <v>23512721</v>
      </c>
      <c r="AZ172" s="76"/>
      <c r="BA172" s="21"/>
      <c r="BD172" s="55"/>
      <c r="BE172" s="55"/>
      <c r="BF172" s="55"/>
      <c r="BG172" s="55"/>
      <c r="BH172" s="55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5"/>
      <c r="K173" s="71">
        <v>280.88</v>
      </c>
      <c r="L173" s="74"/>
      <c r="M173" s="72">
        <v>98</v>
      </c>
      <c r="N173" s="46">
        <f t="shared" si="69"/>
        <v>29.4</v>
      </c>
      <c r="O173" s="46">
        <f t="shared" si="70"/>
        <v>168.53</v>
      </c>
      <c r="P173" s="46">
        <f t="shared" si="71"/>
        <v>0</v>
      </c>
      <c r="Q173" s="46">
        <f t="shared" si="72"/>
        <v>0</v>
      </c>
      <c r="R173" s="47">
        <f t="shared" si="73"/>
        <v>0.35</v>
      </c>
      <c r="S173" s="47">
        <f t="shared" si="61"/>
        <v>0</v>
      </c>
      <c r="T173" s="46">
        <f t="shared" si="62"/>
        <v>0</v>
      </c>
      <c r="U173" s="46">
        <f t="shared" si="74"/>
        <v>0</v>
      </c>
      <c r="V173" s="72">
        <v>9</v>
      </c>
      <c r="W173" s="46">
        <f t="shared" si="75"/>
        <v>2.25</v>
      </c>
      <c r="X173" s="22">
        <f t="shared" si="76"/>
        <v>29.4</v>
      </c>
      <c r="Y173" s="10">
        <f t="shared" si="77"/>
        <v>312.52999999999997</v>
      </c>
      <c r="Z173" s="71">
        <v>432013956</v>
      </c>
      <c r="AA173" s="72">
        <v>2592</v>
      </c>
      <c r="AB173" s="22">
        <f t="shared" si="63"/>
        <v>166672.04999999999</v>
      </c>
      <c r="AC173" s="9">
        <f t="shared" si="64"/>
        <v>0.64976299999999998</v>
      </c>
      <c r="AD173" s="72">
        <v>84250</v>
      </c>
      <c r="AE173" s="9">
        <f t="shared" si="65"/>
        <v>0.61079499999999998</v>
      </c>
      <c r="AF173" s="9">
        <f t="shared" si="84"/>
        <v>0.361927</v>
      </c>
      <c r="AG173" s="49">
        <f t="shared" si="66"/>
        <v>0.361927</v>
      </c>
      <c r="AH173" s="50">
        <f t="shared" si="67"/>
        <v>0</v>
      </c>
      <c r="AI173" s="51">
        <f t="shared" si="78"/>
        <v>0.361927</v>
      </c>
      <c r="AJ173" s="72">
        <v>0</v>
      </c>
      <c r="AK173">
        <v>0</v>
      </c>
      <c r="AL173" s="21">
        <f t="shared" si="79"/>
        <v>0</v>
      </c>
      <c r="AM173" s="72">
        <v>36</v>
      </c>
      <c r="AN173">
        <v>4</v>
      </c>
      <c r="AO173" s="21">
        <f t="shared" si="80"/>
        <v>14400</v>
      </c>
      <c r="AP173" s="21">
        <f t="shared" si="68"/>
        <v>1303628</v>
      </c>
      <c r="AQ173" s="21">
        <f t="shared" si="81"/>
        <v>1318028</v>
      </c>
      <c r="AR173" s="48">
        <v>2502621</v>
      </c>
      <c r="AS173" s="48">
        <f t="shared" si="85"/>
        <v>1318028</v>
      </c>
      <c r="AT173" s="72">
        <v>2117243</v>
      </c>
      <c r="AU173" s="21">
        <f t="shared" si="86"/>
        <v>799215</v>
      </c>
      <c r="AV173" s="52" t="str">
        <f t="shared" si="88"/>
        <v>No</v>
      </c>
      <c r="AW173" s="48">
        <f t="shared" si="82"/>
        <v>0</v>
      </c>
      <c r="AX173" s="53">
        <f t="shared" si="83"/>
        <v>2117243</v>
      </c>
      <c r="AY173" s="54">
        <f t="shared" si="87"/>
        <v>2117243</v>
      </c>
      <c r="AZ173" s="76"/>
      <c r="BA173" s="21"/>
      <c r="BD173" s="55"/>
      <c r="BE173" s="55"/>
      <c r="BF173" s="55"/>
      <c r="BG173" s="55"/>
      <c r="BH173" s="55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5"/>
      <c r="K174" s="71">
        <v>5247.19</v>
      </c>
      <c r="L174" s="73"/>
      <c r="M174" s="72">
        <v>1854</v>
      </c>
      <c r="N174" s="46">
        <f t="shared" si="69"/>
        <v>556.20000000000005</v>
      </c>
      <c r="O174" s="46">
        <f t="shared" si="70"/>
        <v>3148.31</v>
      </c>
      <c r="P174" s="46">
        <f t="shared" si="71"/>
        <v>0</v>
      </c>
      <c r="Q174" s="46">
        <f t="shared" si="72"/>
        <v>0</v>
      </c>
      <c r="R174" s="47">
        <f t="shared" si="73"/>
        <v>0.35</v>
      </c>
      <c r="S174" s="47">
        <f t="shared" si="61"/>
        <v>0</v>
      </c>
      <c r="T174" s="46">
        <f t="shared" si="62"/>
        <v>0</v>
      </c>
      <c r="U174" s="46">
        <f t="shared" si="74"/>
        <v>0</v>
      </c>
      <c r="V174" s="72">
        <v>410</v>
      </c>
      <c r="W174" s="46">
        <f t="shared" si="75"/>
        <v>102.5</v>
      </c>
      <c r="X174" s="22">
        <f t="shared" si="76"/>
        <v>556.20000000000005</v>
      </c>
      <c r="Y174" s="10">
        <f t="shared" si="77"/>
        <v>5905.8899999999994</v>
      </c>
      <c r="Z174" s="71">
        <v>7704386266.6700001</v>
      </c>
      <c r="AA174" s="72">
        <v>44017</v>
      </c>
      <c r="AB174" s="22">
        <f t="shared" si="63"/>
        <v>175032.06</v>
      </c>
      <c r="AC174" s="9">
        <f t="shared" si="64"/>
        <v>0.68235400000000002</v>
      </c>
      <c r="AD174" s="72">
        <v>98465</v>
      </c>
      <c r="AE174" s="9">
        <f t="shared" si="65"/>
        <v>0.71385100000000001</v>
      </c>
      <c r="AF174" s="9">
        <f t="shared" si="84"/>
        <v>0.308197</v>
      </c>
      <c r="AG174" s="49">
        <f t="shared" si="66"/>
        <v>0.308197</v>
      </c>
      <c r="AH174" s="50">
        <f t="shared" si="67"/>
        <v>0</v>
      </c>
      <c r="AI174" s="51">
        <f t="shared" si="78"/>
        <v>0.308197</v>
      </c>
      <c r="AJ174" s="72">
        <v>0</v>
      </c>
      <c r="AK174">
        <v>0</v>
      </c>
      <c r="AL174" s="21">
        <f t="shared" si="79"/>
        <v>0</v>
      </c>
      <c r="AM174" s="72">
        <v>0</v>
      </c>
      <c r="AN174">
        <v>0</v>
      </c>
      <c r="AO174" s="21">
        <f t="shared" si="80"/>
        <v>0</v>
      </c>
      <c r="AP174" s="21">
        <f t="shared" si="68"/>
        <v>20977547</v>
      </c>
      <c r="AQ174" s="21">
        <f t="shared" si="81"/>
        <v>20977547</v>
      </c>
      <c r="AR174" s="48">
        <v>21301522</v>
      </c>
      <c r="AS174" s="48">
        <f t="shared" si="85"/>
        <v>20977547</v>
      </c>
      <c r="AT174" s="72">
        <v>21286162</v>
      </c>
      <c r="AU174" s="21">
        <f t="shared" si="86"/>
        <v>308615</v>
      </c>
      <c r="AV174" s="52" t="str">
        <f t="shared" si="88"/>
        <v>No</v>
      </c>
      <c r="AW174" s="48">
        <f t="shared" si="82"/>
        <v>0</v>
      </c>
      <c r="AX174" s="53">
        <f t="shared" si="83"/>
        <v>21286162</v>
      </c>
      <c r="AY174" s="54">
        <f t="shared" si="87"/>
        <v>21286162</v>
      </c>
      <c r="AZ174" s="76"/>
      <c r="BA174" s="21"/>
      <c r="BD174" s="55"/>
      <c r="BE174" s="55"/>
      <c r="BF174" s="55"/>
      <c r="BG174" s="55"/>
      <c r="BH174" s="55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5"/>
      <c r="K175" s="71">
        <v>122.67</v>
      </c>
      <c r="L175" s="73"/>
      <c r="M175" s="72">
        <v>29</v>
      </c>
      <c r="N175" s="46">
        <f t="shared" si="69"/>
        <v>8.6999999999999993</v>
      </c>
      <c r="O175" s="46">
        <f t="shared" si="70"/>
        <v>73.599999999999994</v>
      </c>
      <c r="P175" s="46">
        <f t="shared" si="71"/>
        <v>0</v>
      </c>
      <c r="Q175" s="46">
        <f t="shared" si="72"/>
        <v>0</v>
      </c>
      <c r="R175" s="47">
        <f t="shared" si="73"/>
        <v>0.24</v>
      </c>
      <c r="S175" s="47">
        <f t="shared" si="61"/>
        <v>0</v>
      </c>
      <c r="T175" s="46">
        <f t="shared" si="62"/>
        <v>0</v>
      </c>
      <c r="U175" s="46">
        <f t="shared" si="74"/>
        <v>0</v>
      </c>
      <c r="V175" s="72">
        <v>0</v>
      </c>
      <c r="W175" s="46">
        <f t="shared" si="75"/>
        <v>0</v>
      </c>
      <c r="X175" s="22">
        <f t="shared" si="76"/>
        <v>8.6999999999999993</v>
      </c>
      <c r="Y175" s="10">
        <f t="shared" si="77"/>
        <v>131.37</v>
      </c>
      <c r="Z175" s="71">
        <v>750166320.33000004</v>
      </c>
      <c r="AA175" s="72">
        <v>1352</v>
      </c>
      <c r="AB175" s="22">
        <f t="shared" si="63"/>
        <v>554856.75</v>
      </c>
      <c r="AC175" s="9">
        <f t="shared" si="64"/>
        <v>2.1630820000000002</v>
      </c>
      <c r="AD175" s="72">
        <v>130156</v>
      </c>
      <c r="AE175" s="9">
        <f t="shared" si="65"/>
        <v>0.94360500000000003</v>
      </c>
      <c r="AF175" s="9">
        <f t="shared" si="84"/>
        <v>-0.79723900000000003</v>
      </c>
      <c r="AG175" s="49">
        <f t="shared" si="66"/>
        <v>0.01</v>
      </c>
      <c r="AH175" s="50">
        <f t="shared" si="67"/>
        <v>0</v>
      </c>
      <c r="AI175" s="51">
        <f t="shared" si="78"/>
        <v>0.01</v>
      </c>
      <c r="AJ175" s="72">
        <v>122</v>
      </c>
      <c r="AK175">
        <v>13</v>
      </c>
      <c r="AL175" s="21">
        <f t="shared" si="79"/>
        <v>158600</v>
      </c>
      <c r="AM175" s="72">
        <v>0</v>
      </c>
      <c r="AN175">
        <v>0</v>
      </c>
      <c r="AO175" s="21">
        <f t="shared" si="80"/>
        <v>0</v>
      </c>
      <c r="AP175" s="21">
        <f t="shared" si="68"/>
        <v>15140</v>
      </c>
      <c r="AQ175" s="21">
        <f t="shared" si="81"/>
        <v>173740</v>
      </c>
      <c r="AR175" s="48">
        <v>33205</v>
      </c>
      <c r="AS175" s="48">
        <f t="shared" si="85"/>
        <v>173740</v>
      </c>
      <c r="AT175" s="72">
        <v>137212</v>
      </c>
      <c r="AU175" s="21">
        <f t="shared" si="86"/>
        <v>36528</v>
      </c>
      <c r="AV175" s="52" t="str">
        <f t="shared" si="88"/>
        <v>Yes</v>
      </c>
      <c r="AW175" s="48">
        <f t="shared" si="82"/>
        <v>36528</v>
      </c>
      <c r="AX175" s="53">
        <f t="shared" si="83"/>
        <v>173740</v>
      </c>
      <c r="AY175" s="54">
        <f t="shared" si="87"/>
        <v>173740</v>
      </c>
      <c r="AZ175" s="76"/>
      <c r="BA175" s="21"/>
      <c r="BD175" s="55"/>
      <c r="BE175" s="55"/>
      <c r="BF175" s="55"/>
      <c r="BG175" s="55"/>
      <c r="BH175" s="55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5"/>
      <c r="K176" s="71">
        <v>239.58</v>
      </c>
      <c r="L176" s="73"/>
      <c r="M176" s="72">
        <v>68</v>
      </c>
      <c r="N176" s="46">
        <f t="shared" si="69"/>
        <v>20.399999999999999</v>
      </c>
      <c r="O176" s="46">
        <f t="shared" si="70"/>
        <v>143.75</v>
      </c>
      <c r="P176" s="46">
        <f t="shared" si="71"/>
        <v>0</v>
      </c>
      <c r="Q176" s="46">
        <f t="shared" si="72"/>
        <v>0</v>
      </c>
      <c r="R176" s="47">
        <f t="shared" si="73"/>
        <v>0.28000000000000003</v>
      </c>
      <c r="S176" s="47">
        <f t="shared" si="61"/>
        <v>0</v>
      </c>
      <c r="T176" s="46">
        <f t="shared" si="62"/>
        <v>0</v>
      </c>
      <c r="U176" s="46">
        <f t="shared" si="74"/>
        <v>0</v>
      </c>
      <c r="V176" s="72">
        <v>12</v>
      </c>
      <c r="W176" s="46">
        <f t="shared" si="75"/>
        <v>3</v>
      </c>
      <c r="X176" s="22">
        <f t="shared" si="76"/>
        <v>20.399999999999999</v>
      </c>
      <c r="Y176" s="10">
        <f t="shared" si="77"/>
        <v>262.98</v>
      </c>
      <c r="Z176" s="71">
        <v>2612155965</v>
      </c>
      <c r="AA176" s="72">
        <v>3666</v>
      </c>
      <c r="AB176" s="22">
        <f t="shared" si="63"/>
        <v>712535.72</v>
      </c>
      <c r="AC176" s="9">
        <f t="shared" si="64"/>
        <v>2.7777850000000002</v>
      </c>
      <c r="AD176" s="72">
        <v>85709</v>
      </c>
      <c r="AE176" s="9">
        <f t="shared" si="65"/>
        <v>0.62137299999999995</v>
      </c>
      <c r="AF176" s="9">
        <f t="shared" si="84"/>
        <v>-1.1308609999999999</v>
      </c>
      <c r="AG176" s="49">
        <f t="shared" si="66"/>
        <v>0.01</v>
      </c>
      <c r="AH176" s="50">
        <f t="shared" si="67"/>
        <v>0</v>
      </c>
      <c r="AI176" s="51">
        <f t="shared" si="78"/>
        <v>0.01</v>
      </c>
      <c r="AJ176" s="72">
        <v>236</v>
      </c>
      <c r="AK176">
        <v>13</v>
      </c>
      <c r="AL176" s="21">
        <f t="shared" si="79"/>
        <v>306800</v>
      </c>
      <c r="AM176" s="72">
        <v>0</v>
      </c>
      <c r="AN176">
        <v>0</v>
      </c>
      <c r="AO176" s="21">
        <f t="shared" si="80"/>
        <v>0</v>
      </c>
      <c r="AP176" s="21">
        <f t="shared" si="68"/>
        <v>30308</v>
      </c>
      <c r="AQ176" s="21">
        <f t="shared" si="81"/>
        <v>337108</v>
      </c>
      <c r="AR176" s="48">
        <v>50646</v>
      </c>
      <c r="AS176" s="48">
        <f t="shared" si="85"/>
        <v>337108</v>
      </c>
      <c r="AT176" s="72">
        <v>283590</v>
      </c>
      <c r="AU176" s="21">
        <f t="shared" si="86"/>
        <v>53518</v>
      </c>
      <c r="AV176" s="52" t="str">
        <f t="shared" si="88"/>
        <v>Yes</v>
      </c>
      <c r="AW176" s="48">
        <f t="shared" si="82"/>
        <v>53518</v>
      </c>
      <c r="AX176" s="53">
        <f t="shared" si="83"/>
        <v>337108</v>
      </c>
      <c r="AY176" s="54">
        <f t="shared" si="87"/>
        <v>337108</v>
      </c>
      <c r="AZ176" s="76"/>
      <c r="BA176" s="21"/>
      <c r="BD176" s="55"/>
      <c r="BE176" s="55"/>
      <c r="BF176" s="55"/>
      <c r="BG176" s="55"/>
      <c r="BH176" s="55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5"/>
      <c r="K177" s="71">
        <v>18575.34</v>
      </c>
      <c r="L177" s="74"/>
      <c r="M177" s="72">
        <v>14781</v>
      </c>
      <c r="N177" s="46">
        <f t="shared" si="69"/>
        <v>4434.3</v>
      </c>
      <c r="O177" s="46">
        <f t="shared" si="70"/>
        <v>11145.2</v>
      </c>
      <c r="P177" s="46">
        <f t="shared" si="71"/>
        <v>3635.7999999999993</v>
      </c>
      <c r="Q177" s="46">
        <f t="shared" si="72"/>
        <v>545.37</v>
      </c>
      <c r="R177" s="47">
        <f t="shared" si="73"/>
        <v>0.8</v>
      </c>
      <c r="S177" s="47">
        <f t="shared" si="61"/>
        <v>0.20000000000000007</v>
      </c>
      <c r="T177" s="46">
        <f t="shared" si="62"/>
        <v>3715.07</v>
      </c>
      <c r="U177" s="46">
        <f t="shared" si="74"/>
        <v>557.26</v>
      </c>
      <c r="V177" s="72">
        <v>3950</v>
      </c>
      <c r="W177" s="46">
        <f t="shared" si="75"/>
        <v>987.5</v>
      </c>
      <c r="X177" s="22">
        <f t="shared" si="76"/>
        <v>4434.3</v>
      </c>
      <c r="Y177" s="10">
        <f t="shared" si="77"/>
        <v>24542.51</v>
      </c>
      <c r="Z177" s="71">
        <v>9991386442.6700001</v>
      </c>
      <c r="AA177" s="72">
        <v>115016</v>
      </c>
      <c r="AB177" s="22">
        <f t="shared" si="63"/>
        <v>86869.54</v>
      </c>
      <c r="AC177" s="9">
        <f t="shared" si="64"/>
        <v>0.33865699999999999</v>
      </c>
      <c r="AD177" s="72">
        <v>51451</v>
      </c>
      <c r="AE177" s="9">
        <f t="shared" si="65"/>
        <v>0.37300899999999998</v>
      </c>
      <c r="AF177" s="9">
        <f t="shared" si="84"/>
        <v>0.65103699999999998</v>
      </c>
      <c r="AG177" s="49">
        <f t="shared" si="66"/>
        <v>0.65103699999999998</v>
      </c>
      <c r="AH177" s="50">
        <f t="shared" si="67"/>
        <v>0.06</v>
      </c>
      <c r="AI177" s="51">
        <f t="shared" si="78"/>
        <v>0.71103699999999992</v>
      </c>
      <c r="AJ177" s="72">
        <v>0</v>
      </c>
      <c r="AK177">
        <v>0</v>
      </c>
      <c r="AL177" s="21">
        <f t="shared" si="79"/>
        <v>0</v>
      </c>
      <c r="AM177" s="72">
        <v>0</v>
      </c>
      <c r="AN177">
        <v>0</v>
      </c>
      <c r="AO177" s="21">
        <f t="shared" si="80"/>
        <v>0</v>
      </c>
      <c r="AP177" s="21">
        <f t="shared" si="68"/>
        <v>201118542</v>
      </c>
      <c r="AQ177" s="21">
        <f t="shared" si="81"/>
        <v>201118542</v>
      </c>
      <c r="AR177" s="48">
        <v>133606066</v>
      </c>
      <c r="AS177" s="48">
        <f t="shared" si="85"/>
        <v>201118542</v>
      </c>
      <c r="AT177" s="72">
        <v>190361064</v>
      </c>
      <c r="AU177" s="21">
        <f t="shared" si="86"/>
        <v>10757478</v>
      </c>
      <c r="AV177" s="52" t="str">
        <f t="shared" si="88"/>
        <v>Yes</v>
      </c>
      <c r="AW177" s="48">
        <f t="shared" si="82"/>
        <v>10757478</v>
      </c>
      <c r="AX177" s="53">
        <f t="shared" si="83"/>
        <v>201118542</v>
      </c>
      <c r="AY177" s="54">
        <f t="shared" si="87"/>
        <v>201118542</v>
      </c>
      <c r="AZ177" s="76"/>
      <c r="BA177" s="21"/>
      <c r="BD177" s="55"/>
      <c r="BE177" s="55"/>
      <c r="BF177" s="55"/>
      <c r="BG177" s="55"/>
      <c r="BH177" s="55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5"/>
      <c r="K178" s="71">
        <v>2438.33</v>
      </c>
      <c r="L178" s="73"/>
      <c r="M178" s="72">
        <v>820</v>
      </c>
      <c r="N178" s="46">
        <f t="shared" si="69"/>
        <v>246</v>
      </c>
      <c r="O178" s="46">
        <f t="shared" si="70"/>
        <v>1463</v>
      </c>
      <c r="P178" s="46">
        <f t="shared" si="71"/>
        <v>0</v>
      </c>
      <c r="Q178" s="46">
        <f t="shared" si="72"/>
        <v>0</v>
      </c>
      <c r="R178" s="47">
        <f t="shared" si="73"/>
        <v>0.34</v>
      </c>
      <c r="S178" s="47">
        <f t="shared" si="61"/>
        <v>0</v>
      </c>
      <c r="T178" s="46">
        <f t="shared" si="62"/>
        <v>0</v>
      </c>
      <c r="U178" s="46">
        <f t="shared" si="74"/>
        <v>0</v>
      </c>
      <c r="V178" s="72">
        <v>149</v>
      </c>
      <c r="W178" s="46">
        <f t="shared" si="75"/>
        <v>37.25</v>
      </c>
      <c r="X178" s="22">
        <f t="shared" si="76"/>
        <v>246</v>
      </c>
      <c r="Y178" s="10">
        <f t="shared" si="77"/>
        <v>2721.58</v>
      </c>
      <c r="Z178" s="71">
        <v>5987635582.6700001</v>
      </c>
      <c r="AA178" s="72">
        <v>19603</v>
      </c>
      <c r="AB178" s="22">
        <f t="shared" si="63"/>
        <v>305444.86</v>
      </c>
      <c r="AC178" s="9">
        <f t="shared" si="64"/>
        <v>1.1907620000000001</v>
      </c>
      <c r="AD178" s="72">
        <v>102906</v>
      </c>
      <c r="AE178" s="9">
        <f t="shared" si="65"/>
        <v>0.74604800000000004</v>
      </c>
      <c r="AF178" s="9">
        <f t="shared" si="84"/>
        <v>-5.7348000000000003E-2</v>
      </c>
      <c r="AG178" s="49">
        <f t="shared" si="66"/>
        <v>0.01</v>
      </c>
      <c r="AH178" s="50">
        <f t="shared" si="67"/>
        <v>0</v>
      </c>
      <c r="AI178" s="51">
        <f t="shared" si="78"/>
        <v>0.01</v>
      </c>
      <c r="AJ178" s="72">
        <v>0</v>
      </c>
      <c r="AK178">
        <v>0</v>
      </c>
      <c r="AL178" s="21">
        <f t="shared" si="79"/>
        <v>0</v>
      </c>
      <c r="AM178" s="72">
        <v>0</v>
      </c>
      <c r="AN178">
        <v>0</v>
      </c>
      <c r="AO178" s="21">
        <f t="shared" si="80"/>
        <v>0</v>
      </c>
      <c r="AP178" s="21">
        <f t="shared" si="68"/>
        <v>313662</v>
      </c>
      <c r="AQ178" s="21">
        <f t="shared" si="81"/>
        <v>313662</v>
      </c>
      <c r="AR178" s="48">
        <v>321279</v>
      </c>
      <c r="AS178" s="48">
        <f t="shared" si="85"/>
        <v>313662</v>
      </c>
      <c r="AT178" s="72">
        <v>326444</v>
      </c>
      <c r="AU178" s="21">
        <f t="shared" si="86"/>
        <v>12782</v>
      </c>
      <c r="AV178" s="52" t="str">
        <f t="shared" si="88"/>
        <v>No</v>
      </c>
      <c r="AW178" s="48">
        <f t="shared" si="82"/>
        <v>0</v>
      </c>
      <c r="AX178" s="53">
        <f t="shared" si="83"/>
        <v>326444</v>
      </c>
      <c r="AY178" s="54">
        <f t="shared" si="87"/>
        <v>326444</v>
      </c>
      <c r="AZ178" s="76"/>
      <c r="BA178" s="21"/>
      <c r="BD178" s="55"/>
      <c r="BE178" s="55"/>
      <c r="BF178" s="55"/>
      <c r="BG178" s="55"/>
      <c r="BH178" s="55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5"/>
      <c r="K179" s="71">
        <v>2660.72</v>
      </c>
      <c r="L179" s="73"/>
      <c r="M179" s="72">
        <v>1090</v>
      </c>
      <c r="N179" s="46">
        <f t="shared" si="69"/>
        <v>327</v>
      </c>
      <c r="O179" s="46">
        <f t="shared" si="70"/>
        <v>1596.43</v>
      </c>
      <c r="P179" s="46">
        <f t="shared" si="71"/>
        <v>0</v>
      </c>
      <c r="Q179" s="46">
        <f t="shared" si="72"/>
        <v>0</v>
      </c>
      <c r="R179" s="47">
        <f t="shared" si="73"/>
        <v>0.41</v>
      </c>
      <c r="S179" s="47">
        <f t="shared" si="61"/>
        <v>0</v>
      </c>
      <c r="T179" s="46">
        <f t="shared" si="62"/>
        <v>0</v>
      </c>
      <c r="U179" s="46">
        <f t="shared" si="74"/>
        <v>0</v>
      </c>
      <c r="V179" s="72">
        <v>133</v>
      </c>
      <c r="W179" s="46">
        <f t="shared" si="75"/>
        <v>33.25</v>
      </c>
      <c r="X179" s="22">
        <f t="shared" si="76"/>
        <v>327</v>
      </c>
      <c r="Y179" s="10">
        <f t="shared" si="77"/>
        <v>3020.97</v>
      </c>
      <c r="Z179" s="71">
        <v>3601085467.6700001</v>
      </c>
      <c r="AA179" s="72">
        <v>22183</v>
      </c>
      <c r="AB179" s="22">
        <f t="shared" si="63"/>
        <v>162335.37</v>
      </c>
      <c r="AC179" s="9">
        <f t="shared" si="64"/>
        <v>0.63285599999999997</v>
      </c>
      <c r="AD179" s="72">
        <v>84536</v>
      </c>
      <c r="AE179" s="9">
        <f t="shared" si="65"/>
        <v>0.612869</v>
      </c>
      <c r="AF179" s="9">
        <f t="shared" si="84"/>
        <v>0.37314000000000003</v>
      </c>
      <c r="AG179" s="49">
        <f t="shared" si="66"/>
        <v>0.37314000000000003</v>
      </c>
      <c r="AH179" s="50">
        <f t="shared" si="67"/>
        <v>0</v>
      </c>
      <c r="AI179" s="51">
        <f t="shared" si="78"/>
        <v>0.37314000000000003</v>
      </c>
      <c r="AJ179" s="72">
        <v>0</v>
      </c>
      <c r="AK179">
        <v>0</v>
      </c>
      <c r="AL179" s="21">
        <f t="shared" si="79"/>
        <v>0</v>
      </c>
      <c r="AM179" s="72">
        <v>0</v>
      </c>
      <c r="AN179">
        <v>0</v>
      </c>
      <c r="AO179" s="21">
        <f t="shared" si="80"/>
        <v>0</v>
      </c>
      <c r="AP179" s="21">
        <f t="shared" si="68"/>
        <v>12991496</v>
      </c>
      <c r="AQ179" s="21">
        <f t="shared" si="81"/>
        <v>12991496</v>
      </c>
      <c r="AR179" s="48">
        <v>11753175</v>
      </c>
      <c r="AS179" s="48">
        <f t="shared" si="85"/>
        <v>12991496</v>
      </c>
      <c r="AT179" s="72">
        <v>12747426</v>
      </c>
      <c r="AU179" s="21">
        <f t="shared" si="86"/>
        <v>244070</v>
      </c>
      <c r="AV179" s="52" t="str">
        <f t="shared" si="88"/>
        <v>Yes</v>
      </c>
      <c r="AW179" s="48">
        <f t="shared" si="82"/>
        <v>244070</v>
      </c>
      <c r="AX179" s="53">
        <f t="shared" si="83"/>
        <v>12991496</v>
      </c>
      <c r="AY179" s="54">
        <f t="shared" si="87"/>
        <v>12991496</v>
      </c>
      <c r="AZ179" s="76"/>
      <c r="BA179" s="21"/>
      <c r="BD179" s="55"/>
      <c r="BE179" s="55"/>
      <c r="BF179" s="55"/>
      <c r="BG179" s="55"/>
      <c r="BH179" s="55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5"/>
      <c r="K180" s="71">
        <v>600.66</v>
      </c>
      <c r="L180" s="73"/>
      <c r="M180" s="72">
        <v>243</v>
      </c>
      <c r="N180" s="46">
        <f t="shared" si="69"/>
        <v>72.900000000000006</v>
      </c>
      <c r="O180" s="46">
        <f t="shared" si="70"/>
        <v>360.4</v>
      </c>
      <c r="P180" s="46">
        <f t="shared" si="71"/>
        <v>0</v>
      </c>
      <c r="Q180" s="46">
        <f t="shared" si="72"/>
        <v>0</v>
      </c>
      <c r="R180" s="47">
        <f t="shared" si="73"/>
        <v>0.4</v>
      </c>
      <c r="S180" s="47">
        <f t="shared" si="61"/>
        <v>0</v>
      </c>
      <c r="T180" s="46">
        <f t="shared" si="62"/>
        <v>0</v>
      </c>
      <c r="U180" s="46">
        <f t="shared" si="74"/>
        <v>0</v>
      </c>
      <c r="V180" s="72">
        <v>95</v>
      </c>
      <c r="W180" s="46">
        <f t="shared" si="75"/>
        <v>23.75</v>
      </c>
      <c r="X180" s="22">
        <f t="shared" si="76"/>
        <v>72.900000000000006</v>
      </c>
      <c r="Y180" s="10">
        <f t="shared" si="77"/>
        <v>697.31</v>
      </c>
      <c r="Z180" s="71">
        <v>2282732041.6700001</v>
      </c>
      <c r="AA180" s="72">
        <v>6860</v>
      </c>
      <c r="AB180" s="22">
        <f t="shared" si="63"/>
        <v>332759.77</v>
      </c>
      <c r="AC180" s="9">
        <f t="shared" si="64"/>
        <v>1.297248</v>
      </c>
      <c r="AD180" s="72">
        <v>76779</v>
      </c>
      <c r="AE180" s="9">
        <f t="shared" si="65"/>
        <v>0.55663200000000002</v>
      </c>
      <c r="AF180" s="9">
        <f t="shared" si="84"/>
        <v>-7.5063000000000005E-2</v>
      </c>
      <c r="AG180" s="49">
        <f t="shared" si="66"/>
        <v>0.01</v>
      </c>
      <c r="AH180" s="50">
        <f t="shared" si="67"/>
        <v>0</v>
      </c>
      <c r="AI180" s="51">
        <f t="shared" si="78"/>
        <v>0.01</v>
      </c>
      <c r="AJ180" s="72">
        <v>0</v>
      </c>
      <c r="AK180">
        <v>0</v>
      </c>
      <c r="AL180" s="21">
        <f t="shared" si="79"/>
        <v>0</v>
      </c>
      <c r="AM180" s="72">
        <v>0</v>
      </c>
      <c r="AN180">
        <v>0</v>
      </c>
      <c r="AO180" s="21">
        <f t="shared" si="80"/>
        <v>0</v>
      </c>
      <c r="AP180" s="21">
        <f t="shared" si="68"/>
        <v>80365</v>
      </c>
      <c r="AQ180" s="21">
        <f t="shared" si="81"/>
        <v>80365</v>
      </c>
      <c r="AR180" s="48">
        <v>70393</v>
      </c>
      <c r="AS180" s="48">
        <f t="shared" si="85"/>
        <v>80365</v>
      </c>
      <c r="AT180" s="72">
        <v>78973</v>
      </c>
      <c r="AU180" s="21">
        <f t="shared" si="86"/>
        <v>1392</v>
      </c>
      <c r="AV180" s="52" t="str">
        <f t="shared" si="88"/>
        <v>Yes</v>
      </c>
      <c r="AW180" s="48">
        <f t="shared" si="82"/>
        <v>1392</v>
      </c>
      <c r="AX180" s="53">
        <f t="shared" si="83"/>
        <v>80365</v>
      </c>
      <c r="AY180" s="54">
        <f t="shared" si="87"/>
        <v>80365</v>
      </c>
      <c r="AZ180" s="76"/>
      <c r="BA180" s="21"/>
      <c r="BD180" s="55"/>
      <c r="BE180" s="55"/>
      <c r="BF180" s="55"/>
      <c r="BG180" s="55"/>
      <c r="BH180" s="55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5"/>
      <c r="K181" s="71">
        <v>9323.98</v>
      </c>
      <c r="L181" s="73"/>
      <c r="M181" s="72">
        <v>2518</v>
      </c>
      <c r="N181" s="46">
        <f t="shared" si="69"/>
        <v>755.4</v>
      </c>
      <c r="O181" s="46">
        <f t="shared" si="70"/>
        <v>5594.39</v>
      </c>
      <c r="P181" s="46">
        <f t="shared" si="71"/>
        <v>0</v>
      </c>
      <c r="Q181" s="46">
        <f t="shared" si="72"/>
        <v>0</v>
      </c>
      <c r="R181" s="47">
        <f t="shared" si="73"/>
        <v>0.27</v>
      </c>
      <c r="S181" s="47">
        <f t="shared" si="61"/>
        <v>0</v>
      </c>
      <c r="T181" s="46">
        <f t="shared" si="62"/>
        <v>0</v>
      </c>
      <c r="U181" s="46">
        <f t="shared" si="74"/>
        <v>0</v>
      </c>
      <c r="V181" s="72">
        <v>797</v>
      </c>
      <c r="W181" s="46">
        <f t="shared" si="75"/>
        <v>199.25</v>
      </c>
      <c r="X181" s="22">
        <f t="shared" si="76"/>
        <v>755.4</v>
      </c>
      <c r="Y181" s="10">
        <f t="shared" si="77"/>
        <v>10278.629999999999</v>
      </c>
      <c r="Z181" s="71">
        <v>12109296459</v>
      </c>
      <c r="AA181" s="72">
        <v>64271</v>
      </c>
      <c r="AB181" s="22">
        <f t="shared" si="63"/>
        <v>188409.96</v>
      </c>
      <c r="AC181" s="9">
        <f t="shared" si="64"/>
        <v>0.73450700000000002</v>
      </c>
      <c r="AD181" s="72">
        <v>124150</v>
      </c>
      <c r="AE181" s="9">
        <f t="shared" si="65"/>
        <v>0.90006200000000003</v>
      </c>
      <c r="AF181" s="9">
        <f t="shared" si="84"/>
        <v>0.21582699999999999</v>
      </c>
      <c r="AG181" s="49">
        <f t="shared" si="66"/>
        <v>0.21582699999999999</v>
      </c>
      <c r="AH181" s="50">
        <f t="shared" si="67"/>
        <v>0</v>
      </c>
      <c r="AI181" s="51">
        <f t="shared" si="78"/>
        <v>0.21582699999999999</v>
      </c>
      <c r="AJ181" s="72">
        <v>0</v>
      </c>
      <c r="AK181">
        <v>0</v>
      </c>
      <c r="AL181" s="21">
        <f t="shared" si="79"/>
        <v>0</v>
      </c>
      <c r="AM181" s="72">
        <v>0</v>
      </c>
      <c r="AN181">
        <v>0</v>
      </c>
      <c r="AO181" s="21">
        <f t="shared" si="80"/>
        <v>0</v>
      </c>
      <c r="AP181" s="21">
        <f t="shared" si="68"/>
        <v>25567128</v>
      </c>
      <c r="AQ181" s="21">
        <f t="shared" si="81"/>
        <v>25567128</v>
      </c>
      <c r="AR181" s="48">
        <v>20961352</v>
      </c>
      <c r="AS181" s="48">
        <f t="shared" si="85"/>
        <v>25567128</v>
      </c>
      <c r="AT181" s="72">
        <v>25084678</v>
      </c>
      <c r="AU181" s="21">
        <f t="shared" si="86"/>
        <v>482450</v>
      </c>
      <c r="AV181" s="52" t="str">
        <f t="shared" si="88"/>
        <v>Yes</v>
      </c>
      <c r="AW181" s="48">
        <f t="shared" si="82"/>
        <v>482450</v>
      </c>
      <c r="AX181" s="53">
        <f t="shared" si="83"/>
        <v>25567128</v>
      </c>
      <c r="AY181" s="54">
        <f t="shared" si="87"/>
        <v>25567128</v>
      </c>
      <c r="AZ181" s="76"/>
      <c r="BA181" s="21"/>
      <c r="BD181" s="55"/>
      <c r="BE181" s="55"/>
      <c r="BF181" s="55"/>
      <c r="BG181" s="55"/>
      <c r="BH181" s="55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14</v>
      </c>
      <c r="H182" s="5">
        <v>156</v>
      </c>
      <c r="I182" s="2" t="s">
        <v>235</v>
      </c>
      <c r="J182" s="45"/>
      <c r="K182" s="71">
        <v>6874.5</v>
      </c>
      <c r="L182" s="74"/>
      <c r="M182" s="72">
        <v>4030</v>
      </c>
      <c r="N182" s="46">
        <f t="shared" si="69"/>
        <v>1209</v>
      </c>
      <c r="O182" s="46">
        <f t="shared" si="70"/>
        <v>4124.7</v>
      </c>
      <c r="P182" s="46">
        <f t="shared" si="71"/>
        <v>0</v>
      </c>
      <c r="Q182" s="46">
        <f t="shared" si="72"/>
        <v>0</v>
      </c>
      <c r="R182" s="47">
        <f t="shared" si="73"/>
        <v>0.59</v>
      </c>
      <c r="S182" s="47">
        <f t="shared" si="61"/>
        <v>0</v>
      </c>
      <c r="T182" s="46">
        <f t="shared" si="62"/>
        <v>0</v>
      </c>
      <c r="U182" s="46">
        <f t="shared" si="74"/>
        <v>0</v>
      </c>
      <c r="V182" s="72">
        <v>1488</v>
      </c>
      <c r="W182" s="46">
        <f t="shared" si="75"/>
        <v>372</v>
      </c>
      <c r="X182" s="22">
        <f t="shared" si="76"/>
        <v>1209</v>
      </c>
      <c r="Y182" s="10">
        <f t="shared" si="77"/>
        <v>8455.5</v>
      </c>
      <c r="Z182" s="71">
        <v>5565402536</v>
      </c>
      <c r="AA182" s="72">
        <v>55004</v>
      </c>
      <c r="AB182" s="22">
        <f t="shared" si="63"/>
        <v>101181.78</v>
      </c>
      <c r="AC182" s="9">
        <f t="shared" si="64"/>
        <v>0.39445200000000002</v>
      </c>
      <c r="AD182" s="72">
        <v>72827</v>
      </c>
      <c r="AE182" s="9">
        <f t="shared" si="65"/>
        <v>0.52798100000000003</v>
      </c>
      <c r="AF182" s="9">
        <f t="shared" si="84"/>
        <v>0.56548900000000002</v>
      </c>
      <c r="AG182" s="49">
        <f t="shared" si="66"/>
        <v>0.56548900000000002</v>
      </c>
      <c r="AH182" s="50">
        <f t="shared" si="67"/>
        <v>0.04</v>
      </c>
      <c r="AI182" s="51">
        <f t="shared" si="78"/>
        <v>0.60548900000000005</v>
      </c>
      <c r="AJ182" s="72">
        <v>0</v>
      </c>
      <c r="AK182">
        <v>0</v>
      </c>
      <c r="AL182" s="21">
        <f t="shared" si="79"/>
        <v>0</v>
      </c>
      <c r="AM182" s="72">
        <v>0</v>
      </c>
      <c r="AN182">
        <v>0</v>
      </c>
      <c r="AO182" s="21">
        <f t="shared" si="80"/>
        <v>0</v>
      </c>
      <c r="AP182" s="21">
        <f t="shared" si="68"/>
        <v>59004684</v>
      </c>
      <c r="AQ182" s="21">
        <f t="shared" si="81"/>
        <v>59004684</v>
      </c>
      <c r="AR182" s="48">
        <v>45140487</v>
      </c>
      <c r="AS182" s="48">
        <f t="shared" si="85"/>
        <v>59004684</v>
      </c>
      <c r="AT182" s="72">
        <v>56011585</v>
      </c>
      <c r="AU182" s="21">
        <f t="shared" si="86"/>
        <v>2993099</v>
      </c>
      <c r="AV182" s="52" t="str">
        <f t="shared" si="88"/>
        <v>Yes</v>
      </c>
      <c r="AW182" s="48">
        <f t="shared" si="82"/>
        <v>2993099</v>
      </c>
      <c r="AX182" s="53">
        <f t="shared" si="83"/>
        <v>59004684</v>
      </c>
      <c r="AY182" s="54">
        <f t="shared" si="87"/>
        <v>59004684</v>
      </c>
      <c r="AZ182" s="76"/>
      <c r="BA182" s="21"/>
      <c r="BD182" s="55"/>
      <c r="BE182" s="55"/>
      <c r="BF182" s="55"/>
      <c r="BG182" s="55"/>
      <c r="BH182" s="55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5"/>
      <c r="K183" s="71">
        <v>2052.1999999999998</v>
      </c>
      <c r="L183" s="73"/>
      <c r="M183" s="72">
        <v>37</v>
      </c>
      <c r="N183" s="46">
        <f t="shared" si="69"/>
        <v>11.1</v>
      </c>
      <c r="O183" s="46">
        <f t="shared" si="70"/>
        <v>1231.32</v>
      </c>
      <c r="P183" s="46">
        <f t="shared" si="71"/>
        <v>0</v>
      </c>
      <c r="Q183" s="46">
        <f t="shared" si="72"/>
        <v>0</v>
      </c>
      <c r="R183" s="47">
        <f t="shared" si="73"/>
        <v>0.02</v>
      </c>
      <c r="S183" s="47">
        <f t="shared" si="61"/>
        <v>0</v>
      </c>
      <c r="T183" s="46">
        <f t="shared" si="62"/>
        <v>0</v>
      </c>
      <c r="U183" s="46">
        <f t="shared" si="74"/>
        <v>0</v>
      </c>
      <c r="V183" s="72">
        <v>27</v>
      </c>
      <c r="W183" s="46">
        <f t="shared" si="75"/>
        <v>6.75</v>
      </c>
      <c r="X183" s="22">
        <f t="shared" si="76"/>
        <v>11.1</v>
      </c>
      <c r="Y183" s="10">
        <f t="shared" si="77"/>
        <v>2070.0499999999997</v>
      </c>
      <c r="Z183" s="71">
        <v>4409643368.3299999</v>
      </c>
      <c r="AA183" s="72">
        <v>10354</v>
      </c>
      <c r="AB183" s="22">
        <f t="shared" si="63"/>
        <v>425887.9</v>
      </c>
      <c r="AC183" s="9">
        <f t="shared" si="64"/>
        <v>1.6603030000000001</v>
      </c>
      <c r="AD183" s="72">
        <v>220754</v>
      </c>
      <c r="AE183" s="9">
        <f t="shared" si="65"/>
        <v>1.600422</v>
      </c>
      <c r="AF183" s="9">
        <f t="shared" si="84"/>
        <v>-0.64233899999999999</v>
      </c>
      <c r="AG183" s="49">
        <f t="shared" si="66"/>
        <v>0.01</v>
      </c>
      <c r="AH183" s="50">
        <f t="shared" si="67"/>
        <v>0</v>
      </c>
      <c r="AI183" s="51">
        <f t="shared" si="78"/>
        <v>0.01</v>
      </c>
      <c r="AJ183" s="72">
        <v>0</v>
      </c>
      <c r="AK183">
        <v>0</v>
      </c>
      <c r="AL183" s="21">
        <f t="shared" si="79"/>
        <v>0</v>
      </c>
      <c r="AM183" s="72">
        <v>0</v>
      </c>
      <c r="AN183">
        <v>0</v>
      </c>
      <c r="AO183" s="21">
        <f t="shared" si="80"/>
        <v>0</v>
      </c>
      <c r="AP183" s="21">
        <f t="shared" si="68"/>
        <v>238573</v>
      </c>
      <c r="AQ183" s="21">
        <f t="shared" si="81"/>
        <v>238573</v>
      </c>
      <c r="AR183" s="48">
        <v>263431</v>
      </c>
      <c r="AS183" s="48">
        <f t="shared" si="85"/>
        <v>238573</v>
      </c>
      <c r="AT183" s="72">
        <v>263792</v>
      </c>
      <c r="AU183" s="21">
        <f t="shared" si="86"/>
        <v>25219</v>
      </c>
      <c r="AV183" s="52" t="str">
        <f t="shared" si="88"/>
        <v>No</v>
      </c>
      <c r="AW183" s="48">
        <f t="shared" si="82"/>
        <v>0</v>
      </c>
      <c r="AX183" s="53">
        <f t="shared" si="83"/>
        <v>263792</v>
      </c>
      <c r="AY183" s="54">
        <f t="shared" si="87"/>
        <v>263792</v>
      </c>
      <c r="AZ183" s="76"/>
      <c r="BA183" s="21"/>
      <c r="BD183" s="55"/>
      <c r="BE183" s="55"/>
      <c r="BF183" s="55"/>
      <c r="BG183" s="55"/>
      <c r="BH183" s="55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5"/>
      <c r="K184" s="71">
        <v>5247.86</v>
      </c>
      <c r="L184" s="73"/>
      <c r="M184" s="72">
        <v>124</v>
      </c>
      <c r="N184" s="46">
        <f t="shared" si="69"/>
        <v>37.200000000000003</v>
      </c>
      <c r="O184" s="46">
        <f t="shared" si="70"/>
        <v>3148.72</v>
      </c>
      <c r="P184" s="46">
        <f t="shared" si="71"/>
        <v>0</v>
      </c>
      <c r="Q184" s="46">
        <f t="shared" si="72"/>
        <v>0</v>
      </c>
      <c r="R184" s="47">
        <f t="shared" si="73"/>
        <v>0.02</v>
      </c>
      <c r="S184" s="47">
        <f t="shared" si="61"/>
        <v>0</v>
      </c>
      <c r="T184" s="46">
        <f t="shared" si="62"/>
        <v>0</v>
      </c>
      <c r="U184" s="46">
        <f t="shared" si="74"/>
        <v>0</v>
      </c>
      <c r="V184" s="72">
        <v>45</v>
      </c>
      <c r="W184" s="46">
        <f t="shared" si="75"/>
        <v>11.25</v>
      </c>
      <c r="X184" s="22">
        <f t="shared" si="76"/>
        <v>37.200000000000003</v>
      </c>
      <c r="Y184" s="10">
        <f t="shared" si="77"/>
        <v>5296.3099999999995</v>
      </c>
      <c r="Z184" s="71">
        <v>19690611711</v>
      </c>
      <c r="AA184" s="72">
        <v>27427</v>
      </c>
      <c r="AB184" s="22">
        <f t="shared" si="63"/>
        <v>717928.02</v>
      </c>
      <c r="AC184" s="9">
        <f t="shared" si="64"/>
        <v>2.798807</v>
      </c>
      <c r="AD184" s="72">
        <v>242868</v>
      </c>
      <c r="AE184" s="9">
        <f t="shared" si="65"/>
        <v>1.7607440000000001</v>
      </c>
      <c r="AF184" s="9">
        <f t="shared" si="84"/>
        <v>-1.4873879999999999</v>
      </c>
      <c r="AG184" s="49">
        <f t="shared" si="66"/>
        <v>0.01</v>
      </c>
      <c r="AH184" s="50">
        <f t="shared" si="67"/>
        <v>0</v>
      </c>
      <c r="AI184" s="51">
        <f t="shared" si="78"/>
        <v>0.01</v>
      </c>
      <c r="AJ184" s="72">
        <v>0</v>
      </c>
      <c r="AK184">
        <v>0</v>
      </c>
      <c r="AL184" s="21">
        <f t="shared" si="79"/>
        <v>0</v>
      </c>
      <c r="AM184" s="72">
        <v>0</v>
      </c>
      <c r="AN184">
        <v>0</v>
      </c>
      <c r="AO184" s="21">
        <f t="shared" si="80"/>
        <v>0</v>
      </c>
      <c r="AP184" s="21">
        <f t="shared" si="68"/>
        <v>610400</v>
      </c>
      <c r="AQ184" s="21">
        <f t="shared" si="81"/>
        <v>610400</v>
      </c>
      <c r="AR184" s="48">
        <v>465334</v>
      </c>
      <c r="AS184" s="48">
        <f t="shared" si="85"/>
        <v>610400</v>
      </c>
      <c r="AT184" s="72">
        <v>589729</v>
      </c>
      <c r="AU184" s="21">
        <f t="shared" si="86"/>
        <v>20671</v>
      </c>
      <c r="AV184" s="52" t="str">
        <f t="shared" si="88"/>
        <v>Yes</v>
      </c>
      <c r="AW184" s="48">
        <f t="shared" si="82"/>
        <v>20671</v>
      </c>
      <c r="AX184" s="53">
        <f t="shared" si="83"/>
        <v>610400</v>
      </c>
      <c r="AY184" s="54">
        <f t="shared" si="87"/>
        <v>610400</v>
      </c>
      <c r="AZ184" s="76"/>
      <c r="BA184" s="21"/>
      <c r="BD184" s="55"/>
      <c r="BE184" s="55"/>
      <c r="BF184" s="55"/>
      <c r="BG184" s="55"/>
      <c r="BH184" s="55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5"/>
      <c r="K185" s="71">
        <v>3652.95</v>
      </c>
      <c r="L185" s="75"/>
      <c r="M185" s="72">
        <v>932</v>
      </c>
      <c r="N185" s="46">
        <f t="shared" si="69"/>
        <v>279.60000000000002</v>
      </c>
      <c r="O185" s="46">
        <f t="shared" si="70"/>
        <v>2191.77</v>
      </c>
      <c r="P185" s="46">
        <f t="shared" si="71"/>
        <v>0</v>
      </c>
      <c r="Q185" s="46">
        <f t="shared" si="72"/>
        <v>0</v>
      </c>
      <c r="R185" s="47">
        <f t="shared" si="73"/>
        <v>0.26</v>
      </c>
      <c r="S185" s="47">
        <f t="shared" si="61"/>
        <v>0</v>
      </c>
      <c r="T185" s="46">
        <f t="shared" si="62"/>
        <v>0</v>
      </c>
      <c r="U185" s="46">
        <f t="shared" si="74"/>
        <v>0</v>
      </c>
      <c r="V185" s="72">
        <v>338</v>
      </c>
      <c r="W185" s="46">
        <f t="shared" si="75"/>
        <v>84.5</v>
      </c>
      <c r="X185" s="22">
        <f t="shared" si="76"/>
        <v>279.60000000000002</v>
      </c>
      <c r="Y185" s="10">
        <f t="shared" si="77"/>
        <v>4017.0499999999997</v>
      </c>
      <c r="Z185" s="71">
        <v>4429762257</v>
      </c>
      <c r="AA185" s="72">
        <v>27129</v>
      </c>
      <c r="AB185" s="22">
        <f t="shared" si="63"/>
        <v>163285.13</v>
      </c>
      <c r="AC185" s="9">
        <f t="shared" si="64"/>
        <v>0.63655899999999999</v>
      </c>
      <c r="AD185" s="72">
        <v>108656</v>
      </c>
      <c r="AE185" s="9">
        <f t="shared" si="65"/>
        <v>0.78773400000000005</v>
      </c>
      <c r="AF185" s="9">
        <f t="shared" si="84"/>
        <v>0.31808900000000001</v>
      </c>
      <c r="AG185" s="49">
        <f t="shared" si="66"/>
        <v>0.31808900000000001</v>
      </c>
      <c r="AH185" s="50">
        <f t="shared" si="67"/>
        <v>0</v>
      </c>
      <c r="AI185" s="51">
        <f t="shared" si="78"/>
        <v>0.31808900000000001</v>
      </c>
      <c r="AJ185" s="72">
        <v>0</v>
      </c>
      <c r="AK185">
        <v>0</v>
      </c>
      <c r="AL185" s="21">
        <f t="shared" si="79"/>
        <v>0</v>
      </c>
      <c r="AM185" s="72">
        <v>0</v>
      </c>
      <c r="AN185">
        <v>0</v>
      </c>
      <c r="AO185" s="21">
        <f t="shared" si="80"/>
        <v>0</v>
      </c>
      <c r="AP185" s="21">
        <f t="shared" si="68"/>
        <v>14726408</v>
      </c>
      <c r="AQ185" s="21">
        <f t="shared" si="81"/>
        <v>14726408</v>
      </c>
      <c r="AR185" s="48">
        <v>9348852</v>
      </c>
      <c r="AS185" s="48">
        <f t="shared" si="85"/>
        <v>14726408</v>
      </c>
      <c r="AT185" s="72">
        <v>14676017</v>
      </c>
      <c r="AU185" s="21">
        <f t="shared" si="86"/>
        <v>50391</v>
      </c>
      <c r="AV185" s="52" t="str">
        <f t="shared" si="88"/>
        <v>Yes</v>
      </c>
      <c r="AW185" s="48">
        <f t="shared" si="82"/>
        <v>50391</v>
      </c>
      <c r="AX185" s="53">
        <f t="shared" si="83"/>
        <v>14726408</v>
      </c>
      <c r="AY185" s="54">
        <f t="shared" si="87"/>
        <v>14726408</v>
      </c>
      <c r="AZ185" s="76"/>
      <c r="BA185" s="21"/>
      <c r="BD185" s="55"/>
      <c r="BE185" s="55"/>
      <c r="BF185" s="55"/>
      <c r="BG185" s="55"/>
      <c r="BH185" s="55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5"/>
      <c r="K186" s="71">
        <v>569.59</v>
      </c>
      <c r="L186" s="73"/>
      <c r="M186" s="72">
        <v>191</v>
      </c>
      <c r="N186" s="46">
        <f t="shared" si="69"/>
        <v>57.3</v>
      </c>
      <c r="O186" s="46">
        <f t="shared" si="70"/>
        <v>341.75</v>
      </c>
      <c r="P186" s="46">
        <f t="shared" si="71"/>
        <v>0</v>
      </c>
      <c r="Q186" s="46">
        <f t="shared" si="72"/>
        <v>0</v>
      </c>
      <c r="R186" s="47">
        <f t="shared" si="73"/>
        <v>0.34</v>
      </c>
      <c r="S186" s="47">
        <f t="shared" si="61"/>
        <v>0</v>
      </c>
      <c r="T186" s="46">
        <f t="shared" si="62"/>
        <v>0</v>
      </c>
      <c r="U186" s="46">
        <f t="shared" si="74"/>
        <v>0</v>
      </c>
      <c r="V186" s="72">
        <v>7</v>
      </c>
      <c r="W186" s="46">
        <f t="shared" si="75"/>
        <v>1.75</v>
      </c>
      <c r="X186" s="22">
        <f t="shared" si="76"/>
        <v>57.3</v>
      </c>
      <c r="Y186" s="10">
        <f t="shared" si="77"/>
        <v>628.64</v>
      </c>
      <c r="Z186" s="71">
        <v>845524913.66999996</v>
      </c>
      <c r="AA186" s="72">
        <v>5544</v>
      </c>
      <c r="AB186" s="22">
        <f t="shared" si="63"/>
        <v>152511.71</v>
      </c>
      <c r="AC186" s="9">
        <f t="shared" si="64"/>
        <v>0.59455899999999995</v>
      </c>
      <c r="AD186" s="72">
        <v>85893</v>
      </c>
      <c r="AE186" s="9">
        <f t="shared" si="65"/>
        <v>0.62270700000000001</v>
      </c>
      <c r="AF186" s="9">
        <f t="shared" si="84"/>
        <v>0.39699699999999999</v>
      </c>
      <c r="AG186" s="49">
        <f t="shared" si="66"/>
        <v>0.39699699999999999</v>
      </c>
      <c r="AH186" s="50">
        <f t="shared" si="67"/>
        <v>0</v>
      </c>
      <c r="AI186" s="51">
        <f t="shared" si="78"/>
        <v>0.39699699999999999</v>
      </c>
      <c r="AJ186" s="72">
        <v>190</v>
      </c>
      <c r="AK186">
        <v>4</v>
      </c>
      <c r="AL186" s="21">
        <f t="shared" si="79"/>
        <v>76000</v>
      </c>
      <c r="AM186" s="72">
        <v>0</v>
      </c>
      <c r="AN186">
        <v>0</v>
      </c>
      <c r="AO186" s="21">
        <f t="shared" si="80"/>
        <v>0</v>
      </c>
      <c r="AP186" s="21">
        <f t="shared" si="68"/>
        <v>2876273</v>
      </c>
      <c r="AQ186" s="21">
        <f t="shared" si="81"/>
        <v>2952273</v>
      </c>
      <c r="AR186" s="48">
        <v>3637161</v>
      </c>
      <c r="AS186" s="48">
        <f t="shared" si="85"/>
        <v>2952273</v>
      </c>
      <c r="AT186" s="72">
        <v>3456594</v>
      </c>
      <c r="AU186" s="21">
        <f t="shared" si="86"/>
        <v>504321</v>
      </c>
      <c r="AV186" s="52" t="str">
        <f t="shared" si="88"/>
        <v>No</v>
      </c>
      <c r="AW186" s="48">
        <f t="shared" si="82"/>
        <v>0</v>
      </c>
      <c r="AX186" s="53">
        <f t="shared" si="83"/>
        <v>3456594</v>
      </c>
      <c r="AY186" s="54">
        <f t="shared" si="87"/>
        <v>3456594</v>
      </c>
      <c r="AZ186" s="76"/>
      <c r="BA186" s="21"/>
      <c r="BD186" s="55"/>
      <c r="BE186" s="55"/>
      <c r="BF186" s="55"/>
      <c r="BG186" s="55"/>
      <c r="BH186" s="55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5"/>
      <c r="K187" s="71">
        <v>3736.1</v>
      </c>
      <c r="L187" s="73"/>
      <c r="M187" s="72">
        <v>214</v>
      </c>
      <c r="N187" s="46">
        <f t="shared" si="69"/>
        <v>64.2</v>
      </c>
      <c r="O187" s="46">
        <f t="shared" si="70"/>
        <v>2241.66</v>
      </c>
      <c r="P187" s="46">
        <f t="shared" si="71"/>
        <v>0</v>
      </c>
      <c r="Q187" s="46">
        <f t="shared" si="72"/>
        <v>0</v>
      </c>
      <c r="R187" s="47">
        <f t="shared" si="73"/>
        <v>0.06</v>
      </c>
      <c r="S187" s="47">
        <f t="shared" si="61"/>
        <v>0</v>
      </c>
      <c r="T187" s="46">
        <f t="shared" si="62"/>
        <v>0</v>
      </c>
      <c r="U187" s="46">
        <f t="shared" si="74"/>
        <v>0</v>
      </c>
      <c r="V187" s="72">
        <v>79</v>
      </c>
      <c r="W187" s="46">
        <f t="shared" si="75"/>
        <v>19.75</v>
      </c>
      <c r="X187" s="22">
        <f t="shared" si="76"/>
        <v>64.2</v>
      </c>
      <c r="Y187" s="10">
        <f t="shared" si="77"/>
        <v>3820.0499999999997</v>
      </c>
      <c r="Z187" s="71">
        <v>7563317829.6700001</v>
      </c>
      <c r="AA187" s="72">
        <v>18457</v>
      </c>
      <c r="AB187" s="22">
        <f t="shared" si="63"/>
        <v>409780.45</v>
      </c>
      <c r="AC187" s="9">
        <f t="shared" si="64"/>
        <v>1.5975090000000001</v>
      </c>
      <c r="AD187" s="72">
        <v>230545</v>
      </c>
      <c r="AE187" s="9">
        <f t="shared" si="65"/>
        <v>1.6714039999999999</v>
      </c>
      <c r="AF187" s="9">
        <f t="shared" si="84"/>
        <v>-0.61967799999999995</v>
      </c>
      <c r="AG187" s="49">
        <f t="shared" si="66"/>
        <v>0.01</v>
      </c>
      <c r="AH187" s="50">
        <f t="shared" si="67"/>
        <v>0</v>
      </c>
      <c r="AI187" s="51">
        <f t="shared" si="78"/>
        <v>0.01</v>
      </c>
      <c r="AJ187" s="72">
        <v>0</v>
      </c>
      <c r="AK187">
        <v>0</v>
      </c>
      <c r="AL187" s="21">
        <f t="shared" si="79"/>
        <v>0</v>
      </c>
      <c r="AM187" s="72">
        <v>0</v>
      </c>
      <c r="AN187">
        <v>0</v>
      </c>
      <c r="AO187" s="21">
        <f t="shared" si="80"/>
        <v>0</v>
      </c>
      <c r="AP187" s="21">
        <f t="shared" si="68"/>
        <v>440261</v>
      </c>
      <c r="AQ187" s="21">
        <f t="shared" si="81"/>
        <v>440261</v>
      </c>
      <c r="AR187" s="48">
        <v>462941</v>
      </c>
      <c r="AS187" s="48">
        <f t="shared" si="85"/>
        <v>440261</v>
      </c>
      <c r="AT187" s="72">
        <v>461796</v>
      </c>
      <c r="AU187" s="21">
        <f t="shared" si="86"/>
        <v>21535</v>
      </c>
      <c r="AV187" s="52" t="str">
        <f t="shared" si="88"/>
        <v>No</v>
      </c>
      <c r="AW187" s="48">
        <f t="shared" si="82"/>
        <v>0</v>
      </c>
      <c r="AX187" s="53">
        <f t="shared" si="83"/>
        <v>461796</v>
      </c>
      <c r="AY187" s="54">
        <f t="shared" si="87"/>
        <v>461796</v>
      </c>
      <c r="AZ187" s="76"/>
      <c r="BA187" s="21"/>
      <c r="BD187" s="55"/>
      <c r="BE187" s="55"/>
      <c r="BF187" s="55"/>
      <c r="BG187" s="55"/>
      <c r="BH187" s="55"/>
    </row>
    <row r="188" spans="1:60" x14ac:dyDescent="0.5">
      <c r="A188" s="5" t="s">
        <v>86</v>
      </c>
      <c r="B188" s="5"/>
      <c r="C188" s="57">
        <v>1</v>
      </c>
      <c r="D188" s="57">
        <v>1</v>
      </c>
      <c r="E188" s="33"/>
      <c r="F188" s="2">
        <v>9</v>
      </c>
      <c r="G188">
        <v>26</v>
      </c>
      <c r="H188" s="5">
        <v>162</v>
      </c>
      <c r="I188" s="2" t="s">
        <v>241</v>
      </c>
      <c r="J188" s="45"/>
      <c r="K188" s="71">
        <v>1101.3399999999999</v>
      </c>
      <c r="L188" s="74"/>
      <c r="M188" s="72">
        <v>641</v>
      </c>
      <c r="N188" s="46">
        <f t="shared" si="69"/>
        <v>192.3</v>
      </c>
      <c r="O188" s="46">
        <f t="shared" si="70"/>
        <v>660.8</v>
      </c>
      <c r="P188" s="46">
        <f t="shared" si="71"/>
        <v>0</v>
      </c>
      <c r="Q188" s="46">
        <f t="shared" si="72"/>
        <v>0</v>
      </c>
      <c r="R188" s="47">
        <f t="shared" si="73"/>
        <v>0.57999999999999996</v>
      </c>
      <c r="S188" s="47">
        <f t="shared" si="61"/>
        <v>0</v>
      </c>
      <c r="T188" s="46">
        <f t="shared" si="62"/>
        <v>0</v>
      </c>
      <c r="U188" s="46">
        <f t="shared" si="74"/>
        <v>0</v>
      </c>
      <c r="V188" s="72">
        <v>49</v>
      </c>
      <c r="W188" s="46">
        <f t="shared" si="75"/>
        <v>12.25</v>
      </c>
      <c r="X188" s="22">
        <f t="shared" si="76"/>
        <v>192.3</v>
      </c>
      <c r="Y188" s="10">
        <f t="shared" si="77"/>
        <v>1305.8899999999999</v>
      </c>
      <c r="Z188" s="71">
        <v>1451600801.6700001</v>
      </c>
      <c r="AA188" s="72">
        <v>10240</v>
      </c>
      <c r="AB188" s="22">
        <f t="shared" si="63"/>
        <v>141757.89000000001</v>
      </c>
      <c r="AC188" s="9">
        <f t="shared" si="64"/>
        <v>0.55263600000000002</v>
      </c>
      <c r="AD188" s="72">
        <v>73000</v>
      </c>
      <c r="AE188" s="9">
        <f t="shared" si="65"/>
        <v>0.52923500000000001</v>
      </c>
      <c r="AF188" s="9">
        <f t="shared" si="84"/>
        <v>0.45438400000000001</v>
      </c>
      <c r="AG188" s="49">
        <f t="shared" si="66"/>
        <v>0.45438400000000001</v>
      </c>
      <c r="AH188" s="50">
        <f t="shared" si="67"/>
        <v>0</v>
      </c>
      <c r="AI188" s="51">
        <f t="shared" si="78"/>
        <v>0.45438400000000001</v>
      </c>
      <c r="AJ188" s="72">
        <v>0</v>
      </c>
      <c r="AK188">
        <v>0</v>
      </c>
      <c r="AL188" s="21">
        <f t="shared" si="79"/>
        <v>0</v>
      </c>
      <c r="AM188" s="72">
        <v>437</v>
      </c>
      <c r="AN188">
        <v>6</v>
      </c>
      <c r="AO188" s="21">
        <f t="shared" si="80"/>
        <v>262200</v>
      </c>
      <c r="AP188" s="21">
        <f t="shared" si="68"/>
        <v>6838653</v>
      </c>
      <c r="AQ188" s="21">
        <f t="shared" si="81"/>
        <v>7100853</v>
      </c>
      <c r="AR188" s="48">
        <v>8024957</v>
      </c>
      <c r="AS188" s="48">
        <f t="shared" si="85"/>
        <v>8024957</v>
      </c>
      <c r="AT188" s="72">
        <v>8024957</v>
      </c>
      <c r="AU188" s="21">
        <f t="shared" si="86"/>
        <v>924104</v>
      </c>
      <c r="AV188" s="52" t="str">
        <f t="shared" si="88"/>
        <v>No</v>
      </c>
      <c r="AW188" s="48">
        <f t="shared" si="82"/>
        <v>0</v>
      </c>
      <c r="AX188" s="53">
        <f t="shared" si="83"/>
        <v>8024957</v>
      </c>
      <c r="AY188" s="54">
        <f t="shared" si="87"/>
        <v>8024957</v>
      </c>
      <c r="AZ188" s="76"/>
      <c r="BA188" s="21"/>
      <c r="BD188" s="55"/>
      <c r="BE188" s="55"/>
      <c r="BF188" s="55"/>
      <c r="BG188" s="55"/>
      <c r="BH188" s="55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6</v>
      </c>
      <c r="H189" s="5">
        <v>163</v>
      </c>
      <c r="I189" s="2" t="s">
        <v>242</v>
      </c>
      <c r="J189" s="45"/>
      <c r="K189" s="71">
        <v>3076.37</v>
      </c>
      <c r="L189" s="74"/>
      <c r="M189" s="72">
        <v>2285</v>
      </c>
      <c r="N189" s="46">
        <f t="shared" si="69"/>
        <v>685.5</v>
      </c>
      <c r="O189" s="46">
        <f t="shared" si="70"/>
        <v>1845.82</v>
      </c>
      <c r="P189" s="46">
        <f t="shared" si="71"/>
        <v>439.18000000000006</v>
      </c>
      <c r="Q189" s="46">
        <f t="shared" si="72"/>
        <v>65.88</v>
      </c>
      <c r="R189" s="47">
        <f t="shared" si="73"/>
        <v>0.74</v>
      </c>
      <c r="S189" s="47">
        <f t="shared" si="61"/>
        <v>0.14000000000000001</v>
      </c>
      <c r="T189" s="46">
        <f t="shared" si="62"/>
        <v>430.69</v>
      </c>
      <c r="U189" s="46">
        <f t="shared" si="74"/>
        <v>64.599999999999994</v>
      </c>
      <c r="V189" s="72">
        <v>1015</v>
      </c>
      <c r="W189" s="46">
        <f t="shared" si="75"/>
        <v>253.75</v>
      </c>
      <c r="X189" s="22">
        <f t="shared" si="76"/>
        <v>685.5</v>
      </c>
      <c r="Y189" s="10">
        <f t="shared" si="77"/>
        <v>4081.5</v>
      </c>
      <c r="Z189" s="71">
        <v>1916036209.6700001</v>
      </c>
      <c r="AA189" s="72">
        <v>24399</v>
      </c>
      <c r="AB189" s="22">
        <f t="shared" si="63"/>
        <v>78529.289999999994</v>
      </c>
      <c r="AC189" s="9">
        <f t="shared" si="64"/>
        <v>0.306143</v>
      </c>
      <c r="AD189" s="72">
        <v>54533</v>
      </c>
      <c r="AE189" s="9">
        <f t="shared" si="65"/>
        <v>0.39535300000000001</v>
      </c>
      <c r="AF189" s="9">
        <f t="shared" si="84"/>
        <v>0.66709399999999996</v>
      </c>
      <c r="AG189" s="49">
        <f t="shared" si="66"/>
        <v>0.66709399999999996</v>
      </c>
      <c r="AH189" s="50">
        <f t="shared" si="67"/>
        <v>0.05</v>
      </c>
      <c r="AI189" s="51">
        <f t="shared" si="78"/>
        <v>0.71709400000000001</v>
      </c>
      <c r="AJ189" s="72">
        <v>0</v>
      </c>
      <c r="AK189">
        <v>0</v>
      </c>
      <c r="AL189" s="21">
        <f t="shared" si="79"/>
        <v>0</v>
      </c>
      <c r="AM189" s="72">
        <v>0</v>
      </c>
      <c r="AN189">
        <v>0</v>
      </c>
      <c r="AO189" s="21">
        <f t="shared" si="80"/>
        <v>0</v>
      </c>
      <c r="AP189" s="21">
        <f t="shared" si="68"/>
        <v>33731591</v>
      </c>
      <c r="AQ189" s="21">
        <f t="shared" si="81"/>
        <v>33731591</v>
      </c>
      <c r="AR189" s="48">
        <v>26582071</v>
      </c>
      <c r="AS189" s="48">
        <f t="shared" si="85"/>
        <v>33829263</v>
      </c>
      <c r="AT189" s="72">
        <v>33829263</v>
      </c>
      <c r="AU189" s="21">
        <f t="shared" si="86"/>
        <v>97672</v>
      </c>
      <c r="AV189" s="52" t="str">
        <f t="shared" si="88"/>
        <v>No</v>
      </c>
      <c r="AW189" s="48">
        <f t="shared" si="82"/>
        <v>0</v>
      </c>
      <c r="AX189" s="53">
        <f t="shared" si="83"/>
        <v>33829263</v>
      </c>
      <c r="AY189" s="54">
        <f t="shared" si="87"/>
        <v>33829263</v>
      </c>
      <c r="AZ189" s="76"/>
      <c r="BA189" s="21"/>
      <c r="BD189" s="55"/>
      <c r="BE189" s="55"/>
      <c r="BF189" s="55"/>
      <c r="BG189" s="55"/>
      <c r="BH189" s="55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40</v>
      </c>
      <c r="H190" s="5">
        <v>164</v>
      </c>
      <c r="I190" s="2" t="s">
        <v>243</v>
      </c>
      <c r="J190" s="45"/>
      <c r="K190" s="71">
        <v>3771.24</v>
      </c>
      <c r="L190" s="74"/>
      <c r="M190" s="72">
        <v>1883</v>
      </c>
      <c r="N190" s="46">
        <f t="shared" si="69"/>
        <v>564.9</v>
      </c>
      <c r="O190" s="46">
        <f t="shared" si="70"/>
        <v>2262.7399999999998</v>
      </c>
      <c r="P190" s="46">
        <f t="shared" si="71"/>
        <v>0</v>
      </c>
      <c r="Q190" s="46">
        <f t="shared" si="72"/>
        <v>0</v>
      </c>
      <c r="R190" s="47">
        <f t="shared" si="73"/>
        <v>0.5</v>
      </c>
      <c r="S190" s="47">
        <f t="shared" si="61"/>
        <v>0</v>
      </c>
      <c r="T190" s="46">
        <f t="shared" si="62"/>
        <v>0</v>
      </c>
      <c r="U190" s="46">
        <f t="shared" si="74"/>
        <v>0</v>
      </c>
      <c r="V190" s="72">
        <v>136</v>
      </c>
      <c r="W190" s="46">
        <f t="shared" si="75"/>
        <v>34</v>
      </c>
      <c r="X190" s="22">
        <f t="shared" si="76"/>
        <v>564.9</v>
      </c>
      <c r="Y190" s="10">
        <f t="shared" si="77"/>
        <v>4370.1399999999994</v>
      </c>
      <c r="Z190" s="71">
        <v>6010428915</v>
      </c>
      <c r="AA190" s="72">
        <v>29453</v>
      </c>
      <c r="AB190" s="22">
        <f t="shared" si="63"/>
        <v>204068.48000000001</v>
      </c>
      <c r="AC190" s="9">
        <f t="shared" si="64"/>
        <v>0.79555100000000001</v>
      </c>
      <c r="AD190" s="72">
        <v>103521</v>
      </c>
      <c r="AE190" s="9">
        <f t="shared" si="65"/>
        <v>0.75050600000000001</v>
      </c>
      <c r="AF190" s="9">
        <f t="shared" si="84"/>
        <v>0.21796299999999999</v>
      </c>
      <c r="AG190" s="49">
        <f t="shared" si="66"/>
        <v>0.21796299999999999</v>
      </c>
      <c r="AH190" s="50">
        <f t="shared" si="67"/>
        <v>0</v>
      </c>
      <c r="AI190" s="51">
        <f t="shared" si="78"/>
        <v>0.21796299999999999</v>
      </c>
      <c r="AJ190" s="72">
        <v>0</v>
      </c>
      <c r="AK190">
        <v>0</v>
      </c>
      <c r="AL190" s="21">
        <f t="shared" si="79"/>
        <v>0</v>
      </c>
      <c r="AM190" s="72">
        <v>0</v>
      </c>
      <c r="AN190">
        <v>0</v>
      </c>
      <c r="AO190" s="21">
        <f t="shared" si="80"/>
        <v>0</v>
      </c>
      <c r="AP190" s="21">
        <f t="shared" si="68"/>
        <v>10977895</v>
      </c>
      <c r="AQ190" s="21">
        <f t="shared" si="81"/>
        <v>10977895</v>
      </c>
      <c r="AR190" s="48">
        <v>12130392</v>
      </c>
      <c r="AS190" s="48">
        <f t="shared" si="85"/>
        <v>12130392</v>
      </c>
      <c r="AT190" s="72">
        <v>12130392</v>
      </c>
      <c r="AU190" s="21">
        <f t="shared" si="86"/>
        <v>1152497</v>
      </c>
      <c r="AV190" s="52" t="str">
        <f t="shared" si="88"/>
        <v>No</v>
      </c>
      <c r="AW190" s="48">
        <f t="shared" si="82"/>
        <v>0</v>
      </c>
      <c r="AX190" s="53">
        <f t="shared" si="83"/>
        <v>12130392</v>
      </c>
      <c r="AY190" s="54">
        <f t="shared" si="87"/>
        <v>12130392</v>
      </c>
      <c r="AZ190" s="76"/>
      <c r="BA190" s="21"/>
      <c r="BD190" s="55"/>
      <c r="BE190" s="55"/>
      <c r="BF190" s="55"/>
      <c r="BG190" s="55"/>
      <c r="BH190" s="55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5"/>
      <c r="K191" s="71">
        <v>1507.68</v>
      </c>
      <c r="L191" s="73"/>
      <c r="M191" s="72">
        <v>705</v>
      </c>
      <c r="N191" s="46">
        <f t="shared" si="69"/>
        <v>211.5</v>
      </c>
      <c r="O191" s="46">
        <f t="shared" si="70"/>
        <v>904.61</v>
      </c>
      <c r="P191" s="46">
        <f t="shared" si="71"/>
        <v>0</v>
      </c>
      <c r="Q191" s="46">
        <f t="shared" si="72"/>
        <v>0</v>
      </c>
      <c r="R191" s="47">
        <f t="shared" si="73"/>
        <v>0.47</v>
      </c>
      <c r="S191" s="47">
        <f t="shared" si="61"/>
        <v>0</v>
      </c>
      <c r="T191" s="46">
        <f t="shared" si="62"/>
        <v>0</v>
      </c>
      <c r="U191" s="46">
        <f t="shared" si="74"/>
        <v>0</v>
      </c>
      <c r="V191" s="72">
        <v>107</v>
      </c>
      <c r="W191" s="46">
        <f t="shared" si="75"/>
        <v>26.75</v>
      </c>
      <c r="X191" s="22">
        <f t="shared" si="76"/>
        <v>211.5</v>
      </c>
      <c r="Y191" s="10">
        <f t="shared" si="77"/>
        <v>1745.93</v>
      </c>
      <c r="Z191" s="71">
        <v>2597748499</v>
      </c>
      <c r="AA191" s="72">
        <v>12537</v>
      </c>
      <c r="AB191" s="22">
        <f t="shared" si="63"/>
        <v>207206.55</v>
      </c>
      <c r="AC191" s="9">
        <f t="shared" si="64"/>
        <v>0.80778499999999998</v>
      </c>
      <c r="AD191" s="72">
        <v>85570</v>
      </c>
      <c r="AE191" s="9">
        <f t="shared" si="65"/>
        <v>0.62036500000000006</v>
      </c>
      <c r="AF191" s="9">
        <f t="shared" si="84"/>
        <v>0.248441</v>
      </c>
      <c r="AG191" s="49">
        <f t="shared" si="66"/>
        <v>0.248441</v>
      </c>
      <c r="AH191" s="50">
        <f t="shared" si="67"/>
        <v>0</v>
      </c>
      <c r="AI191" s="51">
        <f t="shared" si="78"/>
        <v>0.248441</v>
      </c>
      <c r="AJ191" s="72">
        <v>0</v>
      </c>
      <c r="AK191">
        <v>0</v>
      </c>
      <c r="AL191" s="21">
        <f t="shared" si="79"/>
        <v>0</v>
      </c>
      <c r="AM191" s="72">
        <v>0</v>
      </c>
      <c r="AN191">
        <v>0</v>
      </c>
      <c r="AO191" s="21">
        <f t="shared" si="80"/>
        <v>0</v>
      </c>
      <c r="AP191" s="21">
        <f t="shared" si="68"/>
        <v>4999091</v>
      </c>
      <c r="AQ191" s="21">
        <f t="shared" si="81"/>
        <v>4999091</v>
      </c>
      <c r="AR191" s="48">
        <v>5167806</v>
      </c>
      <c r="AS191" s="48">
        <f t="shared" si="85"/>
        <v>5225299</v>
      </c>
      <c r="AT191" s="72">
        <v>5225299</v>
      </c>
      <c r="AU191" s="21">
        <f t="shared" si="86"/>
        <v>226208</v>
      </c>
      <c r="AV191" s="52" t="str">
        <f t="shared" si="88"/>
        <v>No</v>
      </c>
      <c r="AW191" s="48">
        <f t="shared" si="82"/>
        <v>0</v>
      </c>
      <c r="AX191" s="53">
        <f t="shared" si="83"/>
        <v>5225299</v>
      </c>
      <c r="AY191" s="54">
        <f t="shared" si="87"/>
        <v>5225299</v>
      </c>
      <c r="AZ191" s="76"/>
      <c r="BA191" s="21"/>
      <c r="BD191" s="55"/>
      <c r="BE191" s="55"/>
      <c r="BF191" s="55"/>
      <c r="BG191" s="55"/>
      <c r="BH191" s="55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5"/>
      <c r="K192" s="71">
        <v>2243.1799999999998</v>
      </c>
      <c r="L192" s="73"/>
      <c r="M192" s="72">
        <v>777</v>
      </c>
      <c r="N192" s="46">
        <f t="shared" si="69"/>
        <v>233.1</v>
      </c>
      <c r="O192" s="46">
        <f t="shared" si="70"/>
        <v>1345.91</v>
      </c>
      <c r="P192" s="46">
        <f t="shared" si="71"/>
        <v>0</v>
      </c>
      <c r="Q192" s="46">
        <f t="shared" si="72"/>
        <v>0</v>
      </c>
      <c r="R192" s="47">
        <f t="shared" si="73"/>
        <v>0.35</v>
      </c>
      <c r="S192" s="47">
        <f t="shared" si="61"/>
        <v>0</v>
      </c>
      <c r="T192" s="46">
        <f t="shared" si="62"/>
        <v>0</v>
      </c>
      <c r="U192" s="46">
        <f t="shared" si="74"/>
        <v>0</v>
      </c>
      <c r="V192" s="72">
        <v>117</v>
      </c>
      <c r="W192" s="46">
        <f t="shared" si="75"/>
        <v>29.25</v>
      </c>
      <c r="X192" s="22">
        <f t="shared" si="76"/>
        <v>233.1</v>
      </c>
      <c r="Y192" s="10">
        <f t="shared" si="77"/>
        <v>2505.5299999999997</v>
      </c>
      <c r="Z192" s="71">
        <v>2255847010</v>
      </c>
      <c r="AA192" s="72">
        <v>16190</v>
      </c>
      <c r="AB192" s="22">
        <f t="shared" si="63"/>
        <v>139335.82999999999</v>
      </c>
      <c r="AC192" s="9">
        <f t="shared" si="64"/>
        <v>0.54319399999999995</v>
      </c>
      <c r="AD192" s="72">
        <v>113433</v>
      </c>
      <c r="AE192" s="9">
        <f t="shared" si="65"/>
        <v>0.82236600000000004</v>
      </c>
      <c r="AF192" s="9">
        <f t="shared" si="84"/>
        <v>0.373054</v>
      </c>
      <c r="AG192" s="49">
        <f t="shared" si="66"/>
        <v>0.373054</v>
      </c>
      <c r="AH192" s="50">
        <f t="shared" si="67"/>
        <v>0</v>
      </c>
      <c r="AI192" s="51">
        <f t="shared" si="78"/>
        <v>0.373054</v>
      </c>
      <c r="AJ192" s="72">
        <v>0</v>
      </c>
      <c r="AK192">
        <v>0</v>
      </c>
      <c r="AL192" s="21">
        <f t="shared" si="79"/>
        <v>0</v>
      </c>
      <c r="AM192" s="72">
        <v>0</v>
      </c>
      <c r="AN192">
        <v>0</v>
      </c>
      <c r="AO192" s="21">
        <f t="shared" si="80"/>
        <v>0</v>
      </c>
      <c r="AP192" s="21">
        <f t="shared" si="68"/>
        <v>10772394</v>
      </c>
      <c r="AQ192" s="21">
        <f t="shared" si="81"/>
        <v>10772394</v>
      </c>
      <c r="AR192" s="48">
        <v>13423576</v>
      </c>
      <c r="AS192" s="48">
        <f t="shared" si="85"/>
        <v>10772394</v>
      </c>
      <c r="AT192" s="72">
        <v>12387171</v>
      </c>
      <c r="AU192" s="21">
        <f t="shared" si="86"/>
        <v>1614777</v>
      </c>
      <c r="AV192" s="52" t="str">
        <f t="shared" si="88"/>
        <v>No</v>
      </c>
      <c r="AW192" s="48">
        <f t="shared" si="82"/>
        <v>0</v>
      </c>
      <c r="AX192" s="53">
        <f t="shared" si="83"/>
        <v>12387171</v>
      </c>
      <c r="AY192" s="54">
        <f t="shared" si="87"/>
        <v>12387171</v>
      </c>
      <c r="AZ192" s="76"/>
      <c r="BA192" s="21"/>
      <c r="BD192" s="55"/>
      <c r="BE192" s="55"/>
      <c r="BF192" s="55"/>
      <c r="BG192" s="55"/>
      <c r="BH192" s="55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5"/>
      <c r="K193" s="71">
        <v>1636.3</v>
      </c>
      <c r="L193" s="73"/>
      <c r="M193" s="72">
        <v>228</v>
      </c>
      <c r="N193" s="46">
        <f t="shared" si="69"/>
        <v>68.400000000000006</v>
      </c>
      <c r="O193" s="46">
        <f t="shared" si="70"/>
        <v>981.78</v>
      </c>
      <c r="P193" s="46">
        <f t="shared" si="71"/>
        <v>0</v>
      </c>
      <c r="Q193" s="46">
        <f t="shared" si="72"/>
        <v>0</v>
      </c>
      <c r="R193" s="47">
        <f t="shared" si="73"/>
        <v>0.14000000000000001</v>
      </c>
      <c r="S193" s="47">
        <f t="shared" si="61"/>
        <v>0</v>
      </c>
      <c r="T193" s="46">
        <f t="shared" si="62"/>
        <v>0</v>
      </c>
      <c r="U193" s="46">
        <f t="shared" si="74"/>
        <v>0</v>
      </c>
      <c r="V193" s="72">
        <v>69</v>
      </c>
      <c r="W193" s="46">
        <f t="shared" si="75"/>
        <v>17.25</v>
      </c>
      <c r="X193" s="22">
        <f t="shared" si="76"/>
        <v>68.400000000000006</v>
      </c>
      <c r="Y193" s="10">
        <f t="shared" si="77"/>
        <v>1721.95</v>
      </c>
      <c r="Z193" s="71">
        <v>2184322147.3299999</v>
      </c>
      <c r="AA193" s="72">
        <v>9051</v>
      </c>
      <c r="AB193" s="22">
        <f t="shared" si="63"/>
        <v>241334.9</v>
      </c>
      <c r="AC193" s="9">
        <f t="shared" si="64"/>
        <v>0.940832</v>
      </c>
      <c r="AD193" s="72">
        <v>190536</v>
      </c>
      <c r="AE193" s="9">
        <f t="shared" si="65"/>
        <v>1.3813470000000001</v>
      </c>
      <c r="AF193" s="9">
        <f t="shared" si="84"/>
        <v>-7.2986999999999996E-2</v>
      </c>
      <c r="AG193" s="49">
        <f t="shared" si="66"/>
        <v>0.01</v>
      </c>
      <c r="AH193" s="50">
        <f t="shared" si="67"/>
        <v>0</v>
      </c>
      <c r="AI193" s="51">
        <f t="shared" si="78"/>
        <v>0.01</v>
      </c>
      <c r="AJ193" s="72">
        <v>758</v>
      </c>
      <c r="AK193">
        <v>6</v>
      </c>
      <c r="AL193" s="21">
        <f t="shared" si="79"/>
        <v>454800</v>
      </c>
      <c r="AM193" s="72">
        <v>0</v>
      </c>
      <c r="AN193">
        <v>0</v>
      </c>
      <c r="AO193" s="21">
        <f t="shared" si="80"/>
        <v>0</v>
      </c>
      <c r="AP193" s="21">
        <f t="shared" si="68"/>
        <v>198455</v>
      </c>
      <c r="AQ193" s="21">
        <f t="shared" si="81"/>
        <v>653255</v>
      </c>
      <c r="AR193" s="48">
        <v>656185</v>
      </c>
      <c r="AS193" s="48">
        <f t="shared" si="85"/>
        <v>653255</v>
      </c>
      <c r="AT193" s="72">
        <v>577842</v>
      </c>
      <c r="AU193" s="21">
        <f t="shared" si="86"/>
        <v>75413</v>
      </c>
      <c r="AV193" s="52" t="str">
        <f t="shared" si="88"/>
        <v>Yes</v>
      </c>
      <c r="AW193" s="48">
        <f t="shared" si="82"/>
        <v>75413</v>
      </c>
      <c r="AX193" s="53">
        <f t="shared" si="83"/>
        <v>653255</v>
      </c>
      <c r="AY193" s="54">
        <f t="shared" si="87"/>
        <v>653255</v>
      </c>
      <c r="AZ193" s="76"/>
      <c r="BA193" s="21"/>
      <c r="BD193" s="55"/>
      <c r="BE193" s="55"/>
      <c r="BF193" s="55"/>
      <c r="BG193" s="55"/>
      <c r="BH193" s="55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5"/>
      <c r="K194" s="71">
        <v>940</v>
      </c>
      <c r="L194" s="73"/>
      <c r="M194" s="72">
        <v>189</v>
      </c>
      <c r="N194" s="46">
        <f t="shared" si="69"/>
        <v>56.7</v>
      </c>
      <c r="O194" s="46">
        <f t="shared" si="70"/>
        <v>564</v>
      </c>
      <c r="P194" s="46">
        <f t="shared" si="71"/>
        <v>0</v>
      </c>
      <c r="Q194" s="46">
        <f t="shared" si="72"/>
        <v>0</v>
      </c>
      <c r="R194" s="47">
        <f t="shared" si="73"/>
        <v>0.2</v>
      </c>
      <c r="S194" s="47">
        <f t="shared" si="61"/>
        <v>0</v>
      </c>
      <c r="T194" s="46">
        <f t="shared" si="62"/>
        <v>0</v>
      </c>
      <c r="U194" s="46">
        <f t="shared" si="74"/>
        <v>0</v>
      </c>
      <c r="V194" s="72">
        <v>9</v>
      </c>
      <c r="W194" s="46">
        <f t="shared" si="75"/>
        <v>2.25</v>
      </c>
      <c r="X194" s="22">
        <f t="shared" si="76"/>
        <v>56.7</v>
      </c>
      <c r="Y194" s="10">
        <f t="shared" si="77"/>
        <v>998.95</v>
      </c>
      <c r="Z194" s="71">
        <v>2126290054</v>
      </c>
      <c r="AA194" s="72">
        <v>9802</v>
      </c>
      <c r="AB194" s="22">
        <f t="shared" si="63"/>
        <v>216924.1</v>
      </c>
      <c r="AC194" s="9">
        <f t="shared" si="64"/>
        <v>0.84566799999999998</v>
      </c>
      <c r="AD194" s="72">
        <v>120577</v>
      </c>
      <c r="AE194" s="9">
        <f t="shared" si="65"/>
        <v>0.87415900000000002</v>
      </c>
      <c r="AF194" s="9">
        <f t="shared" si="84"/>
        <v>0.145785</v>
      </c>
      <c r="AG194" s="49">
        <f t="shared" si="66"/>
        <v>0.145785</v>
      </c>
      <c r="AH194" s="50">
        <f t="shared" si="67"/>
        <v>0</v>
      </c>
      <c r="AI194" s="51">
        <f t="shared" si="78"/>
        <v>0.145785</v>
      </c>
      <c r="AJ194" s="72">
        <v>941</v>
      </c>
      <c r="AK194">
        <v>13</v>
      </c>
      <c r="AL194" s="21">
        <f t="shared" si="79"/>
        <v>1223300</v>
      </c>
      <c r="AM194" s="72">
        <v>0</v>
      </c>
      <c r="AN194">
        <v>0</v>
      </c>
      <c r="AO194" s="21">
        <f t="shared" si="80"/>
        <v>0</v>
      </c>
      <c r="AP194" s="21">
        <f t="shared" si="68"/>
        <v>1678408</v>
      </c>
      <c r="AQ194" s="21">
        <f t="shared" si="81"/>
        <v>2901708</v>
      </c>
      <c r="AR194" s="48">
        <v>1276811</v>
      </c>
      <c r="AS194" s="48">
        <f t="shared" si="85"/>
        <v>2901708</v>
      </c>
      <c r="AT194" s="72">
        <v>2936816</v>
      </c>
      <c r="AU194" s="21">
        <f t="shared" si="86"/>
        <v>35108</v>
      </c>
      <c r="AV194" s="52" t="str">
        <f t="shared" si="88"/>
        <v>No</v>
      </c>
      <c r="AW194" s="48">
        <f t="shared" si="82"/>
        <v>0</v>
      </c>
      <c r="AX194" s="53">
        <f t="shared" si="83"/>
        <v>2936816</v>
      </c>
      <c r="AY194" s="54">
        <f t="shared" si="87"/>
        <v>2936816</v>
      </c>
      <c r="AZ194" s="76"/>
      <c r="BA194" s="21"/>
      <c r="BD194" s="55"/>
      <c r="BE194" s="55"/>
      <c r="BF194" s="55"/>
      <c r="BG194" s="55"/>
      <c r="BH194" s="55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5"/>
      <c r="K195" s="71">
        <v>1126.82</v>
      </c>
      <c r="L195" s="73"/>
      <c r="M195" s="72">
        <v>206</v>
      </c>
      <c r="N195" s="46">
        <f t="shared" si="69"/>
        <v>61.8</v>
      </c>
      <c r="O195" s="46">
        <f t="shared" si="70"/>
        <v>676.09</v>
      </c>
      <c r="P195" s="46">
        <f t="shared" si="71"/>
        <v>0</v>
      </c>
      <c r="Q195" s="46">
        <f t="shared" si="72"/>
        <v>0</v>
      </c>
      <c r="R195" s="47">
        <f t="shared" si="73"/>
        <v>0.18</v>
      </c>
      <c r="S195" s="47">
        <f t="shared" si="61"/>
        <v>0</v>
      </c>
      <c r="T195" s="46">
        <f t="shared" si="62"/>
        <v>0</v>
      </c>
      <c r="U195" s="46">
        <f t="shared" si="74"/>
        <v>0</v>
      </c>
      <c r="V195" s="72">
        <v>11</v>
      </c>
      <c r="W195" s="46">
        <f t="shared" si="75"/>
        <v>2.75</v>
      </c>
      <c r="X195" s="22">
        <f t="shared" si="76"/>
        <v>61.8</v>
      </c>
      <c r="Y195" s="10">
        <f t="shared" si="77"/>
        <v>1191.3699999999999</v>
      </c>
      <c r="Z195" s="71">
        <v>1500496986.6700001</v>
      </c>
      <c r="AA195" s="72">
        <v>8312</v>
      </c>
      <c r="AB195" s="22">
        <f t="shared" si="63"/>
        <v>180521.77</v>
      </c>
      <c r="AC195" s="9">
        <f t="shared" si="64"/>
        <v>0.70375500000000002</v>
      </c>
      <c r="AD195" s="72">
        <v>101496</v>
      </c>
      <c r="AE195" s="9">
        <f t="shared" si="65"/>
        <v>0.73582499999999995</v>
      </c>
      <c r="AF195" s="9">
        <f t="shared" si="84"/>
        <v>0.28662399999999999</v>
      </c>
      <c r="AG195" s="49">
        <f t="shared" si="66"/>
        <v>0.28662399999999999</v>
      </c>
      <c r="AH195" s="50">
        <f t="shared" si="67"/>
        <v>0</v>
      </c>
      <c r="AI195" s="51">
        <f t="shared" si="78"/>
        <v>0.28662399999999999</v>
      </c>
      <c r="AJ195" s="72">
        <v>0</v>
      </c>
      <c r="AK195">
        <v>0</v>
      </c>
      <c r="AL195" s="21">
        <f t="shared" si="79"/>
        <v>0</v>
      </c>
      <c r="AM195" s="72">
        <v>356</v>
      </c>
      <c r="AN195">
        <v>4</v>
      </c>
      <c r="AO195" s="21">
        <f t="shared" si="80"/>
        <v>142400</v>
      </c>
      <c r="AP195" s="21">
        <f t="shared" si="68"/>
        <v>3935502</v>
      </c>
      <c r="AQ195" s="21">
        <f t="shared" si="81"/>
        <v>4077902</v>
      </c>
      <c r="AR195" s="48">
        <v>5356542</v>
      </c>
      <c r="AS195" s="48">
        <f t="shared" si="85"/>
        <v>4077902</v>
      </c>
      <c r="AT195" s="72">
        <v>4990532</v>
      </c>
      <c r="AU195" s="21">
        <f t="shared" si="86"/>
        <v>912630</v>
      </c>
      <c r="AV195" s="52" t="str">
        <f t="shared" si="88"/>
        <v>No</v>
      </c>
      <c r="AW195" s="48">
        <f t="shared" si="82"/>
        <v>0</v>
      </c>
      <c r="AX195" s="53">
        <f t="shared" si="83"/>
        <v>4990532</v>
      </c>
      <c r="AY195" s="54">
        <f t="shared" si="87"/>
        <v>4990532</v>
      </c>
      <c r="AZ195" s="76"/>
      <c r="BA195" s="21"/>
      <c r="BD195" s="55"/>
      <c r="BE195" s="55"/>
      <c r="BF195" s="55"/>
      <c r="BG195" s="55"/>
      <c r="BH195" s="55"/>
    </row>
    <row r="196" spans="1:60" x14ac:dyDescent="0.5">
      <c r="AJ196" s="21"/>
      <c r="AN196" s="44"/>
    </row>
    <row r="197" spans="1:60" ht="15.75" customHeight="1" x14ac:dyDescent="0.5">
      <c r="A197" s="5"/>
      <c r="B197" s="5"/>
      <c r="C197" s="33"/>
      <c r="D197" s="33"/>
      <c r="E197" s="33"/>
      <c r="G197" s="44"/>
      <c r="H197" s="5"/>
      <c r="J197" s="45"/>
      <c r="K197" s="44"/>
      <c r="L197" s="59"/>
      <c r="M197" s="44"/>
      <c r="N197" s="44"/>
      <c r="O197" s="44"/>
      <c r="P197" s="44"/>
      <c r="Q197" s="44"/>
      <c r="R197" s="47"/>
      <c r="S197" s="47"/>
      <c r="T197" s="48"/>
      <c r="U197" s="48"/>
      <c r="V197" s="44"/>
      <c r="W197" s="44"/>
      <c r="X197" s="22"/>
      <c r="Y197" s="10"/>
      <c r="Z197" s="44"/>
      <c r="AA197" s="44"/>
      <c r="AB197" s="22"/>
      <c r="AC197" s="9"/>
      <c r="AD197" s="44"/>
      <c r="AE197" s="9"/>
      <c r="AF197" s="9"/>
      <c r="AG197" s="49"/>
      <c r="AH197" s="50"/>
      <c r="AI197" s="51"/>
      <c r="AJ197" s="44"/>
      <c r="AK197" s="44"/>
      <c r="AL197" s="44"/>
      <c r="AO197" s="21"/>
      <c r="AP197" s="21"/>
      <c r="AQ197" s="21"/>
      <c r="AR197" s="21"/>
      <c r="AS197" s="21"/>
      <c r="AT197" s="48"/>
      <c r="AU197" s="21"/>
      <c r="AV197" s="21"/>
      <c r="AW197" s="48"/>
      <c r="AX197" s="53"/>
      <c r="AY197" s="54"/>
      <c r="BD197" s="55"/>
      <c r="BE197" s="55"/>
      <c r="BF197" s="55"/>
      <c r="BG197" s="55"/>
      <c r="BH197" s="55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2021-05-31T14:52:32Z</cp:lastPrinted>
  <dcterms:created xsi:type="dcterms:W3CDTF">2017-10-18T15:13:08Z</dcterms:created>
  <dcterms:modified xsi:type="dcterms:W3CDTF">2025-11-04T12:19:37Z</dcterms:modified>
</cp:coreProperties>
</file>